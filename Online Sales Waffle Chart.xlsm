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17c2ee1557c318d/Documents/OTB/Data Tech Bootcamp 2024/Portfolio/"/>
    </mc:Choice>
  </mc:AlternateContent>
  <xr:revisionPtr revIDLastSave="66" documentId="13_ncr:40009_{0A5992B5-CA01-4062-B6E6-2CEDDDC1EC90}" xr6:coauthVersionLast="47" xr6:coauthVersionMax="47" xr10:uidLastSave="{E6F0AA88-4114-41C9-8A50-45A05E58FD2F}"/>
  <bookViews>
    <workbookView xWindow="40920" yWindow="-120" windowWidth="29040" windowHeight="15840" firstSheet="2" activeTab="3" xr2:uid="{00000000-000D-0000-FFFF-FFFF00000000}"/>
  </bookViews>
  <sheets>
    <sheet name="Online_retail_sales" sheetId="1" state="hidden" r:id="rId1"/>
    <sheet name="Sheet1" sheetId="2" state="hidden" r:id="rId2"/>
    <sheet name="CJ" sheetId="3" r:id="rId3"/>
    <sheet name="Waffle" sheetId="4" r:id="rId4"/>
  </sheets>
  <definedNames>
    <definedName name="_xlnm._FilterDatabase" localSheetId="1" hidden="1">Sheet1!$A$1:$E$1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3" l="1"/>
  <c r="Q4" i="3"/>
  <c r="P17" i="3"/>
  <c r="L5" i="3"/>
  <c r="L6" i="3"/>
  <c r="L7" i="3"/>
  <c r="L8" i="3"/>
  <c r="L9" i="3"/>
  <c r="L10" i="3"/>
  <c r="L11" i="3"/>
  <c r="L12" i="3"/>
  <c r="L13" i="3"/>
  <c r="L14" i="3"/>
  <c r="L15" i="3"/>
  <c r="L4" i="3"/>
  <c r="O5" i="3"/>
  <c r="S5" i="3" s="1"/>
  <c r="P5" i="3"/>
  <c r="Q5" i="3"/>
  <c r="R5" i="3"/>
  <c r="O6" i="3"/>
  <c r="S6" i="3" s="1"/>
  <c r="P6" i="3"/>
  <c r="Q6" i="3"/>
  <c r="R6" i="3"/>
  <c r="O7" i="3"/>
  <c r="S7" i="3" s="1"/>
  <c r="P7" i="3"/>
  <c r="Q7" i="3"/>
  <c r="R7" i="3"/>
  <c r="O8" i="3"/>
  <c r="P8" i="3"/>
  <c r="Q8" i="3"/>
  <c r="S8" i="3" s="1"/>
  <c r="R8" i="3"/>
  <c r="O9" i="3"/>
  <c r="S9" i="3" s="1"/>
  <c r="P9" i="3"/>
  <c r="Q9" i="3"/>
  <c r="R9" i="3"/>
  <c r="O10" i="3"/>
  <c r="S10" i="3" s="1"/>
  <c r="P10" i="3"/>
  <c r="Q10" i="3"/>
  <c r="R10" i="3"/>
  <c r="O11" i="3"/>
  <c r="S11" i="3" s="1"/>
  <c r="P11" i="3"/>
  <c r="Q11" i="3"/>
  <c r="R11" i="3"/>
  <c r="O12" i="3"/>
  <c r="P12" i="3"/>
  <c r="Q12" i="3"/>
  <c r="S12" i="3" s="1"/>
  <c r="R12" i="3"/>
  <c r="O13" i="3"/>
  <c r="S13" i="3" s="1"/>
  <c r="P13" i="3"/>
  <c r="Q13" i="3"/>
  <c r="R13" i="3"/>
  <c r="O14" i="3"/>
  <c r="S14" i="3" s="1"/>
  <c r="P14" i="3"/>
  <c r="Q14" i="3"/>
  <c r="R14" i="3"/>
  <c r="O15" i="3"/>
  <c r="S15" i="3" s="1"/>
  <c r="P15" i="3"/>
  <c r="Q15" i="3"/>
  <c r="R15" i="3"/>
  <c r="P4" i="3"/>
  <c r="S4" i="3"/>
  <c r="O4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2" i="3"/>
  <c r="AV7" i="4" a="1"/>
  <c r="AV7" i="4" s="1"/>
  <c r="AK7" i="4" a="1"/>
  <c r="AK7" i="4" s="1"/>
  <c r="Z7" i="4" a="1"/>
  <c r="Z7" i="4" s="1"/>
  <c r="O7" i="4" a="1"/>
  <c r="O7" i="4" s="1"/>
  <c r="D7" i="4" a="1"/>
  <c r="D7" i="4" s="1"/>
  <c r="N19" i="3" l="1" a="1"/>
  <c r="N19" i="3" s="1"/>
  <c r="O20" i="3" l="1"/>
  <c r="P20" i="3" s="1"/>
  <c r="Q20" i="3" s="1"/>
  <c r="R2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<sst xmlns="http://schemas.openxmlformats.org/spreadsheetml/2006/main" count="15695" uniqueCount="747">
  <si>
    <t>order_id</t>
  </si>
  <si>
    <t>customer_id</t>
  </si>
  <si>
    <t>name</t>
  </si>
  <si>
    <t>gender</t>
  </si>
  <si>
    <t>age</t>
  </si>
  <si>
    <t>credit_score</t>
  </si>
  <si>
    <t xml:space="preserve"> monthly_income </t>
  </si>
  <si>
    <t>country</t>
  </si>
  <si>
    <t>state</t>
  </si>
  <si>
    <t>city</t>
  </si>
  <si>
    <t>campaign_schema</t>
  </si>
  <si>
    <t>Category</t>
  </si>
  <si>
    <t>Product</t>
  </si>
  <si>
    <t xml:space="preserve"> Cost </t>
  </si>
  <si>
    <t xml:space="preserve"> Price </t>
  </si>
  <si>
    <t>quantity</t>
  </si>
  <si>
    <t>order_confirmation</t>
  </si>
  <si>
    <t>cart_addition_time</t>
  </si>
  <si>
    <t>order_confirmation_time</t>
  </si>
  <si>
    <t>payment_method</t>
  </si>
  <si>
    <t>order_return</t>
  </si>
  <si>
    <t>Nicole Wilson</t>
  </si>
  <si>
    <t>Male</t>
  </si>
  <si>
    <t xml:space="preserve"> $44,716 </t>
  </si>
  <si>
    <t>UK</t>
  </si>
  <si>
    <t>Scotland</t>
  </si>
  <si>
    <t>Glasgow</t>
  </si>
  <si>
    <t>E-mails</t>
  </si>
  <si>
    <t>home appliances</t>
  </si>
  <si>
    <t>toaster</t>
  </si>
  <si>
    <t xml:space="preserve"> $40 </t>
  </si>
  <si>
    <t xml:space="preserve"> $60 </t>
  </si>
  <si>
    <t>Cash On Delivery</t>
  </si>
  <si>
    <t>Tristan Brown</t>
  </si>
  <si>
    <t xml:space="preserve"> $59,599 </t>
  </si>
  <si>
    <t>Japan</t>
  </si>
  <si>
    <t>Tokyo</t>
  </si>
  <si>
    <t>Instagram-ads</t>
  </si>
  <si>
    <t>mixer grinder</t>
  </si>
  <si>
    <t xml:space="preserve"> $90 </t>
  </si>
  <si>
    <t>Debit Card</t>
  </si>
  <si>
    <t>Robert Harrison</t>
  </si>
  <si>
    <t>Female</t>
  </si>
  <si>
    <t xml:space="preserve"> $59,622 </t>
  </si>
  <si>
    <t>England</t>
  </si>
  <si>
    <t>Birmingham</t>
  </si>
  <si>
    <t>Billboard-QR code</t>
  </si>
  <si>
    <t>electric stove</t>
  </si>
  <si>
    <t xml:space="preserve"> $250 </t>
  </si>
  <si>
    <t xml:space="preserve"> $400 </t>
  </si>
  <si>
    <t>David Lara</t>
  </si>
  <si>
    <t xml:space="preserve"> $60,892 </t>
  </si>
  <si>
    <t>Italy</t>
  </si>
  <si>
    <t>Lazio</t>
  </si>
  <si>
    <t>Rome</t>
  </si>
  <si>
    <t>Facebook-ads</t>
  </si>
  <si>
    <t>books</t>
  </si>
  <si>
    <t>magazine</t>
  </si>
  <si>
    <t xml:space="preserve"> $5 </t>
  </si>
  <si>
    <t xml:space="preserve"> $8 </t>
  </si>
  <si>
    <t>Paypal</t>
  </si>
  <si>
    <t>Lisa Juarez</t>
  </si>
  <si>
    <t xml:space="preserve"> $21,658 </t>
  </si>
  <si>
    <t>Spain</t>
  </si>
  <si>
    <t>Andalusia</t>
  </si>
  <si>
    <t>Malaga</t>
  </si>
  <si>
    <t>Google-ads</t>
  </si>
  <si>
    <t>electronics</t>
  </si>
  <si>
    <t>television</t>
  </si>
  <si>
    <t xml:space="preserve"> $1,000 </t>
  </si>
  <si>
    <t xml:space="preserve"> $1,500 </t>
  </si>
  <si>
    <t>Kenneth Castro</t>
  </si>
  <si>
    <t xml:space="preserve"> $21,115 </t>
  </si>
  <si>
    <t>Australia</t>
  </si>
  <si>
    <t>Victoria</t>
  </si>
  <si>
    <t>Ballarat</t>
  </si>
  <si>
    <t>toys</t>
  </si>
  <si>
    <t>plush toy</t>
  </si>
  <si>
    <t xml:space="preserve"> $12 </t>
  </si>
  <si>
    <t xml:space="preserve"> $20 </t>
  </si>
  <si>
    <t>Charlotte Bailey</t>
  </si>
  <si>
    <t xml:space="preserve"> $25,204 </t>
  </si>
  <si>
    <t>Kawasaki</t>
  </si>
  <si>
    <t>Michael Saunders</t>
  </si>
  <si>
    <t xml:space="preserve"> $59,129 </t>
  </si>
  <si>
    <t>Canada</t>
  </si>
  <si>
    <t>Quebec</t>
  </si>
  <si>
    <t>Laval</t>
  </si>
  <si>
    <t>textbook</t>
  </si>
  <si>
    <t xml:space="preserve"> $30 </t>
  </si>
  <si>
    <t xml:space="preserve"> $50 </t>
  </si>
  <si>
    <t>Sara Patel</t>
  </si>
  <si>
    <t xml:space="preserve"> $44,342 </t>
  </si>
  <si>
    <t>China</t>
  </si>
  <si>
    <t>Guangdong</t>
  </si>
  <si>
    <t>Guangzhou</t>
  </si>
  <si>
    <t>fashion</t>
  </si>
  <si>
    <t>t-shirt</t>
  </si>
  <si>
    <t xml:space="preserve"> $15 </t>
  </si>
  <si>
    <t xml:space="preserve"> $25 </t>
  </si>
  <si>
    <t>Kristen Schaefer</t>
  </si>
  <si>
    <t xml:space="preserve"> $21,454 </t>
  </si>
  <si>
    <t>Twitter-ads</t>
  </si>
  <si>
    <t>shoes</t>
  </si>
  <si>
    <t xml:space="preserve"> $100 </t>
  </si>
  <si>
    <t>Nathan Carson</t>
  </si>
  <si>
    <t xml:space="preserve"> $25,555 </t>
  </si>
  <si>
    <t>Shenzhen</t>
  </si>
  <si>
    <t>hair dryer</t>
  </si>
  <si>
    <t>Credit Card</t>
  </si>
  <si>
    <t>Richard Baker</t>
  </si>
  <si>
    <t xml:space="preserve"> $59,512 </t>
  </si>
  <si>
    <t>Shandong</t>
  </si>
  <si>
    <t>Yantai</t>
  </si>
  <si>
    <t>Susan Stevenson</t>
  </si>
  <si>
    <t xml:space="preserve"> $39,508 </t>
  </si>
  <si>
    <t>Ontario</t>
  </si>
  <si>
    <t>Mississauga</t>
  </si>
  <si>
    <t>dress</t>
  </si>
  <si>
    <t xml:space="preserve"> $80 </t>
  </si>
  <si>
    <t>Kyle Williams</t>
  </si>
  <si>
    <t xml:space="preserve"> $59,926 </t>
  </si>
  <si>
    <t>Kanagawa</t>
  </si>
  <si>
    <t>Yokohama</t>
  </si>
  <si>
    <t>Danielle Williams</t>
  </si>
  <si>
    <t xml:space="preserve"> $41,718 </t>
  </si>
  <si>
    <t>puzzle</t>
  </si>
  <si>
    <t>Connor Carlson</t>
  </si>
  <si>
    <t xml:space="preserve"> $15,958 </t>
  </si>
  <si>
    <t>India</t>
  </si>
  <si>
    <t>Maharashtra</t>
  </si>
  <si>
    <t>Pune</t>
  </si>
  <si>
    <t>action figure</t>
  </si>
  <si>
    <t>Thomas Castillo</t>
  </si>
  <si>
    <t xml:space="preserve"> $59,646 </t>
  </si>
  <si>
    <t>Sagamihara</t>
  </si>
  <si>
    <t>jeans</t>
  </si>
  <si>
    <t xml:space="preserve"> $70 </t>
  </si>
  <si>
    <t>Mrs. Jennifer Johnson DDS</t>
  </si>
  <si>
    <t xml:space="preserve"> $51,242 </t>
  </si>
  <si>
    <t>New South Wales</t>
  </si>
  <si>
    <t>Sydney</t>
  </si>
  <si>
    <t>microwave oven</t>
  </si>
  <si>
    <t xml:space="preserve"> $300 </t>
  </si>
  <si>
    <t xml:space="preserve"> $500 </t>
  </si>
  <si>
    <t>Samuel Hudson</t>
  </si>
  <si>
    <t xml:space="preserve"> $58,207 </t>
  </si>
  <si>
    <t>Qingdao</t>
  </si>
  <si>
    <t>Joseph Brown</t>
  </si>
  <si>
    <t xml:space="preserve"> $59,705 </t>
  </si>
  <si>
    <t>Lombardy</t>
  </si>
  <si>
    <t>Bergamo</t>
  </si>
  <si>
    <t>Nancy Richards</t>
  </si>
  <si>
    <t xml:space="preserve"> $59,309 </t>
  </si>
  <si>
    <t>Toronto</t>
  </si>
  <si>
    <t>Grace Sutton</t>
  </si>
  <si>
    <t xml:space="preserve"> $59,503 </t>
  </si>
  <si>
    <t>Geelong</t>
  </si>
  <si>
    <t>April Blair</t>
  </si>
  <si>
    <t xml:space="preserve"> $59,651 </t>
  </si>
  <si>
    <t>board game</t>
  </si>
  <si>
    <t xml:space="preserve"> $35 </t>
  </si>
  <si>
    <t>Katherine Maddox</t>
  </si>
  <si>
    <t xml:space="preserve"> $59,103 </t>
  </si>
  <si>
    <t>Granada</t>
  </si>
  <si>
    <t>laptop</t>
  </si>
  <si>
    <t xml:space="preserve"> $800 </t>
  </si>
  <si>
    <t xml:space="preserve"> $1,200 </t>
  </si>
  <si>
    <t>Aaron Cooper</t>
  </si>
  <si>
    <t xml:space="preserve"> $58,638 </t>
  </si>
  <si>
    <t>Craig Bailey</t>
  </si>
  <si>
    <t xml:space="preserve"> $60,221 </t>
  </si>
  <si>
    <t>USA</t>
  </si>
  <si>
    <t>California</t>
  </si>
  <si>
    <t>Los Angeles</t>
  </si>
  <si>
    <t>Marcus Meadows</t>
  </si>
  <si>
    <t xml:space="preserve"> $48,477 </t>
  </si>
  <si>
    <t>Texas</t>
  </si>
  <si>
    <t>San Antonio</t>
  </si>
  <si>
    <t>autobiography</t>
  </si>
  <si>
    <t>Brett Mayo</t>
  </si>
  <si>
    <t xml:space="preserve"> $59,050 </t>
  </si>
  <si>
    <t>Quebec City</t>
  </si>
  <si>
    <t>Kevin Pineda</t>
  </si>
  <si>
    <t xml:space="preserve"> $21,237 </t>
  </si>
  <si>
    <t>Martin Kelly</t>
  </si>
  <si>
    <t>Andrew Murphy</t>
  </si>
  <si>
    <t xml:space="preserve"> $59,061 </t>
  </si>
  <si>
    <t>Edinburgh</t>
  </si>
  <si>
    <t>Tracy Lowe</t>
  </si>
  <si>
    <t xml:space="preserve"> $50,488 </t>
  </si>
  <si>
    <t>Shannon Munoz MD</t>
  </si>
  <si>
    <t xml:space="preserve"> $59,316 </t>
  </si>
  <si>
    <t>Mrs. Jennifer Scott</t>
  </si>
  <si>
    <t xml:space="preserve"> $59,229 </t>
  </si>
  <si>
    <t>Patricia Rasmussen</t>
  </si>
  <si>
    <t>Latina</t>
  </si>
  <si>
    <t>novel</t>
  </si>
  <si>
    <t xml:space="preserve"> $10 </t>
  </si>
  <si>
    <t xml:space="preserve"> $18 </t>
  </si>
  <si>
    <t>Edward Little</t>
  </si>
  <si>
    <t xml:space="preserve"> $16,725 </t>
  </si>
  <si>
    <t>Houston</t>
  </si>
  <si>
    <t>Angela Griffith DVM</t>
  </si>
  <si>
    <t xml:space="preserve"> $59,108 </t>
  </si>
  <si>
    <t>Milan</t>
  </si>
  <si>
    <t>John Henry</t>
  </si>
  <si>
    <t xml:space="preserve"> $58,533 </t>
  </si>
  <si>
    <t>Manchester</t>
  </si>
  <si>
    <t>Cory Morales</t>
  </si>
  <si>
    <t xml:space="preserve"> $59,171 </t>
  </si>
  <si>
    <t>Amanda Anderson</t>
  </si>
  <si>
    <t xml:space="preserve"> $60,323 </t>
  </si>
  <si>
    <t>Newcastle</t>
  </si>
  <si>
    <t>Makayla Coleman</t>
  </si>
  <si>
    <t xml:space="preserve"> $56,965 </t>
  </si>
  <si>
    <t>Anthony Hall</t>
  </si>
  <si>
    <t xml:space="preserve"> $44,474 </t>
  </si>
  <si>
    <t>Dawn Wood</t>
  </si>
  <si>
    <t xml:space="preserve"> $59,681 </t>
  </si>
  <si>
    <t>Allen Bass</t>
  </si>
  <si>
    <t xml:space="preserve"> $47,139 </t>
  </si>
  <si>
    <t>Aberdeen</t>
  </si>
  <si>
    <t>Dorothy Gibson</t>
  </si>
  <si>
    <t xml:space="preserve"> $51,219 </t>
  </si>
  <si>
    <t>London</t>
  </si>
  <si>
    <t>Lisa Gonzalez</t>
  </si>
  <si>
    <t xml:space="preserve"> $59,577 </t>
  </si>
  <si>
    <t>Wollongong</t>
  </si>
  <si>
    <t>Paula Ware</t>
  </si>
  <si>
    <t xml:space="preserve"> $56,645 </t>
  </si>
  <si>
    <t>Patrick Smith II</t>
  </si>
  <si>
    <t xml:space="preserve"> $57,881 </t>
  </si>
  <si>
    <t>table fan</t>
  </si>
  <si>
    <t>Kyle Thompson</t>
  </si>
  <si>
    <t xml:space="preserve"> $48,116 </t>
  </si>
  <si>
    <t>Jordan Hoffman</t>
  </si>
  <si>
    <t xml:space="preserve"> $44,738 </t>
  </si>
  <si>
    <t>Mary Durham DVM</t>
  </si>
  <si>
    <t xml:space="preserve"> $47,043 </t>
  </si>
  <si>
    <t>Kelsey Richardson</t>
  </si>
  <si>
    <t xml:space="preserve"> $59,890 </t>
  </si>
  <si>
    <t>Jinan</t>
  </si>
  <si>
    <t>Robert Hill</t>
  </si>
  <si>
    <t xml:space="preserve"> $56,958 </t>
  </si>
  <si>
    <t>Melbourne</t>
  </si>
  <si>
    <t>Jonathan Sherman</t>
  </si>
  <si>
    <t xml:space="preserve"> $57,584 </t>
  </si>
  <si>
    <t>Bryan Nguyen</t>
  </si>
  <si>
    <t xml:space="preserve"> $56,463 </t>
  </si>
  <si>
    <t>Maria Adams</t>
  </si>
  <si>
    <t xml:space="preserve"> $59,916 </t>
  </si>
  <si>
    <t>Mumbai</t>
  </si>
  <si>
    <t>Shelly Anderson</t>
  </si>
  <si>
    <t xml:space="preserve"> $50,095 </t>
  </si>
  <si>
    <t>Jason Bryant</t>
  </si>
  <si>
    <t xml:space="preserve"> $59,458 </t>
  </si>
  <si>
    <t>Christopher Abbott</t>
  </si>
  <si>
    <t xml:space="preserve"> $35,464 </t>
  </si>
  <si>
    <t>Michael Weber</t>
  </si>
  <si>
    <t xml:space="preserve"> $59,963 </t>
  </si>
  <si>
    <t>Heather Moore</t>
  </si>
  <si>
    <t xml:space="preserve"> $21,530 </t>
  </si>
  <si>
    <t>Uttar Pradesh</t>
  </si>
  <si>
    <t>Lucknow</t>
  </si>
  <si>
    <t>Marie Graves</t>
  </si>
  <si>
    <t xml:space="preserve"> $59,793 </t>
  </si>
  <si>
    <t>Tina Smith</t>
  </si>
  <si>
    <t xml:space="preserve"> $22,154 </t>
  </si>
  <si>
    <t>Sarah Holloway</t>
  </si>
  <si>
    <t>Kristin Koch</t>
  </si>
  <si>
    <t xml:space="preserve"> $59,343 </t>
  </si>
  <si>
    <t>Nagpur</t>
  </si>
  <si>
    <t>Joshua Williams</t>
  </si>
  <si>
    <t xml:space="preserve"> $58,739 </t>
  </si>
  <si>
    <t>Regina Mcfarland</t>
  </si>
  <si>
    <t>Angel Lewis</t>
  </si>
  <si>
    <t xml:space="preserve"> $59,455 </t>
  </si>
  <si>
    <t>Ghaziabad</t>
  </si>
  <si>
    <t>Amber Vargas</t>
  </si>
  <si>
    <t xml:space="preserve"> $41,444 </t>
  </si>
  <si>
    <t>Seville</t>
  </si>
  <si>
    <t>Jonathan Flores</t>
  </si>
  <si>
    <t xml:space="preserve"> $59,555 </t>
  </si>
  <si>
    <t>Frosinone</t>
  </si>
  <si>
    <t>Kelly Moore</t>
  </si>
  <si>
    <t xml:space="preserve"> $50,958 </t>
  </si>
  <si>
    <t>Scott Martin</t>
  </si>
  <si>
    <t>David Berry</t>
  </si>
  <si>
    <t xml:space="preserve"> $44,654 </t>
  </si>
  <si>
    <t>Kyle Griffin</t>
  </si>
  <si>
    <t xml:space="preserve"> $51,446 </t>
  </si>
  <si>
    <t>Jeremy Lee</t>
  </si>
  <si>
    <t xml:space="preserve"> $41,962 </t>
  </si>
  <si>
    <t>Angelica Adams</t>
  </si>
  <si>
    <t xml:space="preserve"> $44,451 </t>
  </si>
  <si>
    <t>Peter Hobbs</t>
  </si>
  <si>
    <t xml:space="preserve"> $59,126 </t>
  </si>
  <si>
    <t>Curtis Howard</t>
  </si>
  <si>
    <t xml:space="preserve"> $59,959 </t>
  </si>
  <si>
    <t>Catalonia</t>
  </si>
  <si>
    <t>Tarragona</t>
  </si>
  <si>
    <t>Jacqueline Pruitt</t>
  </si>
  <si>
    <t xml:space="preserve"> $32,767 </t>
  </si>
  <si>
    <t>Rachel Harris</t>
  </si>
  <si>
    <t xml:space="preserve"> $44,430 </t>
  </si>
  <si>
    <t>Brescia</t>
  </si>
  <si>
    <t>Lisa Rivera</t>
  </si>
  <si>
    <t xml:space="preserve"> $59,007 </t>
  </si>
  <si>
    <t>Stephen Pearson</t>
  </si>
  <si>
    <t>Monica Smith</t>
  </si>
  <si>
    <t xml:space="preserve"> $17,006 </t>
  </si>
  <si>
    <t>Tara Norton</t>
  </si>
  <si>
    <t xml:space="preserve"> $58,650 </t>
  </si>
  <si>
    <t>Aaron Cox</t>
  </si>
  <si>
    <t xml:space="preserve"> $56,568 </t>
  </si>
  <si>
    <t>Kanpur</t>
  </si>
  <si>
    <t>Jasmine Brown</t>
  </si>
  <si>
    <t xml:space="preserve"> $59,909 </t>
  </si>
  <si>
    <t>Courtney Palmer</t>
  </si>
  <si>
    <t xml:space="preserve"> $56,570 </t>
  </si>
  <si>
    <t>Christopher Tran</t>
  </si>
  <si>
    <t xml:space="preserve"> $37,563 </t>
  </si>
  <si>
    <t>Megan Vaughan</t>
  </si>
  <si>
    <t>Thomas Smith</t>
  </si>
  <si>
    <t xml:space="preserve"> $28,659 </t>
  </si>
  <si>
    <t>Alyssa Berry</t>
  </si>
  <si>
    <t xml:space="preserve"> $59,263 </t>
  </si>
  <si>
    <t>Thomas Fitzgerald</t>
  </si>
  <si>
    <t xml:space="preserve"> $45,763 </t>
  </si>
  <si>
    <t>Ottawa</t>
  </si>
  <si>
    <t>Kristen Bailey</t>
  </si>
  <si>
    <t xml:space="preserve"> $59,183 </t>
  </si>
  <si>
    <t>Shannon Anderson</t>
  </si>
  <si>
    <t xml:space="preserve"> $59,405 </t>
  </si>
  <si>
    <t>Jason Adams</t>
  </si>
  <si>
    <t>Angela Chapman</t>
  </si>
  <si>
    <t xml:space="preserve"> $50,284 </t>
  </si>
  <si>
    <t>Joanne Gallegos</t>
  </si>
  <si>
    <t xml:space="preserve"> $59,342 </t>
  </si>
  <si>
    <t>Cheryl Armstrong</t>
  </si>
  <si>
    <t xml:space="preserve"> $59,678 </t>
  </si>
  <si>
    <t>Bailey Reyes</t>
  </si>
  <si>
    <t xml:space="preserve"> $59,142 </t>
  </si>
  <si>
    <t>George Vargas</t>
  </si>
  <si>
    <t xml:space="preserve"> $43,120 </t>
  </si>
  <si>
    <t>Janice Christensen</t>
  </si>
  <si>
    <t xml:space="preserve"> $27,566 </t>
  </si>
  <si>
    <t>Robert Smith</t>
  </si>
  <si>
    <t xml:space="preserve"> $43,939 </t>
  </si>
  <si>
    <t>Jessica Scott</t>
  </si>
  <si>
    <t xml:space="preserve"> $56,385 </t>
  </si>
  <si>
    <t>Scott Thomas</t>
  </si>
  <si>
    <t xml:space="preserve"> $56,243 </t>
  </si>
  <si>
    <t>Loretta Campbell</t>
  </si>
  <si>
    <t xml:space="preserve"> $25,545 </t>
  </si>
  <si>
    <t>Dallas</t>
  </si>
  <si>
    <t>Shannon Hernandez</t>
  </si>
  <si>
    <t xml:space="preserve"> $43,615 </t>
  </si>
  <si>
    <t>Annette Browning</t>
  </si>
  <si>
    <t xml:space="preserve"> $15,407 </t>
  </si>
  <si>
    <t>Maria Kelly</t>
  </si>
  <si>
    <t>Brandon Johnson</t>
  </si>
  <si>
    <t xml:space="preserve"> $59,747 </t>
  </si>
  <si>
    <t>Dongguan</t>
  </si>
  <si>
    <t>Daniel Dougherty</t>
  </si>
  <si>
    <t>Mrs. Sara Morton</t>
  </si>
  <si>
    <t xml:space="preserve"> $21,315 </t>
  </si>
  <si>
    <t>Oscar Alvarado</t>
  </si>
  <si>
    <t xml:space="preserve"> $59,165 </t>
  </si>
  <si>
    <t>Matthew Tapia</t>
  </si>
  <si>
    <t xml:space="preserve"> $59,409 </t>
  </si>
  <si>
    <t>Tiffany King</t>
  </si>
  <si>
    <t xml:space="preserve"> $59,931 </t>
  </si>
  <si>
    <t>Nicole Lynn</t>
  </si>
  <si>
    <t xml:space="preserve"> $41,570 </t>
  </si>
  <si>
    <t>Heather David</t>
  </si>
  <si>
    <t xml:space="preserve"> $41,308 </t>
  </si>
  <si>
    <t>Jennifer Mclaughlin</t>
  </si>
  <si>
    <t xml:space="preserve"> $43,991 </t>
  </si>
  <si>
    <t>Justin Braun</t>
  </si>
  <si>
    <t xml:space="preserve"> $21,177 </t>
  </si>
  <si>
    <t>Megan Clarke</t>
  </si>
  <si>
    <t xml:space="preserve"> $59,718 </t>
  </si>
  <si>
    <t>Jeremiah Martinez</t>
  </si>
  <si>
    <t xml:space="preserve"> $29,888 </t>
  </si>
  <si>
    <t>Samuel Burke</t>
  </si>
  <si>
    <t xml:space="preserve"> $44,326 </t>
  </si>
  <si>
    <t>Barcelona</t>
  </si>
  <si>
    <t>David Fletcher</t>
  </si>
  <si>
    <t xml:space="preserve"> $59,745 </t>
  </si>
  <si>
    <t>Debra Johnson</t>
  </si>
  <si>
    <t xml:space="preserve"> $56,493 </t>
  </si>
  <si>
    <t>Brittany Burgess</t>
  </si>
  <si>
    <t xml:space="preserve"> $59,903 </t>
  </si>
  <si>
    <t>Mary Patel</t>
  </si>
  <si>
    <t xml:space="preserve"> $46,025 </t>
  </si>
  <si>
    <t>Caitlin Zimmerman</t>
  </si>
  <si>
    <t xml:space="preserve"> $59,634 </t>
  </si>
  <si>
    <t>San Diego</t>
  </si>
  <si>
    <t>Laurie Brown</t>
  </si>
  <si>
    <t xml:space="preserve"> $59,010 </t>
  </si>
  <si>
    <t>Raymond Cobb</t>
  </si>
  <si>
    <t xml:space="preserve"> $56,701 </t>
  </si>
  <si>
    <t>Kenneth Robinson</t>
  </si>
  <si>
    <t xml:space="preserve"> $59,990 </t>
  </si>
  <si>
    <t>Tammy Dunn</t>
  </si>
  <si>
    <t xml:space="preserve"> $45,705 </t>
  </si>
  <si>
    <t>Teresa Small</t>
  </si>
  <si>
    <t xml:space="preserve"> $59,426 </t>
  </si>
  <si>
    <t>Michael Taylor</t>
  </si>
  <si>
    <t xml:space="preserve"> $59,295 </t>
  </si>
  <si>
    <t>Elizabeth Orozco</t>
  </si>
  <si>
    <t xml:space="preserve"> $59,751 </t>
  </si>
  <si>
    <t>Chris Kirk</t>
  </si>
  <si>
    <t xml:space="preserve"> $49,955 </t>
  </si>
  <si>
    <t>Molly Coleman</t>
  </si>
  <si>
    <t xml:space="preserve"> $59,796 </t>
  </si>
  <si>
    <t>Natasha Thomas</t>
  </si>
  <si>
    <t xml:space="preserve"> $60,106 </t>
  </si>
  <si>
    <t>Kevin Dominguez DDS</t>
  </si>
  <si>
    <t>Sarah Powell</t>
  </si>
  <si>
    <t xml:space="preserve"> $59,878 </t>
  </si>
  <si>
    <t>San Jose</t>
  </si>
  <si>
    <t>Steven Hernandez</t>
  </si>
  <si>
    <t xml:space="preserve"> $59,690 </t>
  </si>
  <si>
    <t>Robert Lee</t>
  </si>
  <si>
    <t xml:space="preserve"> $49,139 </t>
  </si>
  <si>
    <t>John Mahoney</t>
  </si>
  <si>
    <t xml:space="preserve"> $59,104 </t>
  </si>
  <si>
    <t>Samuel Brown</t>
  </si>
  <si>
    <t xml:space="preserve"> $59,143 </t>
  </si>
  <si>
    <t>Steven Jackson</t>
  </si>
  <si>
    <t xml:space="preserve"> $33,348 </t>
  </si>
  <si>
    <t>Jacob Stewart</t>
  </si>
  <si>
    <t xml:space="preserve"> $59,340 </t>
  </si>
  <si>
    <t>Kevin Campbell</t>
  </si>
  <si>
    <t xml:space="preserve"> $59,851 </t>
  </si>
  <si>
    <t>Christopher Wood</t>
  </si>
  <si>
    <t>Bonnie Hodge</t>
  </si>
  <si>
    <t xml:space="preserve"> $57,890 </t>
  </si>
  <si>
    <t>Teresa Garcia</t>
  </si>
  <si>
    <t xml:space="preserve"> $59,876 </t>
  </si>
  <si>
    <t>Jason Watson</t>
  </si>
  <si>
    <t xml:space="preserve"> $59,674 </t>
  </si>
  <si>
    <t>Jonathan Pitts</t>
  </si>
  <si>
    <t xml:space="preserve"> $25,099 </t>
  </si>
  <si>
    <t>Sean Lee</t>
  </si>
  <si>
    <t xml:space="preserve"> $59,507 </t>
  </si>
  <si>
    <t>Andrew Noble</t>
  </si>
  <si>
    <t>Brian Ramirez</t>
  </si>
  <si>
    <t xml:space="preserve"> $58,771 </t>
  </si>
  <si>
    <t>Stephanie Kemp</t>
  </si>
  <si>
    <t xml:space="preserve"> $37,754 </t>
  </si>
  <si>
    <t>Barbara Ochoa</t>
  </si>
  <si>
    <t>Michael Matthews</t>
  </si>
  <si>
    <t xml:space="preserve"> $52,893 </t>
  </si>
  <si>
    <t>Todd Williams</t>
  </si>
  <si>
    <t xml:space="preserve"> $46,014 </t>
  </si>
  <si>
    <t>Elizabeth Trujillo</t>
  </si>
  <si>
    <t xml:space="preserve"> $59,742 </t>
  </si>
  <si>
    <t>Erik Wong</t>
  </si>
  <si>
    <t xml:space="preserve"> $58,934 </t>
  </si>
  <si>
    <t>Ryan Hammond</t>
  </si>
  <si>
    <t xml:space="preserve"> $59,791 </t>
  </si>
  <si>
    <t>Jesse Hernandez</t>
  </si>
  <si>
    <t>Timothy Meyer</t>
  </si>
  <si>
    <t xml:space="preserve"> $52,684 </t>
  </si>
  <si>
    <t>William Benton</t>
  </si>
  <si>
    <t xml:space="preserve"> $59,755 </t>
  </si>
  <si>
    <t>Zachary Sanders</t>
  </si>
  <si>
    <t xml:space="preserve"> $59,425 </t>
  </si>
  <si>
    <t>Natalie Vasquez</t>
  </si>
  <si>
    <t xml:space="preserve"> $55,741 </t>
  </si>
  <si>
    <t>Juan Davis</t>
  </si>
  <si>
    <t xml:space="preserve"> $21,450 </t>
  </si>
  <si>
    <t>Daniel Riley</t>
  </si>
  <si>
    <t xml:space="preserve"> $34,870 </t>
  </si>
  <si>
    <t>Aimee Perez</t>
  </si>
  <si>
    <t xml:space="preserve"> $42,159 </t>
  </si>
  <si>
    <t>Amanda Tanner</t>
  </si>
  <si>
    <t xml:space="preserve"> $47,210 </t>
  </si>
  <si>
    <t>Gina Sanford</t>
  </si>
  <si>
    <t xml:space="preserve"> $59,956 </t>
  </si>
  <si>
    <t>Jennifer Griffin</t>
  </si>
  <si>
    <t xml:space="preserve"> $56,661 </t>
  </si>
  <si>
    <t>Mrs. Cynthia Miller MD</t>
  </si>
  <si>
    <t xml:space="preserve"> $34,625 </t>
  </si>
  <si>
    <t>Tiffany Ferrell</t>
  </si>
  <si>
    <t xml:space="preserve"> $59,438 </t>
  </si>
  <si>
    <t>Kathy Watkins</t>
  </si>
  <si>
    <t xml:space="preserve"> $59,230 </t>
  </si>
  <si>
    <t>Amber Mayo</t>
  </si>
  <si>
    <t xml:space="preserve"> $45,141 </t>
  </si>
  <si>
    <t>Omar Allen</t>
  </si>
  <si>
    <t xml:space="preserve"> $59,140 </t>
  </si>
  <si>
    <t>Mark Ferguson</t>
  </si>
  <si>
    <t xml:space="preserve"> $48,542 </t>
  </si>
  <si>
    <t>Anthony Santos</t>
  </si>
  <si>
    <t xml:space="preserve"> $59,310 </t>
  </si>
  <si>
    <t>Eric Gardner</t>
  </si>
  <si>
    <t xml:space="preserve"> $57,621 </t>
  </si>
  <si>
    <t>Robert Miller</t>
  </si>
  <si>
    <t xml:space="preserve"> $42,350 </t>
  </si>
  <si>
    <t>Gary Wolfe</t>
  </si>
  <si>
    <t xml:space="preserve"> $46,213 </t>
  </si>
  <si>
    <t>Willie Graham</t>
  </si>
  <si>
    <t xml:space="preserve"> $56,851 </t>
  </si>
  <si>
    <t>Evelyn Smith</t>
  </si>
  <si>
    <t xml:space="preserve"> $59,877 </t>
  </si>
  <si>
    <t>George Stewart</t>
  </si>
  <si>
    <t xml:space="preserve"> $58,180 </t>
  </si>
  <si>
    <t>Brenda Franco</t>
  </si>
  <si>
    <t xml:space="preserve"> $57,206 </t>
  </si>
  <si>
    <t>Girona</t>
  </si>
  <si>
    <t>Zachary Pierce</t>
  </si>
  <si>
    <t xml:space="preserve"> $59,174 </t>
  </si>
  <si>
    <t>Leah Richmond</t>
  </si>
  <si>
    <t xml:space="preserve"> $59,609 </t>
  </si>
  <si>
    <t>John Johns</t>
  </si>
  <si>
    <t xml:space="preserve"> $59,131 </t>
  </si>
  <si>
    <t>Anthony Golden</t>
  </si>
  <si>
    <t xml:space="preserve"> $60,828 </t>
  </si>
  <si>
    <t>Matthew Reid</t>
  </si>
  <si>
    <t xml:space="preserve"> $58,009 </t>
  </si>
  <si>
    <t>Jennifer Gomez</t>
  </si>
  <si>
    <t xml:space="preserve"> $57,878 </t>
  </si>
  <si>
    <t>Monica Peterson</t>
  </si>
  <si>
    <t xml:space="preserve"> $21,601 </t>
  </si>
  <si>
    <t>Robert Shaffer</t>
  </si>
  <si>
    <t xml:space="preserve"> $30,740 </t>
  </si>
  <si>
    <t>Rose Singh</t>
  </si>
  <si>
    <t xml:space="preserve"> $59,013 </t>
  </si>
  <si>
    <t>Timothy Kelley</t>
  </si>
  <si>
    <t xml:space="preserve"> $23,235 </t>
  </si>
  <si>
    <t>Jeremy Underwood</t>
  </si>
  <si>
    <t xml:space="preserve"> $45,070 </t>
  </si>
  <si>
    <t>Scott Harris</t>
  </si>
  <si>
    <t xml:space="preserve"> $59,148 </t>
  </si>
  <si>
    <t>Justin Marshall</t>
  </si>
  <si>
    <t>Cindy Hayes</t>
  </si>
  <si>
    <t xml:space="preserve"> $59,856 </t>
  </si>
  <si>
    <t>Patricia Smith</t>
  </si>
  <si>
    <t xml:space="preserve"> $33,019 </t>
  </si>
  <si>
    <t>Amanda Watson</t>
  </si>
  <si>
    <t xml:space="preserve"> $60,252 </t>
  </si>
  <si>
    <t>Stacy Carey</t>
  </si>
  <si>
    <t xml:space="preserve"> $51,391 </t>
  </si>
  <si>
    <t>Jerome Martin</t>
  </si>
  <si>
    <t xml:space="preserve"> $26,151 </t>
  </si>
  <si>
    <t>Edward Martin</t>
  </si>
  <si>
    <t xml:space="preserve"> $47,050 </t>
  </si>
  <si>
    <t>Michele Heath</t>
  </si>
  <si>
    <t xml:space="preserve"> $51,524 </t>
  </si>
  <si>
    <t>Chad Meyers</t>
  </si>
  <si>
    <t>Roger Ramirez</t>
  </si>
  <si>
    <t>Brian Harding</t>
  </si>
  <si>
    <t xml:space="preserve"> $59,594 </t>
  </si>
  <si>
    <t>Jessica Gray</t>
  </si>
  <si>
    <t xml:space="preserve"> $37,194 </t>
  </si>
  <si>
    <t>Ashley Russell</t>
  </si>
  <si>
    <t xml:space="preserve"> $59,467 </t>
  </si>
  <si>
    <t>Tammy Park</t>
  </si>
  <si>
    <t xml:space="preserve"> $42,852 </t>
  </si>
  <si>
    <t>Haley Stewart</t>
  </si>
  <si>
    <t xml:space="preserve"> $59,034 </t>
  </si>
  <si>
    <t>Carlos Barry</t>
  </si>
  <si>
    <t xml:space="preserve"> $24,750 </t>
  </si>
  <si>
    <t>Nicholas Dominguez</t>
  </si>
  <si>
    <t>Larry Hendricks</t>
  </si>
  <si>
    <t xml:space="preserve"> $47,865 </t>
  </si>
  <si>
    <t>Andrew Carrillo</t>
  </si>
  <si>
    <t xml:space="preserve"> $50,036 </t>
  </si>
  <si>
    <t>Christopher Jacobson</t>
  </si>
  <si>
    <t xml:space="preserve"> $48,337 </t>
  </si>
  <si>
    <t>Craig Petersen</t>
  </si>
  <si>
    <t xml:space="preserve"> $55,855 </t>
  </si>
  <si>
    <t>Antonio Robinson</t>
  </si>
  <si>
    <t xml:space="preserve"> $59,436 </t>
  </si>
  <si>
    <t>Colleen Mcclain</t>
  </si>
  <si>
    <t xml:space="preserve"> $23,007 </t>
  </si>
  <si>
    <t>Stephen Turner</t>
  </si>
  <si>
    <t xml:space="preserve"> $59,549 </t>
  </si>
  <si>
    <t>Dr. Keith Goodman</t>
  </si>
  <si>
    <t xml:space="preserve"> $51,568 </t>
  </si>
  <si>
    <t>Victor Bautista</t>
  </si>
  <si>
    <t xml:space="preserve"> $59,704 </t>
  </si>
  <si>
    <t>Charles Bass</t>
  </si>
  <si>
    <t xml:space="preserve"> $49,438 </t>
  </si>
  <si>
    <t>Charles Allen</t>
  </si>
  <si>
    <t xml:space="preserve"> $43,542 </t>
  </si>
  <si>
    <t>Matthew Smith</t>
  </si>
  <si>
    <t xml:space="preserve"> $56,833 </t>
  </si>
  <si>
    <t>Dennis Scott</t>
  </si>
  <si>
    <t xml:space="preserve"> $55,878 </t>
  </si>
  <si>
    <t>Michael Ford</t>
  </si>
  <si>
    <t xml:space="preserve"> $59,397 </t>
  </si>
  <si>
    <t>Alexa Petersen</t>
  </si>
  <si>
    <t xml:space="preserve"> $59,026 </t>
  </si>
  <si>
    <t>Brittney Wolfe</t>
  </si>
  <si>
    <t xml:space="preserve"> $37,893 </t>
  </si>
  <si>
    <t>James Carter</t>
  </si>
  <si>
    <t xml:space="preserve"> $45,226 </t>
  </si>
  <si>
    <t>Lisa Ho MD</t>
  </si>
  <si>
    <t>Charles Pace</t>
  </si>
  <si>
    <t>Sheryl Williamson</t>
  </si>
  <si>
    <t xml:space="preserve"> $57,340 </t>
  </si>
  <si>
    <t>Jessica Kelly</t>
  </si>
  <si>
    <t xml:space="preserve"> $56,948 </t>
  </si>
  <si>
    <t>Courtney Norman</t>
  </si>
  <si>
    <t xml:space="preserve"> $59,987 </t>
  </si>
  <si>
    <t>Dakota Smith</t>
  </si>
  <si>
    <t xml:space="preserve"> $46,947 </t>
  </si>
  <si>
    <t>Willie Simmons</t>
  </si>
  <si>
    <t xml:space="preserve"> $28,660 </t>
  </si>
  <si>
    <t>Dustin Soto</t>
  </si>
  <si>
    <t xml:space="preserve"> $19,641 </t>
  </si>
  <si>
    <t>William Moore</t>
  </si>
  <si>
    <t xml:space="preserve"> $59,627 </t>
  </si>
  <si>
    <t>Patrick York</t>
  </si>
  <si>
    <t xml:space="preserve"> $25,990 </t>
  </si>
  <si>
    <t>Amy Tanner</t>
  </si>
  <si>
    <t xml:space="preserve"> $57,745 </t>
  </si>
  <si>
    <t>Heather Carter</t>
  </si>
  <si>
    <t xml:space="preserve"> $58,686 </t>
  </si>
  <si>
    <t>Sean Hansen</t>
  </si>
  <si>
    <t xml:space="preserve"> $43,741 </t>
  </si>
  <si>
    <t>Eric Dixon</t>
  </si>
  <si>
    <t xml:space="preserve"> $43,847 </t>
  </si>
  <si>
    <t>Michael Dalton</t>
  </si>
  <si>
    <t xml:space="preserve"> $59,863 </t>
  </si>
  <si>
    <t>Taylor Edwards</t>
  </si>
  <si>
    <t xml:space="preserve"> $59,217 </t>
  </si>
  <si>
    <t>Chloe White</t>
  </si>
  <si>
    <t xml:space="preserve"> $58,210 </t>
  </si>
  <si>
    <t>Sharon Wilson</t>
  </si>
  <si>
    <t xml:space="preserve"> $59,360 </t>
  </si>
  <si>
    <t>Keith Gallegos</t>
  </si>
  <si>
    <t xml:space="preserve"> $56,152 </t>
  </si>
  <si>
    <t>Vanessa Hamilton</t>
  </si>
  <si>
    <t xml:space="preserve"> $19,218 </t>
  </si>
  <si>
    <t>Jimmy Floyd</t>
  </si>
  <si>
    <t>Mark Mckay</t>
  </si>
  <si>
    <t xml:space="preserve"> $20,109 </t>
  </si>
  <si>
    <t>Michelle Martinez</t>
  </si>
  <si>
    <t xml:space="preserve"> $46,780 </t>
  </si>
  <si>
    <t>Dr. Charles Booker</t>
  </si>
  <si>
    <t xml:space="preserve"> $57,899 </t>
  </si>
  <si>
    <t>William Lowe</t>
  </si>
  <si>
    <t xml:space="preserve"> $59,913 </t>
  </si>
  <si>
    <t>Montreal</t>
  </si>
  <si>
    <t>Jessica Anthony</t>
  </si>
  <si>
    <t>Michael Brown</t>
  </si>
  <si>
    <t>Jennifer Strickland</t>
  </si>
  <si>
    <t xml:space="preserve"> $55,977 </t>
  </si>
  <si>
    <t>Adam Tate</t>
  </si>
  <si>
    <t xml:space="preserve"> $59,621 </t>
  </si>
  <si>
    <t>Frank Brooks</t>
  </si>
  <si>
    <t xml:space="preserve"> $47,247 </t>
  </si>
  <si>
    <t>David Johnson</t>
  </si>
  <si>
    <t>Benjamin Robinson</t>
  </si>
  <si>
    <t xml:space="preserve"> $59,935 </t>
  </si>
  <si>
    <t>Ryan Cherry</t>
  </si>
  <si>
    <t xml:space="preserve"> $24,739 </t>
  </si>
  <si>
    <t>Andrea Brown</t>
  </si>
  <si>
    <t xml:space="preserve"> $57,509 </t>
  </si>
  <si>
    <t>Ashlee Murphy PhD</t>
  </si>
  <si>
    <t xml:space="preserve"> $58,158 </t>
  </si>
  <si>
    <t>Chad Luna</t>
  </si>
  <si>
    <t xml:space="preserve"> $59,421 </t>
  </si>
  <si>
    <t>Terry Montgomery</t>
  </si>
  <si>
    <t xml:space="preserve"> $59,752 </t>
  </si>
  <si>
    <t>Ryan Dominguez</t>
  </si>
  <si>
    <t xml:space="preserve"> $56,338 </t>
  </si>
  <si>
    <t>Brooke Pollard</t>
  </si>
  <si>
    <t xml:space="preserve"> $59,753 </t>
  </si>
  <si>
    <t>William Reyes</t>
  </si>
  <si>
    <t xml:space="preserve"> $51,283 </t>
  </si>
  <si>
    <t>Patricia Garza</t>
  </si>
  <si>
    <t xml:space="preserve"> $49,696 </t>
  </si>
  <si>
    <t>Christine Robertson</t>
  </si>
  <si>
    <t xml:space="preserve"> $55,918 </t>
  </si>
  <si>
    <t>Jenna Berry</t>
  </si>
  <si>
    <t xml:space="preserve"> $59,016 </t>
  </si>
  <si>
    <t>William Cardenas</t>
  </si>
  <si>
    <t xml:space="preserve"> $44,911 </t>
  </si>
  <si>
    <t>Alicia Anderson</t>
  </si>
  <si>
    <t xml:space="preserve"> $29,711 </t>
  </si>
  <si>
    <t>Steven Zavala</t>
  </si>
  <si>
    <t xml:space="preserve"> $46,071 </t>
  </si>
  <si>
    <t>Ethan Delgado</t>
  </si>
  <si>
    <t xml:space="preserve"> $44,417 </t>
  </si>
  <si>
    <t>Dr. John Howard MD</t>
  </si>
  <si>
    <t xml:space="preserve"> $22,178 </t>
  </si>
  <si>
    <t>Micheal Mcmillan</t>
  </si>
  <si>
    <t xml:space="preserve"> $59,737 </t>
  </si>
  <si>
    <t>Tiffany Little</t>
  </si>
  <si>
    <t xml:space="preserve"> $59,431 </t>
  </si>
  <si>
    <t>Allison Morgan</t>
  </si>
  <si>
    <t xml:space="preserve"> $59,808 </t>
  </si>
  <si>
    <t>Mary Maldonado</t>
  </si>
  <si>
    <t xml:space="preserve"> $60,200 </t>
  </si>
  <si>
    <t>Robert Cantrell</t>
  </si>
  <si>
    <t xml:space="preserve"> $50,143 </t>
  </si>
  <si>
    <t>Brenda Bennett</t>
  </si>
  <si>
    <t xml:space="preserve"> $48,939 </t>
  </si>
  <si>
    <t>Timothy Collins</t>
  </si>
  <si>
    <t xml:space="preserve"> $59,224 </t>
  </si>
  <si>
    <t>Lori Thompson DVM</t>
  </si>
  <si>
    <t>Date</t>
  </si>
  <si>
    <t>Month</t>
  </si>
  <si>
    <t>Year</t>
  </si>
  <si>
    <t>Country</t>
  </si>
  <si>
    <t>Quantity</t>
  </si>
  <si>
    <t>Grand Total</t>
  </si>
  <si>
    <t>May</t>
  </si>
  <si>
    <t>Sum of Quantity</t>
  </si>
  <si>
    <t>Ticket Type</t>
  </si>
  <si>
    <t>Data from Kaggle</t>
  </si>
  <si>
    <t>Waffle tutorial from youtube: Cellmates</t>
  </si>
  <si>
    <t>Waffle Charts</t>
  </si>
  <si>
    <t>Colour Palette</t>
  </si>
  <si>
    <t>#EF566A</t>
  </si>
  <si>
    <t>#C06299</t>
  </si>
  <si>
    <t>#916EC8</t>
  </si>
  <si>
    <t>#627AF7</t>
  </si>
  <si>
    <t>Adult</t>
  </si>
  <si>
    <t>Child</t>
  </si>
  <si>
    <t>Platinum</t>
  </si>
  <si>
    <t>VIP</t>
  </si>
  <si>
    <t>Calculations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</si>
  <si>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</si>
  <si>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</si>
  <si>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</si>
  <si>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</si>
  <si>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</si>
  <si>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</si>
  <si>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</si>
  <si>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</si>
  <si>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</si>
  <si>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</si>
  <si>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</si>
  <si>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Showing value as percentage of month total</t>
  </si>
  <si>
    <t>Link to select cell</t>
  </si>
  <si>
    <t>Cumulative total for conditional formatting</t>
  </si>
  <si>
    <t>Conditional formatting for total waffle linked to cumulative row. Formatting for individual waffles linked to filtered (top) row.</t>
  </si>
  <si>
    <r>
      <t xml:space="preserve">Select Month </t>
    </r>
    <r>
      <rPr>
        <b/>
        <sz val="11"/>
        <color theme="0"/>
        <rFont val="Segoe UI Emoji"/>
        <family val="2"/>
      </rPr>
      <t>▿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</si>
</sst>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0"/>
      <name val="Segoe UI Emoj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EF566A"/>
        <bgColor indexed="64"/>
      </patternFill>
    </fill>
    <fill>
      <patternFill patternType="solid">
        <fgColor rgb="FFC06299"/>
        <bgColor indexed="64"/>
      </patternFill>
    </fill>
    <fill>
      <patternFill patternType="solid">
        <fgColor rgb="FF916EC8"/>
        <bgColor indexed="64"/>
      </patternFill>
    </fill>
    <fill>
      <patternFill patternType="solid">
        <fgColor rgb="FF627AF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1" tint="0.14996795556505021"/>
      </left>
      <right style="thick">
        <color theme="1" tint="0.14996795556505021"/>
      </right>
      <top style="thick">
        <color theme="1" tint="0.14996795556505021"/>
      </top>
      <bottom style="thick">
        <color theme="1" tint="0.14996795556505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22" fontId="0" fillId="0" borderId="0" xfId="0" applyNumberFormat="1"/>
    <xf numFmtId="14" fontId="0" fillId="0" borderId="0" xfId="0" applyNumberFormat="1"/>
    <xf numFmtId="14" fontId="0" fillId="33" borderId="0" xfId="0" applyNumberFormat="1" applyFill="1"/>
    <xf numFmtId="0" fontId="0" fillId="33" borderId="0" xfId="0" applyFill="1"/>
    <xf numFmtId="0" fontId="0" fillId="0" borderId="0" xfId="0" pivotButton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34" borderId="0" xfId="0" applyFont="1" applyFill="1"/>
    <xf numFmtId="0" fontId="17" fillId="35" borderId="0" xfId="0" applyFont="1" applyFill="1"/>
    <xf numFmtId="0" fontId="17" fillId="36" borderId="0" xfId="0" applyFont="1" applyFill="1"/>
    <xf numFmtId="0" fontId="17" fillId="37" borderId="0" xfId="0" applyFont="1" applyFill="1"/>
    <xf numFmtId="0" fontId="17" fillId="38" borderId="10" xfId="0" applyFont="1" applyFill="1" applyBorder="1"/>
    <xf numFmtId="0" fontId="18" fillId="38" borderId="10" xfId="0" applyFont="1" applyFill="1" applyBorder="1"/>
    <xf numFmtId="0" fontId="17" fillId="38" borderId="0" xfId="0" applyFont="1" applyFill="1"/>
    <xf numFmtId="164" fontId="19" fillId="39" borderId="12" xfId="1" applyNumberFormat="1" applyFont="1" applyFill="1" applyBorder="1"/>
    <xf numFmtId="0" fontId="16" fillId="0" borderId="0" xfId="0" applyFont="1"/>
    <xf numFmtId="9" fontId="0" fillId="0" borderId="0" xfId="1" applyFont="1"/>
    <xf numFmtId="14" fontId="16" fillId="33" borderId="0" xfId="0" applyNumberFormat="1" applyFont="1" applyFill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0" fontId="0" fillId="0" borderId="13" xfId="0" applyBorder="1"/>
    <xf numFmtId="0" fontId="16" fillId="33" borderId="0" xfId="0" applyFont="1" applyFill="1"/>
    <xf numFmtId="9" fontId="0" fillId="0" borderId="0" xfId="0" applyNumberFormat="1"/>
    <xf numFmtId="0" fontId="20" fillId="0" borderId="0" xfId="0" applyFont="1"/>
    <xf numFmtId="0" fontId="14" fillId="0" borderId="0" xfId="0" applyFont="1"/>
    <xf numFmtId="0" fontId="17" fillId="38" borderId="11" xfId="0" applyFont="1" applyFill="1" applyBorder="1" applyAlignment="1">
      <alignment horizontal="center"/>
    </xf>
    <xf numFmtId="0" fontId="13" fillId="38" borderId="0" xfId="0" applyFont="1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fill>
        <patternFill>
          <bgColor rgb="FF627AF7"/>
        </patternFill>
      </fill>
    </dxf>
    <dxf>
      <fill>
        <patternFill>
          <bgColor rgb="FF916EC8"/>
        </patternFill>
      </fill>
    </dxf>
    <dxf>
      <fill>
        <patternFill>
          <bgColor rgb="FFC06299"/>
        </patternFill>
      </fill>
    </dxf>
    <dxf>
      <fill>
        <patternFill>
          <bgColor rgb="FFEF566A"/>
        </patternFill>
      </fill>
    </dxf>
    <dxf>
      <fill>
        <patternFill>
          <bgColor rgb="FF627AF7"/>
        </patternFill>
      </fill>
    </dxf>
    <dxf>
      <fill>
        <patternFill>
          <bgColor rgb="FF916EC8"/>
        </patternFill>
      </fill>
    </dxf>
    <dxf>
      <fill>
        <patternFill>
          <bgColor rgb="FFC06299"/>
        </patternFill>
      </fill>
    </dxf>
    <dxf>
      <fill>
        <patternFill>
          <bgColor rgb="FFEF566A"/>
        </patternFill>
      </fill>
    </dxf>
  </dxfs>
  <tableStyles count="0" defaultTableStyle="TableStyleMedium2" defaultPivotStyle="PivotStyleLight16"/>
  <colors>
    <mruColors>
      <color rgb="FF627AF7"/>
      <color rgb="FF916EC8"/>
      <color rgb="FFC06299"/>
      <color rgb="FFEF5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76199</xdr:rowOff>
    </xdr:from>
    <xdr:to>
      <xdr:col>5</xdr:col>
      <xdr:colOff>123825</xdr:colOff>
      <xdr:row>5</xdr:row>
      <xdr:rowOff>161924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F3FFD7E-80C2-F562-D0A1-A6688176EE72}"/>
            </a:ext>
          </a:extLst>
        </xdr:cNvPr>
        <xdr:cNvSpPr txBox="1"/>
      </xdr:nvSpPr>
      <xdr:spPr>
        <a:xfrm>
          <a:off x="57150" y="342899"/>
          <a:ext cx="1809750" cy="80962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50">
              <a:solidFill>
                <a:schemeClr val="bg1"/>
              </a:solidFill>
            </a:rPr>
            <a:t>These waffle charts show a comparison between Adult, Child,</a:t>
          </a:r>
          <a:r>
            <a:rPr lang="en-GB" sz="1050" baseline="0">
              <a:solidFill>
                <a:schemeClr val="bg1"/>
              </a:solidFill>
            </a:rPr>
            <a:t> VIP and Platinum concert tickets.</a:t>
          </a:r>
          <a:endParaRPr lang="en-GB" sz="105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80962</xdr:rowOff>
    </xdr:from>
    <xdr:to>
      <xdr:col>13</xdr:col>
      <xdr:colOff>9525</xdr:colOff>
      <xdr:row>19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A831ACD-CE5C-1DD2-14FD-25F65A1D27FB}"/>
            </a:ext>
          </a:extLst>
        </xdr:cNvPr>
        <xdr:cNvSpPr txBox="1"/>
      </xdr:nvSpPr>
      <xdr:spPr>
        <a:xfrm>
          <a:off x="2514600" y="3162300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ALL</a:t>
          </a:r>
          <a:r>
            <a:rPr lang="en-GB" sz="140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TICKET TYPES</a:t>
          </a:r>
          <a:endParaRPr lang="en-GB" sz="140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13</xdr:col>
      <xdr:colOff>642937</xdr:colOff>
      <xdr:row>16</xdr:row>
      <xdr:rowOff>90487</xdr:rowOff>
    </xdr:from>
    <xdr:to>
      <xdr:col>24</xdr:col>
      <xdr:colOff>9525</xdr:colOff>
      <xdr:row>19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6F51B5-CC31-B0B7-8D81-128527F140EA}"/>
            </a:ext>
          </a:extLst>
        </xdr:cNvPr>
        <xdr:cNvSpPr txBox="1"/>
      </xdr:nvSpPr>
      <xdr:spPr>
        <a:xfrm>
          <a:off x="5019675" y="3171825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ADULT</a:t>
          </a:r>
        </a:p>
      </xdr:txBody>
    </xdr:sp>
    <xdr:clientData/>
  </xdr:twoCellAnchor>
  <xdr:twoCellAnchor>
    <xdr:from>
      <xdr:col>24</xdr:col>
      <xdr:colOff>642937</xdr:colOff>
      <xdr:row>16</xdr:row>
      <xdr:rowOff>100012</xdr:rowOff>
    </xdr:from>
    <xdr:to>
      <xdr:col>35</xdr:col>
      <xdr:colOff>9525</xdr:colOff>
      <xdr:row>19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155C4F4-B609-F17D-7D49-F73ABA523BD2}"/>
            </a:ext>
          </a:extLst>
        </xdr:cNvPr>
        <xdr:cNvSpPr txBox="1"/>
      </xdr:nvSpPr>
      <xdr:spPr>
        <a:xfrm>
          <a:off x="7524750" y="3181350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CHILD</a:t>
          </a:r>
          <a:b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</a:br>
          <a:endParaRPr lang="en-GB" sz="140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35</xdr:col>
      <xdr:colOff>642937</xdr:colOff>
      <xdr:row>16</xdr:row>
      <xdr:rowOff>109537</xdr:rowOff>
    </xdr:from>
    <xdr:to>
      <xdr:col>46</xdr:col>
      <xdr:colOff>9525</xdr:colOff>
      <xdr:row>19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DFDD3C8-3EFD-BA2F-8FDB-B0088976913C}"/>
            </a:ext>
          </a:extLst>
        </xdr:cNvPr>
        <xdr:cNvSpPr txBox="1"/>
      </xdr:nvSpPr>
      <xdr:spPr>
        <a:xfrm>
          <a:off x="10029825" y="3190875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PLATINUM</a:t>
          </a:r>
          <a:b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</a:br>
          <a:endParaRPr lang="en-GB" sz="140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46</xdr:col>
      <xdr:colOff>642937</xdr:colOff>
      <xdr:row>16</xdr:row>
      <xdr:rowOff>119062</xdr:rowOff>
    </xdr:from>
    <xdr:to>
      <xdr:col>57</xdr:col>
      <xdr:colOff>9525</xdr:colOff>
      <xdr:row>19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0A18353-DE53-42EE-E2E1-8C8677BC2EFB}"/>
            </a:ext>
          </a:extLst>
        </xdr:cNvPr>
        <xdr:cNvSpPr txBox="1"/>
      </xdr:nvSpPr>
      <xdr:spPr>
        <a:xfrm>
          <a:off x="12534900" y="3200400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VIP</a:t>
          </a:r>
          <a:br>
            <a:rPr lang="en-GB" sz="14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</a:br>
          <a:endParaRPr lang="en-GB" sz="140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13</xdr:col>
      <xdr:colOff>638175</xdr:colOff>
      <xdr:row>17</xdr:row>
      <xdr:rowOff>109537</xdr:rowOff>
    </xdr:from>
    <xdr:to>
      <xdr:col>24</xdr:col>
      <xdr:colOff>4763</xdr:colOff>
      <xdr:row>20</xdr:row>
      <xdr:rowOff>138112</xdr:rowOff>
    </xdr:to>
    <xdr:sp macro="" textlink="CJ!O19">
      <xdr:nvSpPr>
        <xdr:cNvPr id="8" name="TextBox 7">
          <a:extLst>
            <a:ext uri="{FF2B5EF4-FFF2-40B4-BE49-F238E27FC236}">
              <a16:creationId xmlns:a16="http://schemas.microsoft.com/office/drawing/2014/main" id="{BA508D34-66C7-A239-CB92-0AD77BE4601E}"/>
            </a:ext>
          </a:extLst>
        </xdr:cNvPr>
        <xdr:cNvSpPr txBox="1"/>
      </xdr:nvSpPr>
      <xdr:spPr>
        <a:xfrm>
          <a:off x="5014913" y="3376612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557411E-3301-4603-98D7-12C989D54DA3}" type="TxLink">
            <a:rPr lang="en-US" sz="1400" b="1" i="0" u="none" strike="noStrike">
              <a:solidFill>
                <a:srgbClr val="EF566A"/>
              </a:solidFill>
              <a:latin typeface="Aptos Narrow"/>
              <a:cs typeface="Aharoni" panose="02010803020104030203" pitchFamily="2" charset="-79"/>
            </a:rPr>
            <a:pPr algn="ctr"/>
            <a:t>53%</a:t>
          </a:fld>
          <a:endParaRPr lang="en-GB" sz="1400" b="1">
            <a:solidFill>
              <a:srgbClr val="EF566A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25</xdr:col>
      <xdr:colOff>19050</xdr:colOff>
      <xdr:row>17</xdr:row>
      <xdr:rowOff>109537</xdr:rowOff>
    </xdr:from>
    <xdr:to>
      <xdr:col>35</xdr:col>
      <xdr:colOff>33338</xdr:colOff>
      <xdr:row>20</xdr:row>
      <xdr:rowOff>138112</xdr:rowOff>
    </xdr:to>
    <xdr:sp macro="" textlink="CJ!P19">
      <xdr:nvSpPr>
        <xdr:cNvPr id="9" name="TextBox 8">
          <a:extLst>
            <a:ext uri="{FF2B5EF4-FFF2-40B4-BE49-F238E27FC236}">
              <a16:creationId xmlns:a16="http://schemas.microsoft.com/office/drawing/2014/main" id="{DD68B4C0-7840-C792-410B-7F106F53F340}"/>
            </a:ext>
          </a:extLst>
        </xdr:cNvPr>
        <xdr:cNvSpPr txBox="1"/>
      </xdr:nvSpPr>
      <xdr:spPr>
        <a:xfrm>
          <a:off x="7548563" y="3376612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EFEFE69-3222-4EF6-8605-96DA3554AD94}" type="TxLink">
            <a:rPr lang="en-US" sz="1400" b="1" i="0" u="none" strike="noStrike">
              <a:solidFill>
                <a:srgbClr val="C06299"/>
              </a:solidFill>
              <a:latin typeface="Aptos Narrow"/>
              <a:cs typeface="Aharoni" panose="02010803020104030203" pitchFamily="2" charset="-79"/>
            </a:rPr>
            <a:pPr algn="ctr"/>
            <a:t>18%</a:t>
          </a:fld>
          <a:endParaRPr lang="en-GB" sz="1800" b="1">
            <a:solidFill>
              <a:srgbClr val="C06299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36</xdr:col>
      <xdr:colOff>4762</xdr:colOff>
      <xdr:row>17</xdr:row>
      <xdr:rowOff>109537</xdr:rowOff>
    </xdr:from>
    <xdr:to>
      <xdr:col>46</xdr:col>
      <xdr:colOff>19050</xdr:colOff>
      <xdr:row>20</xdr:row>
      <xdr:rowOff>138112</xdr:rowOff>
    </xdr:to>
    <xdr:sp macro="" textlink="CJ!Q19">
      <xdr:nvSpPr>
        <xdr:cNvPr id="10" name="TextBox 9">
          <a:extLst>
            <a:ext uri="{FF2B5EF4-FFF2-40B4-BE49-F238E27FC236}">
              <a16:creationId xmlns:a16="http://schemas.microsoft.com/office/drawing/2014/main" id="{81B1294C-AA75-F56C-0C05-15467E59EB63}"/>
            </a:ext>
          </a:extLst>
        </xdr:cNvPr>
        <xdr:cNvSpPr txBox="1"/>
      </xdr:nvSpPr>
      <xdr:spPr>
        <a:xfrm>
          <a:off x="10039350" y="3376612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C89E8C7-3737-4679-90AF-33D78685241F}" type="TxLink">
            <a:rPr lang="en-US" sz="1400" b="1" i="0" u="none" strike="noStrike">
              <a:solidFill>
                <a:srgbClr val="916EC8"/>
              </a:solidFill>
              <a:latin typeface="Aptos Narrow"/>
              <a:cs typeface="Aharoni" panose="02010803020104030203" pitchFamily="2" charset="-79"/>
            </a:rPr>
            <a:pPr algn="ctr"/>
            <a:t>18%</a:t>
          </a:fld>
          <a:endParaRPr lang="en-GB" sz="2400" b="1">
            <a:solidFill>
              <a:srgbClr val="916EC8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46</xdr:col>
      <xdr:colOff>638174</xdr:colOff>
      <xdr:row>17</xdr:row>
      <xdr:rowOff>109537</xdr:rowOff>
    </xdr:from>
    <xdr:to>
      <xdr:col>57</xdr:col>
      <xdr:colOff>4762</xdr:colOff>
      <xdr:row>20</xdr:row>
      <xdr:rowOff>138112</xdr:rowOff>
    </xdr:to>
    <xdr:sp macro="" textlink="CJ!R19">
      <xdr:nvSpPr>
        <xdr:cNvPr id="11" name="TextBox 10">
          <a:extLst>
            <a:ext uri="{FF2B5EF4-FFF2-40B4-BE49-F238E27FC236}">
              <a16:creationId xmlns:a16="http://schemas.microsoft.com/office/drawing/2014/main" id="{CB400DCE-CA84-ECD7-E16A-F3F7AD25E0E0}"/>
            </a:ext>
          </a:extLst>
        </xdr:cNvPr>
        <xdr:cNvSpPr txBox="1"/>
      </xdr:nvSpPr>
      <xdr:spPr>
        <a:xfrm>
          <a:off x="12530137" y="3376612"/>
          <a:ext cx="1871663" cy="5715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DEB303E-C374-4A9B-A8B7-AF1B1AC92A19}" type="TxLink">
            <a:rPr lang="en-US" sz="1400" b="1" i="0" u="none" strike="noStrike">
              <a:solidFill>
                <a:srgbClr val="627AF7"/>
              </a:solidFill>
              <a:latin typeface="Aptos Narrow"/>
              <a:cs typeface="Aharoni" panose="02010803020104030203" pitchFamily="2" charset="-79"/>
            </a:rPr>
            <a:pPr algn="ctr"/>
            <a:t>12%</a:t>
          </a:fld>
          <a:endParaRPr lang="en-GB" sz="2400" b="1">
            <a:solidFill>
              <a:srgbClr val="627AF7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" refreshedDate="45451.522139814813" createdVersion="8" refreshedVersion="8" minRefreshableVersion="3" recordCount="1000" xr:uid="{00000000-000A-0000-FFFF-FFFF07000000}">
  <cacheSource type="worksheet">
    <worksheetSource ref="A1:E1001" sheet="Sheet1"/>
  </cacheSource>
  <cacheFields count="8">
    <cacheField name="Date" numFmtId="14">
      <sharedItems containsSemiMixedTypes="0" containsNonDate="0" containsDate="1" containsString="0" minDate="2020-01-02T00:00:00" maxDate="2024-01-01T00:00:00" count="712">
        <d v="2023-12-31T00:00:00"/>
        <d v="2023-12-30T00:00:00"/>
        <d v="2023-12-27T00:00:00"/>
        <d v="2023-12-25T00:00:00"/>
        <d v="2023-12-22T00:00:00"/>
        <d v="2023-12-20T00:00:00"/>
        <d v="2023-12-19T00:00:00"/>
        <d v="2023-12-18T00:00:00"/>
        <d v="2023-12-17T00:00:00"/>
        <d v="2023-12-15T00:00:00"/>
        <d v="2023-12-10T00:00:00"/>
        <d v="2023-12-09T00:00:00"/>
        <d v="2023-12-08T00:00:00"/>
        <d v="2023-12-06T00:00:00"/>
        <d v="2023-12-04T00:00:00"/>
        <d v="2023-12-03T00:00:00"/>
        <d v="2023-12-01T00:00:00"/>
        <d v="2023-11-27T00:00:00"/>
        <d v="2023-11-25T00:00:00"/>
        <d v="2023-11-24T00:00:00"/>
        <d v="2023-11-19T00:00:00"/>
        <d v="2023-11-18T00:00:00"/>
        <d v="2023-11-15T00:00:00"/>
        <d v="2023-11-11T00:00:00"/>
        <d v="2023-11-10T00:00:00"/>
        <d v="2023-11-09T00:00:00"/>
        <d v="2023-11-08T00:00:00"/>
        <d v="2023-11-06T00:00:00"/>
        <d v="2023-11-04T00:00:00"/>
        <d v="2023-11-03T00:00:00"/>
        <d v="2023-11-02T00:00:00"/>
        <d v="2023-11-01T00:00:00"/>
        <d v="2023-10-31T00:00:00"/>
        <d v="2023-10-29T00:00:00"/>
        <d v="2023-10-25T00:00:00"/>
        <d v="2023-10-24T00:00:00"/>
        <d v="2023-10-22T00:00:00"/>
        <d v="2023-10-21T00:00:00"/>
        <d v="2023-10-20T00:00:00"/>
        <d v="2023-10-18T00:00:00"/>
        <d v="2023-10-16T00:00:00"/>
        <d v="2023-10-15T00:00:00"/>
        <d v="2023-10-14T00:00:00"/>
        <d v="2023-10-13T00:00:00"/>
        <d v="2023-10-12T00:00:00"/>
        <d v="2023-10-11T00:00:00"/>
        <d v="2023-10-10T00:00:00"/>
        <d v="2023-10-08T00:00:00"/>
        <d v="2023-10-04T00:00:00"/>
        <d v="2023-10-02T00:00:00"/>
        <d v="2023-10-01T00:00:00"/>
        <d v="2023-09-30T00:00:00"/>
        <d v="2023-09-23T00:00:00"/>
        <d v="2023-09-22T00:00:00"/>
        <d v="2023-09-18T00:00:00"/>
        <d v="2023-09-17T00:00:00"/>
        <d v="2023-09-16T00:00:00"/>
        <d v="2023-09-14T00:00:00"/>
        <d v="2023-09-13T00:00:00"/>
        <d v="2023-09-12T00:00:00"/>
        <d v="2023-09-10T00:00:00"/>
        <d v="2023-09-09T00:00:00"/>
        <d v="2023-09-06T00:00:00"/>
        <d v="2023-09-05T00:00:00"/>
        <d v="2023-09-04T00:00:00"/>
        <d v="2023-09-02T00:00:00"/>
        <d v="2023-09-01T00:00:00"/>
        <d v="2023-08-31T00:00:00"/>
        <d v="2023-08-30T00:00:00"/>
        <d v="2023-08-29T00:00:00"/>
        <d v="2023-08-28T00:00:00"/>
        <d v="2023-08-27T00:00:00"/>
        <d v="2023-08-25T00:00:00"/>
        <d v="2023-08-21T00:00:00"/>
        <d v="2023-08-19T00:00:00"/>
        <d v="2023-08-14T00:00:00"/>
        <d v="2023-08-13T00:00:00"/>
        <d v="2023-08-12T00:00:00"/>
        <d v="2023-08-11T00:00:00"/>
        <d v="2023-08-09T00:00:00"/>
        <d v="2023-08-07T00:00:00"/>
        <d v="2023-08-06T00:00:00"/>
        <d v="2023-08-03T00:00:00"/>
        <d v="2023-08-01T00:00:00"/>
        <d v="2023-07-30T00:00:00"/>
        <d v="2023-07-29T00:00:00"/>
        <d v="2023-07-26T00:00:00"/>
        <d v="2023-07-23T00:00:00"/>
        <d v="2023-07-21T00:00:00"/>
        <d v="2023-07-19T00:00:00"/>
        <d v="2023-07-18T00:00:00"/>
        <d v="2023-07-17T00:00:00"/>
        <d v="2023-07-15T00:00:00"/>
        <d v="2023-07-14T00:00:00"/>
        <d v="2023-07-13T00:00:00"/>
        <d v="2023-07-12T00:00:00"/>
        <d v="2023-07-11T00:00:00"/>
        <d v="2023-07-10T00:00:00"/>
        <d v="2023-07-09T00:00:00"/>
        <d v="2023-07-08T00:00:00"/>
        <d v="2023-07-07T00:00:00"/>
        <d v="2023-07-03T00:00:00"/>
        <d v="2023-07-01T00:00:00"/>
        <d v="2023-06-27T00:00:00"/>
        <d v="2023-06-26T00:00:00"/>
        <d v="2023-06-25T00:00:00"/>
        <d v="2023-06-21T00:00:00"/>
        <d v="2023-06-18T00:00:00"/>
        <d v="2023-06-16T00:00:00"/>
        <d v="2023-06-15T00:00:00"/>
        <d v="2023-06-13T00:00:00"/>
        <d v="2023-06-12T00:00:00"/>
        <d v="2023-06-10T00:00:00"/>
        <d v="2023-06-09T00:00:00"/>
        <d v="2023-06-08T00:00:00"/>
        <d v="2023-06-05T00:00:00"/>
        <d v="2023-06-03T00:00:00"/>
        <d v="2023-06-02T00:00:00"/>
        <d v="2023-06-01T00:00:00"/>
        <d v="2023-05-29T00:00:00"/>
        <d v="2023-05-26T00:00:00"/>
        <d v="2023-05-24T00:00:00"/>
        <d v="2023-05-21T00:00:00"/>
        <d v="2023-05-20T00:00:00"/>
        <d v="2023-05-19T00:00:00"/>
        <d v="2023-05-16T00:00:00"/>
        <d v="2023-05-13T00:00:00"/>
        <d v="2023-05-11T00:00:00"/>
        <d v="2023-05-09T00:00:00"/>
        <d v="2023-05-08T00:00:00"/>
        <d v="2023-05-06T00:00:00"/>
        <d v="2023-05-02T00:00:00"/>
        <d v="2023-05-01T00:00:00"/>
        <d v="2023-04-29T00:00:00"/>
        <d v="2023-04-28T00:00:00"/>
        <d v="2023-04-26T00:00:00"/>
        <d v="2023-04-24T00:00:00"/>
        <d v="2023-04-23T00:00:00"/>
        <d v="2023-04-21T00:00:00"/>
        <d v="2023-04-20T00:00:00"/>
        <d v="2023-04-18T00:00:00"/>
        <d v="2023-04-14T00:00:00"/>
        <d v="2023-04-09T00:00:00"/>
        <d v="2023-04-08T00:00:00"/>
        <d v="2023-04-06T00:00:00"/>
        <d v="2023-04-05T00:00:00"/>
        <d v="2023-04-03T00:00:00"/>
        <d v="2023-04-02T00:00:00"/>
        <d v="2023-04-01T00:00:00"/>
        <d v="2023-03-29T00:00:00"/>
        <d v="2023-03-27T00:00:00"/>
        <d v="2023-03-26T00:00:00"/>
        <d v="2023-03-25T00:00:00"/>
        <d v="2023-03-23T00:00:00"/>
        <d v="2023-03-21T00:00:00"/>
        <d v="2023-03-19T00:00:00"/>
        <d v="2023-03-17T00:00:00"/>
        <d v="2023-03-16T00:00:00"/>
        <d v="2023-03-13T00:00:00"/>
        <d v="2023-03-10T00:00:00"/>
        <d v="2023-03-08T00:00:00"/>
        <d v="2023-03-05T00:00:00"/>
        <d v="2023-03-04T00:00:00"/>
        <d v="2023-02-24T00:00:00"/>
        <d v="2023-02-22T00:00:00"/>
        <d v="2023-02-21T00:00:00"/>
        <d v="2023-02-20T00:00:00"/>
        <d v="2023-02-16T00:00:00"/>
        <d v="2023-02-15T00:00:00"/>
        <d v="2023-02-11T00:00:00"/>
        <d v="2023-02-07T00:00:00"/>
        <d v="2023-02-06T00:00:00"/>
        <d v="2023-02-02T00:00:00"/>
        <d v="2023-01-28T00:00:00"/>
        <d v="2023-01-25T00:00:00"/>
        <d v="2023-01-22T00:00:00"/>
        <d v="2023-01-21T00:00:00"/>
        <d v="2023-01-18T00:00:00"/>
        <d v="2023-01-15T00:00:00"/>
        <d v="2023-01-14T00:00:00"/>
        <d v="2023-01-13T00:00:00"/>
        <d v="2023-01-11T00:00:00"/>
        <d v="2023-01-10T00:00:00"/>
        <d v="2023-01-08T00:00:00"/>
        <d v="2023-01-07T00:00:00"/>
        <d v="2023-01-06T00:00:00"/>
        <d v="2023-01-05T00:00:00"/>
        <d v="2023-01-04T00:00:00"/>
        <d v="2023-01-03T00:00:00"/>
        <d v="2023-01-01T00:00:00"/>
        <d v="2022-12-31T00:00:00"/>
        <d v="2022-12-25T00:00:00"/>
        <d v="2022-12-24T00:00:00"/>
        <d v="2022-12-21T00:00:00"/>
        <d v="2022-12-20T00:00:00"/>
        <d v="2022-12-19T00:00:00"/>
        <d v="2022-12-18T00:00:00"/>
        <d v="2022-12-16T00:00:00"/>
        <d v="2022-12-15T00:00:00"/>
        <d v="2022-12-13T00:00:00"/>
        <d v="2022-12-11T00:00:00"/>
        <d v="2022-12-10T00:00:00"/>
        <d v="2022-12-04T00:00:00"/>
        <d v="2022-12-02T00:00:00"/>
        <d v="2022-11-28T00:00:00"/>
        <d v="2022-11-26T00:00:00"/>
        <d v="2022-11-25T00:00:00"/>
        <d v="2022-11-23T00:00:00"/>
        <d v="2022-11-21T00:00:00"/>
        <d v="2022-11-20T00:00:00"/>
        <d v="2022-11-17T00:00:00"/>
        <d v="2022-11-15T00:00:00"/>
        <d v="2022-11-12T00:00:00"/>
        <d v="2022-11-09T00:00:00"/>
        <d v="2022-11-08T00:00:00"/>
        <d v="2022-11-07T00:00:00"/>
        <d v="2022-11-05T00:00:00"/>
        <d v="2022-11-03T00:00:00"/>
        <d v="2022-11-01T00:00:00"/>
        <d v="2022-10-31T00:00:00"/>
        <d v="2022-10-29T00:00:00"/>
        <d v="2022-10-25T00:00:00"/>
        <d v="2022-10-24T00:00:00"/>
        <d v="2022-10-21T00:00:00"/>
        <d v="2022-10-19T00:00:00"/>
        <d v="2022-10-18T00:00:00"/>
        <d v="2022-10-14T00:00:00"/>
        <d v="2022-10-10T00:00:00"/>
        <d v="2022-10-08T00:00:00"/>
        <d v="2022-10-06T00:00:00"/>
        <d v="2022-10-05T00:00:00"/>
        <d v="2022-10-03T00:00:00"/>
        <d v="2022-09-28T00:00:00"/>
        <d v="2022-09-20T00:00:00"/>
        <d v="2022-09-19T00:00:00"/>
        <d v="2022-09-17T00:00:00"/>
        <d v="2022-09-16T00:00:00"/>
        <d v="2022-09-14T00:00:00"/>
        <d v="2022-09-13T00:00:00"/>
        <d v="2022-09-11T00:00:00"/>
        <d v="2022-09-10T00:00:00"/>
        <d v="2022-09-08T00:00:00"/>
        <d v="2022-09-07T00:00:00"/>
        <d v="2022-09-06T00:00:00"/>
        <d v="2022-09-05T00:00:00"/>
        <d v="2022-09-04T00:00:00"/>
        <d v="2022-09-03T00:00:00"/>
        <d v="2022-09-01T00:00:00"/>
        <d v="2022-08-29T00:00:00"/>
        <d v="2022-08-22T00:00:00"/>
        <d v="2022-08-21T00:00:00"/>
        <d v="2022-08-20T00:00:00"/>
        <d v="2022-08-19T00:00:00"/>
        <d v="2022-08-14T00:00:00"/>
        <d v="2022-08-13T00:00:00"/>
        <d v="2022-08-11T00:00:00"/>
        <d v="2022-08-10T00:00:00"/>
        <d v="2022-08-09T00:00:00"/>
        <d v="2022-08-08T00:00:00"/>
        <d v="2022-08-06T00:00:00"/>
        <d v="2022-08-04T00:00:00"/>
        <d v="2022-08-03T00:00:00"/>
        <d v="2022-08-02T00:00:00"/>
        <d v="2022-07-31T00:00:00"/>
        <d v="2022-07-29T00:00:00"/>
        <d v="2022-07-27T00:00:00"/>
        <d v="2022-07-24T00:00:00"/>
        <d v="2022-07-23T00:00:00"/>
        <d v="2022-07-19T00:00:00"/>
        <d v="2022-07-15T00:00:00"/>
        <d v="2022-07-13T00:00:00"/>
        <d v="2022-07-12T00:00:00"/>
        <d v="2022-07-11T00:00:00"/>
        <d v="2022-07-09T00:00:00"/>
        <d v="2022-07-07T00:00:00"/>
        <d v="2022-07-06T00:00:00"/>
        <d v="2022-07-04T00:00:00"/>
        <d v="2022-07-02T00:00:00"/>
        <d v="2022-06-30T00:00:00"/>
        <d v="2022-06-28T00:00:00"/>
        <d v="2022-06-27T00:00:00"/>
        <d v="2022-06-24T00:00:00"/>
        <d v="2022-06-23T00:00:00"/>
        <d v="2022-06-20T00:00:00"/>
        <d v="2022-06-19T00:00:00"/>
        <d v="2022-06-17T00:00:00"/>
        <d v="2022-06-16T00:00:00"/>
        <d v="2022-06-13T00:00:00"/>
        <d v="2022-06-12T00:00:00"/>
        <d v="2022-06-09T00:00:00"/>
        <d v="2022-06-08T00:00:00"/>
        <d v="2022-06-07T00:00:00"/>
        <d v="2022-06-04T00:00:00"/>
        <d v="2022-06-03T00:00:00"/>
        <d v="2022-06-01T00:00:00"/>
        <d v="2022-05-29T00:00:00"/>
        <d v="2022-05-25T00:00:00"/>
        <d v="2022-05-24T00:00:00"/>
        <d v="2022-05-23T00:00:00"/>
        <d v="2022-05-20T00:00:00"/>
        <d v="2022-05-19T00:00:00"/>
        <d v="2022-05-17T00:00:00"/>
        <d v="2022-05-15T00:00:00"/>
        <d v="2022-05-14T00:00:00"/>
        <d v="2022-05-11T00:00:00"/>
        <d v="2022-05-10T00:00:00"/>
        <d v="2022-05-09T00:00:00"/>
        <d v="2022-05-08T00:00:00"/>
        <d v="2022-04-30T00:00:00"/>
        <d v="2022-04-29T00:00:00"/>
        <d v="2022-04-25T00:00:00"/>
        <d v="2022-04-24T00:00:00"/>
        <d v="2022-04-23T00:00:00"/>
        <d v="2022-04-22T00:00:00"/>
        <d v="2022-04-16T00:00:00"/>
        <d v="2022-04-14T00:00:00"/>
        <d v="2022-04-10T00:00:00"/>
        <d v="2022-04-09T00:00:00"/>
        <d v="2022-04-06T00:00:00"/>
        <d v="2022-04-01T00:00:00"/>
        <d v="2022-03-28T00:00:00"/>
        <d v="2022-03-26T00:00:00"/>
        <d v="2022-03-25T00:00:00"/>
        <d v="2022-03-24T00:00:00"/>
        <d v="2022-03-21T00:00:00"/>
        <d v="2022-03-20T00:00:00"/>
        <d v="2022-03-14T00:00:00"/>
        <d v="2022-03-13T00:00:00"/>
        <d v="2022-03-12T00:00:00"/>
        <d v="2022-03-11T00:00:00"/>
        <d v="2022-03-10T00:00:00"/>
        <d v="2022-03-08T00:00:00"/>
        <d v="2022-02-27T00:00:00"/>
        <d v="2022-02-26T00:00:00"/>
        <d v="2022-02-25T00:00:00"/>
        <d v="2022-02-24T00:00:00"/>
        <d v="2022-02-23T00:00:00"/>
        <d v="2022-02-22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5T00:00:00"/>
        <d v="2022-02-03T00:00:00"/>
        <d v="2022-02-02T00:00:00"/>
        <d v="2022-01-31T00:00:00"/>
        <d v="2022-01-30T00:00:00"/>
        <d v="2022-01-27T00:00:00"/>
        <d v="2022-01-25T00:00:00"/>
        <d v="2022-01-23T00:00:00"/>
        <d v="2022-01-18T00:00:00"/>
        <d v="2022-01-15T00:00:00"/>
        <d v="2022-01-13T00:00:00"/>
        <d v="2022-01-12T00:00:00"/>
        <d v="2022-01-10T00:00:00"/>
        <d v="2022-01-09T00:00:00"/>
        <d v="2022-01-05T00:00:00"/>
        <d v="2022-01-03T00:00:00"/>
        <d v="2022-01-02T00:00:00"/>
        <d v="2022-01-01T00:00:00"/>
        <d v="2021-12-31T00:00:00"/>
        <d v="2021-12-26T00:00:00"/>
        <d v="2021-12-24T00:00:00"/>
        <d v="2021-12-20T00:00:00"/>
        <d v="2021-12-19T00:00:00"/>
        <d v="2021-12-18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7T00:00:00"/>
        <d v="2021-12-04T00:00:00"/>
        <d v="2021-12-03T00:00:00"/>
        <d v="2021-12-02T00:00:00"/>
        <d v="2021-11-30T00:00:00"/>
        <d v="2021-11-28T00:00:00"/>
        <d v="2021-11-23T00:00:00"/>
        <d v="2021-11-22T00:00:00"/>
        <d v="2021-11-21T00:00:00"/>
        <d v="2021-11-20T00:00:00"/>
        <d v="2021-11-19T00:00:00"/>
        <d v="2021-11-17T00:00:00"/>
        <d v="2021-11-16T00:00:00"/>
        <d v="2021-11-14T00:00:00"/>
        <d v="2021-11-07T00:00:00"/>
        <d v="2021-11-04T00:00:00"/>
        <d v="2021-11-03T00:00:00"/>
        <d v="2021-10-31T00:00:00"/>
        <d v="2021-10-26T00:00:00"/>
        <d v="2021-10-25T00:00:00"/>
        <d v="2021-10-22T00:00:00"/>
        <d v="2021-10-20T00:00:00"/>
        <d v="2021-10-17T00:00:00"/>
        <d v="2021-10-16T00:00:00"/>
        <d v="2021-10-14T00:00:00"/>
        <d v="2021-10-13T00:00:00"/>
        <d v="2021-10-03T00:00:00"/>
        <d v="2021-10-01T00:00:00"/>
        <d v="2021-09-30T00:00:00"/>
        <d v="2021-09-28T00:00:00"/>
        <d v="2021-09-27T00:00:00"/>
        <d v="2021-09-23T00:00:00"/>
        <d v="2021-09-22T00:00:00"/>
        <d v="2021-09-20T00:00:00"/>
        <d v="2021-09-19T00:00:00"/>
        <d v="2021-09-17T00:00:00"/>
        <d v="2021-09-16T00:00:00"/>
        <d v="2021-09-14T00:00:00"/>
        <d v="2021-09-12T00:00:00"/>
        <d v="2021-09-11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8-31T00:00:00"/>
        <d v="2021-08-29T00:00:00"/>
        <d v="2021-08-25T00:00:00"/>
        <d v="2021-08-24T00:00:00"/>
        <d v="2021-08-21T00:00:00"/>
        <d v="2021-08-20T00:00:00"/>
        <d v="2021-08-19T00:00:00"/>
        <d v="2021-08-18T00:00:00"/>
        <d v="2021-08-14T00:00:00"/>
        <d v="2021-08-13T00:00:00"/>
        <d v="2021-08-08T00:00:00"/>
        <d v="2021-08-06T00:00:00"/>
        <d v="2021-08-05T00:00:00"/>
        <d v="2021-08-04T00:00:00"/>
        <d v="2021-08-03T00:00:00"/>
        <d v="2021-08-02T00:00:00"/>
        <d v="2021-07-27T00:00:00"/>
        <d v="2021-07-26T00:00:00"/>
        <d v="2021-07-23T00:00:00"/>
        <d v="2021-07-22T00:00:00"/>
        <d v="2021-07-21T00:00:00"/>
        <d v="2021-07-18T00:00:00"/>
        <d v="2021-07-13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6-30T00:00:00"/>
        <d v="2021-06-27T00:00:00"/>
        <d v="2021-06-25T00:00:00"/>
        <d v="2021-06-22T00:00:00"/>
        <d v="2021-06-18T00:00:00"/>
        <d v="2021-06-17T00:00:00"/>
        <d v="2021-06-09T00:00:00"/>
        <d v="2021-06-07T00:00:00"/>
        <d v="2021-06-06T00:00:00"/>
        <d v="2021-06-05T00:00:00"/>
        <d v="2021-06-03T00:00:00"/>
        <d v="2021-06-02T00:00:00"/>
        <d v="2021-05-27T00:00:00"/>
        <d v="2021-05-25T00:00:00"/>
        <d v="2021-05-23T00:00:00"/>
        <d v="2021-05-21T00:00:00"/>
        <d v="2021-05-19T00:00:00"/>
        <d v="2021-05-14T00:00:00"/>
        <d v="2021-05-13T00:00:00"/>
        <d v="2021-05-12T00:00:00"/>
        <d v="2021-05-11T00:00:00"/>
        <d v="2021-05-06T00:00:00"/>
        <d v="2021-05-05T00:00:00"/>
        <d v="2021-05-01T00:00:00"/>
        <d v="2021-04-29T00:00:00"/>
        <d v="2021-04-26T00:00:00"/>
        <d v="2021-04-24T00:00:00"/>
        <d v="2021-04-23T00:00:00"/>
        <d v="2021-04-21T00:00:00"/>
        <d v="2021-04-19T00:00:00"/>
        <d v="2021-04-17T00:00:00"/>
        <d v="2021-04-15T00:00:00"/>
        <d v="2021-04-13T00:00:00"/>
        <d v="2021-04-12T00:00:00"/>
        <d v="2021-04-09T00:00:00"/>
        <d v="2021-04-04T00:00:00"/>
        <d v="2021-04-02T00:00:00"/>
        <d v="2021-04-01T00:00:00"/>
        <d v="2021-03-31T00:00:00"/>
        <d v="2021-03-29T00:00:00"/>
        <d v="2021-03-21T00:00:00"/>
        <d v="2021-03-19T00:00:00"/>
        <d v="2021-03-16T00:00:00"/>
        <d v="2021-03-15T00:00:00"/>
        <d v="2021-03-14T00:00:00"/>
        <d v="2021-03-10T00:00:00"/>
        <d v="2021-03-09T00:00:00"/>
        <d v="2021-03-08T00:00:00"/>
        <d v="2021-03-07T00:00:00"/>
        <d v="2021-03-02T00:00:00"/>
        <d v="2021-02-27T00:00:00"/>
        <d v="2021-02-24T00:00:00"/>
        <d v="2021-02-23T00:00:00"/>
        <d v="2021-02-22T00:00:00"/>
        <d v="2021-02-20T00:00:00"/>
        <d v="2021-02-17T00:00:00"/>
        <d v="2021-02-16T00:00:00"/>
        <d v="2021-02-11T00:00:00"/>
        <d v="2021-02-02T00:00:00"/>
        <d v="2021-01-31T00:00:00"/>
        <d v="2021-01-28T00:00:00"/>
        <d v="2021-01-26T00:00:00"/>
        <d v="2021-01-23T00:00:00"/>
        <d v="2021-01-22T00:00:00"/>
        <d v="2021-01-20T00:00:00"/>
        <d v="2021-01-19T00:00:00"/>
        <d v="2021-01-18T00:00:00"/>
        <d v="2021-01-12T00:00:00"/>
        <d v="2021-01-11T00:00:00"/>
        <d v="2021-01-07T00:00:00"/>
        <d v="2021-01-06T00:00:00"/>
        <d v="2021-01-04T00:00:00"/>
        <d v="2021-01-02T00:00:00"/>
        <d v="2021-01-01T00:00:00"/>
        <d v="2020-12-30T00:00:00"/>
        <d v="2020-12-23T00:00:00"/>
        <d v="2020-12-20T00:00:00"/>
        <d v="2020-12-18T00:00:00"/>
        <d v="2020-12-16T00:00:00"/>
        <d v="2020-12-15T00:00:00"/>
        <d v="2020-12-11T00:00:00"/>
        <d v="2020-12-08T00:00:00"/>
        <d v="2020-12-05T00:00:00"/>
        <d v="2020-12-04T00:00:00"/>
        <d v="2020-12-03T00:00:00"/>
        <d v="2020-12-02T00:00:00"/>
        <d v="2020-12-01T00:00:00"/>
        <d v="2020-11-28T00:00:00"/>
        <d v="2020-11-26T00:00:00"/>
        <d v="2020-11-19T00:00:00"/>
        <d v="2020-11-18T00:00:00"/>
        <d v="2020-11-17T00:00:00"/>
        <d v="2020-11-15T00:00:00"/>
        <d v="2020-11-14T00:00:00"/>
        <d v="2020-11-13T00:00:00"/>
        <d v="2020-11-12T00:00:00"/>
        <d v="2020-11-10T00:00:00"/>
        <d v="2020-11-09T00:00:00"/>
        <d v="2020-11-08T00:00:00"/>
        <d v="2020-11-06T00:00:00"/>
        <d v="2020-11-04T00:00:00"/>
        <d v="2020-11-02T00:00:00"/>
        <d v="2020-10-30T00:00:00"/>
        <d v="2020-10-29T00:00:00"/>
        <d v="2020-10-27T00:00:00"/>
        <d v="2020-10-24T00:00:00"/>
        <d v="2020-10-22T00:00:00"/>
        <d v="2020-10-21T00:00:00"/>
        <d v="2020-10-20T00:00:00"/>
        <d v="2020-10-19T00:00:00"/>
        <d v="2020-10-18T00:00:00"/>
        <d v="2020-10-16T00:00:00"/>
        <d v="2020-10-14T00:00:00"/>
        <d v="2020-10-13T00:00:00"/>
        <d v="2020-10-10T00:00:00"/>
        <d v="2020-10-08T00:00:00"/>
        <d v="2020-10-07T00:00:00"/>
        <d v="2020-10-06T00:00:00"/>
        <d v="2020-10-05T00:00:00"/>
        <d v="2020-10-02T00:00:00"/>
        <d v="2020-09-30T00:00:00"/>
        <d v="2020-09-28T00:00:00"/>
        <d v="2020-09-25T00:00:00"/>
        <d v="2020-09-24T00:00:00"/>
        <d v="2020-09-21T00:00:00"/>
        <d v="2020-09-19T00:00:00"/>
        <d v="2020-09-15T00:00:00"/>
        <d v="2020-09-14T00:00:00"/>
        <d v="2020-09-13T00:00:00"/>
        <d v="2020-09-11T00:00:00"/>
        <d v="2020-09-10T00:00:00"/>
        <d v="2020-09-09T00:00:00"/>
        <d v="2020-09-08T00:00:00"/>
        <d v="2020-09-05T00:00:00"/>
        <d v="2020-09-04T00:00:00"/>
        <d v="2020-09-02T00:00:00"/>
        <d v="2020-09-01T00:00:00"/>
        <d v="2020-08-27T00:00:00"/>
        <d v="2020-08-24T00:00:00"/>
        <d v="2020-08-21T00:00:00"/>
        <d v="2020-08-16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6T00:00:00"/>
        <d v="2020-08-05T00:00:00"/>
        <d v="2020-08-04T00:00:00"/>
        <d v="2020-07-30T00:00:00"/>
        <d v="2020-07-29T00:00:00"/>
        <d v="2020-07-28T00:00:00"/>
        <d v="2020-07-27T00:00:00"/>
        <d v="2020-07-25T00:00:00"/>
        <d v="2020-07-24T00:00:00"/>
        <d v="2020-07-21T00:00:00"/>
        <d v="2020-07-20T00:00:00"/>
        <d v="2020-07-19T00:00:00"/>
        <d v="2020-07-18T00:00:00"/>
        <d v="2020-07-16T00:00:00"/>
        <d v="2020-07-09T00:00:00"/>
        <d v="2020-07-07T00:00:00"/>
        <d v="2020-07-06T00:00:00"/>
        <d v="2020-07-05T00:00:00"/>
        <d v="2020-06-30T00:00:00"/>
        <d v="2020-06-28T00:00:00"/>
        <d v="2020-06-27T00:00:00"/>
        <d v="2020-06-25T00:00:00"/>
        <d v="2020-06-24T00:00:00"/>
        <d v="2020-06-23T00:00:00"/>
        <d v="2020-06-21T00:00:00"/>
        <d v="2020-06-20T00:00:00"/>
        <d v="2020-06-18T00:00:00"/>
        <d v="2020-06-17T00:00:00"/>
        <d v="2020-06-15T00:00:00"/>
        <d v="2020-06-14T00:00:00"/>
        <d v="2020-06-12T00:00:00"/>
        <d v="2020-06-10T00:00:00"/>
        <d v="2020-06-09T00:00:00"/>
        <d v="2020-06-08T00:00:00"/>
        <d v="2020-06-07T00:00:00"/>
        <d v="2020-06-06T00:00:00"/>
        <d v="2020-06-05T00:00:00"/>
        <d v="2020-06-03T00:00:00"/>
        <d v="2020-06-02T00:00:00"/>
        <d v="2020-06-01T00:00:00"/>
        <d v="2020-05-27T00:00:00"/>
        <d v="2020-05-20T00:00:00"/>
        <d v="2020-05-19T00:00:00"/>
        <d v="2020-05-15T00:00:00"/>
        <d v="2020-05-13T00:00:00"/>
        <d v="2020-05-12T00:00:00"/>
        <d v="2020-05-11T00:00:00"/>
        <d v="2020-05-10T00:00:00"/>
        <d v="2020-05-04T00:00:00"/>
        <d v="2020-05-03T00:00:00"/>
        <d v="2020-05-01T00:00:00"/>
        <d v="2020-04-28T00:00:00"/>
        <d v="2020-04-25T00:00:00"/>
        <d v="2020-04-24T00:00:00"/>
        <d v="2020-04-23T00:00:00"/>
        <d v="2020-04-22T00:00:00"/>
        <d v="2020-04-21T00:00:00"/>
        <d v="2020-04-20T00:00:00"/>
        <d v="2020-04-18T00:00:00"/>
        <d v="2020-04-16T00:00:00"/>
        <d v="2020-04-15T00:00:00"/>
        <d v="2020-04-14T00:00:00"/>
        <d v="2020-04-11T00:00:00"/>
        <d v="2020-04-10T00:00:00"/>
        <d v="2020-04-09T00:00:00"/>
        <d v="2020-04-05T00:00:00"/>
        <d v="2020-04-04T00:00:00"/>
        <d v="2020-03-31T00:00:00"/>
        <d v="2020-03-30T00:00:00"/>
        <d v="2020-03-28T00:00:00"/>
        <d v="2020-03-27T00:00:00"/>
        <d v="2020-03-26T00:00:00"/>
        <d v="2020-03-25T00:00:00"/>
        <d v="2020-03-23T00:00:00"/>
        <d v="2020-03-20T00:00:00"/>
        <d v="2020-03-15T00:00:00"/>
        <d v="2020-03-14T00:00:00"/>
        <d v="2020-03-13T00:00:00"/>
        <d v="2020-03-08T00:00:00"/>
        <d v="2020-03-07T00:00:00"/>
        <d v="2020-03-05T00:00:00"/>
        <d v="2020-03-04T00:00:00"/>
        <d v="2020-03-01T00:00:00"/>
        <d v="2020-02-28T00:00:00"/>
        <d v="2020-02-25T00:00:00"/>
        <d v="2020-02-24T00:00:00"/>
        <d v="2020-02-21T00:00:00"/>
        <d v="2020-02-19T00:00:00"/>
        <d v="2020-02-17T00:00:00"/>
        <d v="2020-02-13T00:00:00"/>
        <d v="2020-02-12T00:00:00"/>
        <d v="2020-02-11T00:00:00"/>
        <d v="2020-02-10T00:00:00"/>
        <d v="2020-02-09T00:00:00"/>
        <d v="2020-02-07T00:00:00"/>
        <d v="2020-02-06T00:00:00"/>
        <d v="2020-02-02T00:00:00"/>
        <d v="2020-02-01T00:00:00"/>
        <d v="2020-01-31T00:00:00"/>
        <d v="2020-01-30T00:00:00"/>
        <d v="2020-01-23T00:00:00"/>
        <d v="2020-01-15T00:00:00"/>
        <d v="2020-01-14T00:00:00"/>
        <d v="2020-01-11T00:00:00"/>
        <d v="2020-01-08T00:00:00"/>
        <d v="2020-01-07T00:00:00"/>
        <d v="2020-01-04T00:00:00"/>
        <d v="2020-01-02T00:00:00"/>
      </sharedItems>
      <fieldGroup par="7"/>
    </cacheField>
    <cacheField name="Month" numFmtId="0">
      <sharedItems containsSemiMixedTypes="0" containsString="0" containsNumber="1" containsInteger="1" minValue="1" maxValue="12"/>
    </cacheField>
    <cacheField name="Year" numFmtId="0">
      <sharedItems containsSemiMixedTypes="0" containsString="0" containsNumber="1" containsInteger="1" minValue="2020" maxValue="2023"/>
    </cacheField>
    <cacheField name="Country" numFmtId="0">
      <sharedItems count="9">
        <s v="Italy"/>
        <s v="UK"/>
        <s v="Australia"/>
        <s v="China"/>
        <s v="Spain"/>
        <s v="India"/>
        <s v="Japan"/>
        <s v="Canada"/>
        <s v="USA"/>
      </sharedItems>
    </cacheField>
    <cacheField name="Quantity" numFmtId="0">
      <sharedItems containsSemiMixedTypes="0" containsString="0" containsNumber="1" containsInteger="1" minValue="1" maxValue="5"/>
    </cacheField>
    <cacheField name="Months (Date)" numFmtId="0" databaseField="0">
      <fieldGroup base="0">
        <rangePr groupBy="months" startDate="2020-01-02T00:00:00" endDate="2024-01-01T00:00:00"/>
        <groupItems count="14">
          <s v="&lt;02/0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2024"/>
        </groupItems>
      </fieldGroup>
    </cacheField>
    <cacheField name="Quarters (Date)" numFmtId="0" databaseField="0">
      <fieldGroup base="0">
        <rangePr groupBy="quarters" startDate="2020-01-02T00:00:00" endDate="2024-01-01T00:00:00"/>
        <groupItems count="6">
          <s v="&lt;02/01/2020"/>
          <s v="Qtr1"/>
          <s v="Qtr2"/>
          <s v="Qtr3"/>
          <s v="Qtr4"/>
          <s v="&gt;01/01/2024"/>
        </groupItems>
      </fieldGroup>
    </cacheField>
    <cacheField name="Years (Date)" numFmtId="0" databaseField="0">
      <fieldGroup base="0">
        <rangePr groupBy="years" startDate="2020-01-02T00:00:00" endDate="2024-01-01T00:00:00"/>
        <groupItems count="7">
          <s v="&lt;02/01/2020"/>
          <s v="2020"/>
          <s v="2021"/>
          <s v="2022"/>
          <s v="2023"/>
          <s v="2024"/>
          <s v="&gt;01/0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n v="12"/>
    <n v="2023"/>
    <x v="0"/>
    <n v="4"/>
  </r>
  <r>
    <x v="1"/>
    <n v="12"/>
    <n v="2023"/>
    <x v="1"/>
    <n v="5"/>
  </r>
  <r>
    <x v="2"/>
    <n v="12"/>
    <n v="2023"/>
    <x v="2"/>
    <n v="3"/>
  </r>
  <r>
    <x v="2"/>
    <n v="12"/>
    <n v="2023"/>
    <x v="2"/>
    <n v="2"/>
  </r>
  <r>
    <x v="2"/>
    <n v="12"/>
    <n v="2023"/>
    <x v="3"/>
    <n v="3"/>
  </r>
  <r>
    <x v="3"/>
    <n v="12"/>
    <n v="2023"/>
    <x v="4"/>
    <n v="5"/>
  </r>
  <r>
    <x v="4"/>
    <n v="12"/>
    <n v="2023"/>
    <x v="1"/>
    <n v="4"/>
  </r>
  <r>
    <x v="5"/>
    <n v="12"/>
    <n v="2023"/>
    <x v="5"/>
    <n v="1"/>
  </r>
  <r>
    <x v="5"/>
    <n v="12"/>
    <n v="2023"/>
    <x v="2"/>
    <n v="3"/>
  </r>
  <r>
    <x v="6"/>
    <n v="12"/>
    <n v="2023"/>
    <x v="1"/>
    <n v="4"/>
  </r>
  <r>
    <x v="6"/>
    <n v="12"/>
    <n v="2023"/>
    <x v="0"/>
    <n v="2"/>
  </r>
  <r>
    <x v="7"/>
    <n v="12"/>
    <n v="2023"/>
    <x v="3"/>
    <n v="4"/>
  </r>
  <r>
    <x v="8"/>
    <n v="12"/>
    <n v="2023"/>
    <x v="3"/>
    <n v="2"/>
  </r>
  <r>
    <x v="9"/>
    <n v="12"/>
    <n v="2023"/>
    <x v="0"/>
    <n v="4"/>
  </r>
  <r>
    <x v="10"/>
    <n v="12"/>
    <n v="2023"/>
    <x v="4"/>
    <n v="1"/>
  </r>
  <r>
    <x v="11"/>
    <n v="12"/>
    <n v="2023"/>
    <x v="0"/>
    <n v="2"/>
  </r>
  <r>
    <x v="11"/>
    <n v="12"/>
    <n v="2023"/>
    <x v="6"/>
    <n v="4"/>
  </r>
  <r>
    <x v="12"/>
    <n v="12"/>
    <n v="2023"/>
    <x v="4"/>
    <n v="4"/>
  </r>
  <r>
    <x v="12"/>
    <n v="12"/>
    <n v="2023"/>
    <x v="3"/>
    <n v="4"/>
  </r>
  <r>
    <x v="13"/>
    <n v="12"/>
    <n v="2023"/>
    <x v="1"/>
    <n v="4"/>
  </r>
  <r>
    <x v="14"/>
    <n v="12"/>
    <n v="2023"/>
    <x v="1"/>
    <n v="4"/>
  </r>
  <r>
    <x v="14"/>
    <n v="12"/>
    <n v="2023"/>
    <x v="3"/>
    <n v="1"/>
  </r>
  <r>
    <x v="15"/>
    <n v="12"/>
    <n v="2023"/>
    <x v="1"/>
    <n v="5"/>
  </r>
  <r>
    <x v="15"/>
    <n v="12"/>
    <n v="2023"/>
    <x v="6"/>
    <n v="2"/>
  </r>
  <r>
    <x v="16"/>
    <n v="12"/>
    <n v="2023"/>
    <x v="6"/>
    <n v="3"/>
  </r>
  <r>
    <x v="17"/>
    <n v="11"/>
    <n v="2023"/>
    <x v="4"/>
    <n v="3"/>
  </r>
  <r>
    <x v="17"/>
    <n v="11"/>
    <n v="2023"/>
    <x v="7"/>
    <n v="5"/>
  </r>
  <r>
    <x v="17"/>
    <n v="11"/>
    <n v="2023"/>
    <x v="2"/>
    <n v="3"/>
  </r>
  <r>
    <x v="18"/>
    <n v="11"/>
    <n v="2023"/>
    <x v="2"/>
    <n v="1"/>
  </r>
  <r>
    <x v="19"/>
    <n v="11"/>
    <n v="2023"/>
    <x v="7"/>
    <n v="2"/>
  </r>
  <r>
    <x v="20"/>
    <n v="11"/>
    <n v="2023"/>
    <x v="8"/>
    <n v="5"/>
  </r>
  <r>
    <x v="20"/>
    <n v="11"/>
    <n v="2023"/>
    <x v="7"/>
    <n v="4"/>
  </r>
  <r>
    <x v="21"/>
    <n v="11"/>
    <n v="2023"/>
    <x v="3"/>
    <n v="1"/>
  </r>
  <r>
    <x v="22"/>
    <n v="11"/>
    <n v="2023"/>
    <x v="5"/>
    <n v="3"/>
  </r>
  <r>
    <x v="23"/>
    <n v="11"/>
    <n v="2023"/>
    <x v="7"/>
    <n v="2"/>
  </r>
  <r>
    <x v="24"/>
    <n v="11"/>
    <n v="2023"/>
    <x v="0"/>
    <n v="2"/>
  </r>
  <r>
    <x v="25"/>
    <n v="11"/>
    <n v="2023"/>
    <x v="4"/>
    <n v="2"/>
  </r>
  <r>
    <x v="26"/>
    <n v="11"/>
    <n v="2023"/>
    <x v="0"/>
    <n v="3"/>
  </r>
  <r>
    <x v="26"/>
    <n v="11"/>
    <n v="2023"/>
    <x v="4"/>
    <n v="5"/>
  </r>
  <r>
    <x v="27"/>
    <n v="11"/>
    <n v="2023"/>
    <x v="8"/>
    <n v="5"/>
  </r>
  <r>
    <x v="28"/>
    <n v="11"/>
    <n v="2023"/>
    <x v="7"/>
    <n v="3"/>
  </r>
  <r>
    <x v="28"/>
    <n v="11"/>
    <n v="2023"/>
    <x v="8"/>
    <n v="5"/>
  </r>
  <r>
    <x v="29"/>
    <n v="11"/>
    <n v="2023"/>
    <x v="4"/>
    <n v="1"/>
  </r>
  <r>
    <x v="30"/>
    <n v="11"/>
    <n v="2023"/>
    <x v="7"/>
    <n v="5"/>
  </r>
  <r>
    <x v="31"/>
    <n v="11"/>
    <n v="2023"/>
    <x v="5"/>
    <n v="3"/>
  </r>
  <r>
    <x v="31"/>
    <n v="11"/>
    <n v="2023"/>
    <x v="5"/>
    <n v="5"/>
  </r>
  <r>
    <x v="32"/>
    <n v="10"/>
    <n v="2023"/>
    <x v="7"/>
    <n v="4"/>
  </r>
  <r>
    <x v="32"/>
    <n v="10"/>
    <n v="2023"/>
    <x v="2"/>
    <n v="4"/>
  </r>
  <r>
    <x v="33"/>
    <n v="10"/>
    <n v="2023"/>
    <x v="6"/>
    <n v="5"/>
  </r>
  <r>
    <x v="33"/>
    <n v="10"/>
    <n v="2023"/>
    <x v="4"/>
    <n v="5"/>
  </r>
  <r>
    <x v="33"/>
    <n v="10"/>
    <n v="2023"/>
    <x v="6"/>
    <n v="5"/>
  </r>
  <r>
    <x v="34"/>
    <n v="10"/>
    <n v="2023"/>
    <x v="1"/>
    <n v="5"/>
  </r>
  <r>
    <x v="34"/>
    <n v="10"/>
    <n v="2023"/>
    <x v="0"/>
    <n v="2"/>
  </r>
  <r>
    <x v="34"/>
    <n v="10"/>
    <n v="2023"/>
    <x v="6"/>
    <n v="3"/>
  </r>
  <r>
    <x v="35"/>
    <n v="10"/>
    <n v="2023"/>
    <x v="6"/>
    <n v="1"/>
  </r>
  <r>
    <x v="36"/>
    <n v="10"/>
    <n v="2023"/>
    <x v="3"/>
    <n v="3"/>
  </r>
  <r>
    <x v="37"/>
    <n v="10"/>
    <n v="2023"/>
    <x v="2"/>
    <n v="1"/>
  </r>
  <r>
    <x v="38"/>
    <n v="10"/>
    <n v="2023"/>
    <x v="8"/>
    <n v="2"/>
  </r>
  <r>
    <x v="38"/>
    <n v="10"/>
    <n v="2023"/>
    <x v="6"/>
    <n v="1"/>
  </r>
  <r>
    <x v="39"/>
    <n v="10"/>
    <n v="2023"/>
    <x v="6"/>
    <n v="3"/>
  </r>
  <r>
    <x v="39"/>
    <n v="10"/>
    <n v="2023"/>
    <x v="4"/>
    <n v="4"/>
  </r>
  <r>
    <x v="40"/>
    <n v="10"/>
    <n v="2023"/>
    <x v="7"/>
    <n v="3"/>
  </r>
  <r>
    <x v="41"/>
    <n v="10"/>
    <n v="2023"/>
    <x v="7"/>
    <n v="3"/>
  </r>
  <r>
    <x v="41"/>
    <n v="10"/>
    <n v="2023"/>
    <x v="2"/>
    <n v="1"/>
  </r>
  <r>
    <x v="42"/>
    <n v="10"/>
    <n v="2023"/>
    <x v="0"/>
    <n v="4"/>
  </r>
  <r>
    <x v="43"/>
    <n v="10"/>
    <n v="2023"/>
    <x v="6"/>
    <n v="4"/>
  </r>
  <r>
    <x v="44"/>
    <n v="10"/>
    <n v="2023"/>
    <x v="2"/>
    <n v="2"/>
  </r>
  <r>
    <x v="44"/>
    <n v="10"/>
    <n v="2023"/>
    <x v="4"/>
    <n v="2"/>
  </r>
  <r>
    <x v="45"/>
    <n v="10"/>
    <n v="2023"/>
    <x v="0"/>
    <n v="4"/>
  </r>
  <r>
    <x v="46"/>
    <n v="10"/>
    <n v="2023"/>
    <x v="2"/>
    <n v="3"/>
  </r>
  <r>
    <x v="47"/>
    <n v="10"/>
    <n v="2023"/>
    <x v="7"/>
    <n v="1"/>
  </r>
  <r>
    <x v="48"/>
    <n v="10"/>
    <n v="2023"/>
    <x v="0"/>
    <n v="1"/>
  </r>
  <r>
    <x v="49"/>
    <n v="10"/>
    <n v="2023"/>
    <x v="0"/>
    <n v="1"/>
  </r>
  <r>
    <x v="49"/>
    <n v="10"/>
    <n v="2023"/>
    <x v="7"/>
    <n v="3"/>
  </r>
  <r>
    <x v="50"/>
    <n v="10"/>
    <n v="2023"/>
    <x v="6"/>
    <n v="1"/>
  </r>
  <r>
    <x v="50"/>
    <n v="10"/>
    <n v="2023"/>
    <x v="4"/>
    <n v="5"/>
  </r>
  <r>
    <x v="51"/>
    <n v="9"/>
    <n v="2023"/>
    <x v="7"/>
    <n v="2"/>
  </r>
  <r>
    <x v="52"/>
    <n v="9"/>
    <n v="2023"/>
    <x v="4"/>
    <n v="5"/>
  </r>
  <r>
    <x v="53"/>
    <n v="9"/>
    <n v="2023"/>
    <x v="2"/>
    <n v="3"/>
  </r>
  <r>
    <x v="54"/>
    <n v="9"/>
    <n v="2023"/>
    <x v="3"/>
    <n v="1"/>
  </r>
  <r>
    <x v="55"/>
    <n v="9"/>
    <n v="2023"/>
    <x v="0"/>
    <n v="5"/>
  </r>
  <r>
    <x v="56"/>
    <n v="9"/>
    <n v="2023"/>
    <x v="8"/>
    <n v="4"/>
  </r>
  <r>
    <x v="57"/>
    <n v="9"/>
    <n v="2023"/>
    <x v="5"/>
    <n v="1"/>
  </r>
  <r>
    <x v="57"/>
    <n v="9"/>
    <n v="2023"/>
    <x v="0"/>
    <n v="4"/>
  </r>
  <r>
    <x v="58"/>
    <n v="9"/>
    <n v="2023"/>
    <x v="5"/>
    <n v="3"/>
  </r>
  <r>
    <x v="58"/>
    <n v="9"/>
    <n v="2023"/>
    <x v="8"/>
    <n v="1"/>
  </r>
  <r>
    <x v="59"/>
    <n v="9"/>
    <n v="2023"/>
    <x v="8"/>
    <n v="5"/>
  </r>
  <r>
    <x v="59"/>
    <n v="9"/>
    <n v="2023"/>
    <x v="6"/>
    <n v="2"/>
  </r>
  <r>
    <x v="59"/>
    <n v="9"/>
    <n v="2023"/>
    <x v="0"/>
    <n v="4"/>
  </r>
  <r>
    <x v="60"/>
    <n v="9"/>
    <n v="2023"/>
    <x v="8"/>
    <n v="1"/>
  </r>
  <r>
    <x v="61"/>
    <n v="9"/>
    <n v="2023"/>
    <x v="6"/>
    <n v="3"/>
  </r>
  <r>
    <x v="61"/>
    <n v="9"/>
    <n v="2023"/>
    <x v="6"/>
    <n v="2"/>
  </r>
  <r>
    <x v="62"/>
    <n v="9"/>
    <n v="2023"/>
    <x v="5"/>
    <n v="4"/>
  </r>
  <r>
    <x v="62"/>
    <n v="9"/>
    <n v="2023"/>
    <x v="7"/>
    <n v="4"/>
  </r>
  <r>
    <x v="63"/>
    <n v="9"/>
    <n v="2023"/>
    <x v="7"/>
    <n v="2"/>
  </r>
  <r>
    <x v="64"/>
    <n v="9"/>
    <n v="2023"/>
    <x v="5"/>
    <n v="2"/>
  </r>
  <r>
    <x v="65"/>
    <n v="9"/>
    <n v="2023"/>
    <x v="1"/>
    <n v="3"/>
  </r>
  <r>
    <x v="66"/>
    <n v="9"/>
    <n v="2023"/>
    <x v="6"/>
    <n v="1"/>
  </r>
  <r>
    <x v="67"/>
    <n v="8"/>
    <n v="2023"/>
    <x v="0"/>
    <n v="1"/>
  </r>
  <r>
    <x v="67"/>
    <n v="8"/>
    <n v="2023"/>
    <x v="8"/>
    <n v="5"/>
  </r>
  <r>
    <x v="68"/>
    <n v="8"/>
    <n v="2023"/>
    <x v="8"/>
    <n v="4"/>
  </r>
  <r>
    <x v="68"/>
    <n v="8"/>
    <n v="2023"/>
    <x v="0"/>
    <n v="5"/>
  </r>
  <r>
    <x v="69"/>
    <n v="8"/>
    <n v="2023"/>
    <x v="4"/>
    <n v="2"/>
  </r>
  <r>
    <x v="70"/>
    <n v="8"/>
    <n v="2023"/>
    <x v="6"/>
    <n v="3"/>
  </r>
  <r>
    <x v="71"/>
    <n v="8"/>
    <n v="2023"/>
    <x v="7"/>
    <n v="4"/>
  </r>
  <r>
    <x v="71"/>
    <n v="8"/>
    <n v="2023"/>
    <x v="1"/>
    <n v="4"/>
  </r>
  <r>
    <x v="72"/>
    <n v="8"/>
    <n v="2023"/>
    <x v="3"/>
    <n v="5"/>
  </r>
  <r>
    <x v="73"/>
    <n v="8"/>
    <n v="2023"/>
    <x v="8"/>
    <n v="3"/>
  </r>
  <r>
    <x v="74"/>
    <n v="8"/>
    <n v="2023"/>
    <x v="8"/>
    <n v="5"/>
  </r>
  <r>
    <x v="74"/>
    <n v="8"/>
    <n v="2023"/>
    <x v="2"/>
    <n v="1"/>
  </r>
  <r>
    <x v="75"/>
    <n v="8"/>
    <n v="2023"/>
    <x v="8"/>
    <n v="3"/>
  </r>
  <r>
    <x v="76"/>
    <n v="8"/>
    <n v="2023"/>
    <x v="0"/>
    <n v="1"/>
  </r>
  <r>
    <x v="77"/>
    <n v="8"/>
    <n v="2023"/>
    <x v="2"/>
    <n v="1"/>
  </r>
  <r>
    <x v="77"/>
    <n v="8"/>
    <n v="2023"/>
    <x v="5"/>
    <n v="3"/>
  </r>
  <r>
    <x v="78"/>
    <n v="8"/>
    <n v="2023"/>
    <x v="5"/>
    <n v="4"/>
  </r>
  <r>
    <x v="78"/>
    <n v="8"/>
    <n v="2023"/>
    <x v="7"/>
    <n v="2"/>
  </r>
  <r>
    <x v="79"/>
    <n v="8"/>
    <n v="2023"/>
    <x v="1"/>
    <n v="2"/>
  </r>
  <r>
    <x v="80"/>
    <n v="8"/>
    <n v="2023"/>
    <x v="4"/>
    <n v="5"/>
  </r>
  <r>
    <x v="81"/>
    <n v="8"/>
    <n v="2023"/>
    <x v="3"/>
    <n v="4"/>
  </r>
  <r>
    <x v="81"/>
    <n v="8"/>
    <n v="2023"/>
    <x v="5"/>
    <n v="3"/>
  </r>
  <r>
    <x v="82"/>
    <n v="8"/>
    <n v="2023"/>
    <x v="2"/>
    <n v="3"/>
  </r>
  <r>
    <x v="83"/>
    <n v="8"/>
    <n v="2023"/>
    <x v="0"/>
    <n v="2"/>
  </r>
  <r>
    <x v="84"/>
    <n v="7"/>
    <n v="2023"/>
    <x v="0"/>
    <n v="3"/>
  </r>
  <r>
    <x v="85"/>
    <n v="7"/>
    <n v="2023"/>
    <x v="4"/>
    <n v="2"/>
  </r>
  <r>
    <x v="86"/>
    <n v="7"/>
    <n v="2023"/>
    <x v="6"/>
    <n v="3"/>
  </r>
  <r>
    <x v="87"/>
    <n v="7"/>
    <n v="2023"/>
    <x v="6"/>
    <n v="3"/>
  </r>
  <r>
    <x v="88"/>
    <n v="7"/>
    <n v="2023"/>
    <x v="6"/>
    <n v="5"/>
  </r>
  <r>
    <x v="89"/>
    <n v="7"/>
    <n v="2023"/>
    <x v="1"/>
    <n v="1"/>
  </r>
  <r>
    <x v="89"/>
    <n v="7"/>
    <n v="2023"/>
    <x v="7"/>
    <n v="2"/>
  </r>
  <r>
    <x v="89"/>
    <n v="7"/>
    <n v="2023"/>
    <x v="3"/>
    <n v="2"/>
  </r>
  <r>
    <x v="89"/>
    <n v="7"/>
    <n v="2023"/>
    <x v="5"/>
    <n v="2"/>
  </r>
  <r>
    <x v="90"/>
    <n v="7"/>
    <n v="2023"/>
    <x v="2"/>
    <n v="2"/>
  </r>
  <r>
    <x v="91"/>
    <n v="7"/>
    <n v="2023"/>
    <x v="6"/>
    <n v="1"/>
  </r>
  <r>
    <x v="92"/>
    <n v="7"/>
    <n v="2023"/>
    <x v="6"/>
    <n v="5"/>
  </r>
  <r>
    <x v="93"/>
    <n v="7"/>
    <n v="2023"/>
    <x v="4"/>
    <n v="2"/>
  </r>
  <r>
    <x v="94"/>
    <n v="7"/>
    <n v="2023"/>
    <x v="0"/>
    <n v="1"/>
  </r>
  <r>
    <x v="95"/>
    <n v="7"/>
    <n v="2023"/>
    <x v="3"/>
    <n v="3"/>
  </r>
  <r>
    <x v="96"/>
    <n v="7"/>
    <n v="2023"/>
    <x v="7"/>
    <n v="5"/>
  </r>
  <r>
    <x v="97"/>
    <n v="7"/>
    <n v="2023"/>
    <x v="5"/>
    <n v="4"/>
  </r>
  <r>
    <x v="98"/>
    <n v="7"/>
    <n v="2023"/>
    <x v="1"/>
    <n v="1"/>
  </r>
  <r>
    <x v="98"/>
    <n v="7"/>
    <n v="2023"/>
    <x v="6"/>
    <n v="1"/>
  </r>
  <r>
    <x v="99"/>
    <n v="7"/>
    <n v="2023"/>
    <x v="0"/>
    <n v="5"/>
  </r>
  <r>
    <x v="100"/>
    <n v="7"/>
    <n v="2023"/>
    <x v="4"/>
    <n v="5"/>
  </r>
  <r>
    <x v="101"/>
    <n v="7"/>
    <n v="2023"/>
    <x v="0"/>
    <n v="2"/>
  </r>
  <r>
    <x v="102"/>
    <n v="7"/>
    <n v="2023"/>
    <x v="4"/>
    <n v="2"/>
  </r>
  <r>
    <x v="103"/>
    <n v="6"/>
    <n v="2023"/>
    <x v="8"/>
    <n v="5"/>
  </r>
  <r>
    <x v="103"/>
    <n v="6"/>
    <n v="2023"/>
    <x v="3"/>
    <n v="2"/>
  </r>
  <r>
    <x v="104"/>
    <n v="6"/>
    <n v="2023"/>
    <x v="2"/>
    <n v="1"/>
  </r>
  <r>
    <x v="104"/>
    <n v="6"/>
    <n v="2023"/>
    <x v="1"/>
    <n v="5"/>
  </r>
  <r>
    <x v="105"/>
    <n v="6"/>
    <n v="2023"/>
    <x v="1"/>
    <n v="5"/>
  </r>
  <r>
    <x v="106"/>
    <n v="6"/>
    <n v="2023"/>
    <x v="3"/>
    <n v="3"/>
  </r>
  <r>
    <x v="107"/>
    <n v="6"/>
    <n v="2023"/>
    <x v="6"/>
    <n v="3"/>
  </r>
  <r>
    <x v="108"/>
    <n v="6"/>
    <n v="2023"/>
    <x v="7"/>
    <n v="4"/>
  </r>
  <r>
    <x v="109"/>
    <n v="6"/>
    <n v="2023"/>
    <x v="3"/>
    <n v="2"/>
  </r>
  <r>
    <x v="109"/>
    <n v="6"/>
    <n v="2023"/>
    <x v="6"/>
    <n v="4"/>
  </r>
  <r>
    <x v="110"/>
    <n v="6"/>
    <n v="2023"/>
    <x v="8"/>
    <n v="5"/>
  </r>
  <r>
    <x v="111"/>
    <n v="6"/>
    <n v="2023"/>
    <x v="6"/>
    <n v="4"/>
  </r>
  <r>
    <x v="112"/>
    <n v="6"/>
    <n v="2023"/>
    <x v="2"/>
    <n v="3"/>
  </r>
  <r>
    <x v="113"/>
    <n v="6"/>
    <n v="2023"/>
    <x v="2"/>
    <n v="2"/>
  </r>
  <r>
    <x v="114"/>
    <n v="6"/>
    <n v="2023"/>
    <x v="8"/>
    <n v="2"/>
  </r>
  <r>
    <x v="115"/>
    <n v="6"/>
    <n v="2023"/>
    <x v="7"/>
    <n v="2"/>
  </r>
  <r>
    <x v="116"/>
    <n v="6"/>
    <n v="2023"/>
    <x v="8"/>
    <n v="3"/>
  </r>
  <r>
    <x v="117"/>
    <n v="6"/>
    <n v="2023"/>
    <x v="2"/>
    <n v="5"/>
  </r>
  <r>
    <x v="117"/>
    <n v="6"/>
    <n v="2023"/>
    <x v="3"/>
    <n v="3"/>
  </r>
  <r>
    <x v="118"/>
    <n v="6"/>
    <n v="2023"/>
    <x v="6"/>
    <n v="3"/>
  </r>
  <r>
    <x v="119"/>
    <n v="5"/>
    <n v="2023"/>
    <x v="2"/>
    <n v="3"/>
  </r>
  <r>
    <x v="119"/>
    <n v="5"/>
    <n v="2023"/>
    <x v="6"/>
    <n v="2"/>
  </r>
  <r>
    <x v="120"/>
    <n v="5"/>
    <n v="2023"/>
    <x v="2"/>
    <n v="5"/>
  </r>
  <r>
    <x v="121"/>
    <n v="5"/>
    <n v="2023"/>
    <x v="3"/>
    <n v="4"/>
  </r>
  <r>
    <x v="122"/>
    <n v="5"/>
    <n v="2023"/>
    <x v="8"/>
    <n v="3"/>
  </r>
  <r>
    <x v="122"/>
    <n v="5"/>
    <n v="2023"/>
    <x v="5"/>
    <n v="3"/>
  </r>
  <r>
    <x v="123"/>
    <n v="5"/>
    <n v="2023"/>
    <x v="4"/>
    <n v="5"/>
  </r>
  <r>
    <x v="124"/>
    <n v="5"/>
    <n v="2023"/>
    <x v="5"/>
    <n v="3"/>
  </r>
  <r>
    <x v="125"/>
    <n v="5"/>
    <n v="2023"/>
    <x v="5"/>
    <n v="3"/>
  </r>
  <r>
    <x v="126"/>
    <n v="5"/>
    <n v="2023"/>
    <x v="2"/>
    <n v="4"/>
  </r>
  <r>
    <x v="127"/>
    <n v="5"/>
    <n v="2023"/>
    <x v="5"/>
    <n v="4"/>
  </r>
  <r>
    <x v="128"/>
    <n v="5"/>
    <n v="2023"/>
    <x v="2"/>
    <n v="4"/>
  </r>
  <r>
    <x v="129"/>
    <n v="5"/>
    <n v="2023"/>
    <x v="3"/>
    <n v="2"/>
  </r>
  <r>
    <x v="130"/>
    <n v="5"/>
    <n v="2023"/>
    <x v="8"/>
    <n v="4"/>
  </r>
  <r>
    <x v="130"/>
    <n v="5"/>
    <n v="2023"/>
    <x v="8"/>
    <n v="4"/>
  </r>
  <r>
    <x v="130"/>
    <n v="5"/>
    <n v="2023"/>
    <x v="2"/>
    <n v="5"/>
  </r>
  <r>
    <x v="131"/>
    <n v="5"/>
    <n v="2023"/>
    <x v="7"/>
    <n v="2"/>
  </r>
  <r>
    <x v="132"/>
    <n v="5"/>
    <n v="2023"/>
    <x v="4"/>
    <n v="4"/>
  </r>
  <r>
    <x v="133"/>
    <n v="4"/>
    <n v="2023"/>
    <x v="2"/>
    <n v="5"/>
  </r>
  <r>
    <x v="133"/>
    <n v="4"/>
    <n v="2023"/>
    <x v="2"/>
    <n v="4"/>
  </r>
  <r>
    <x v="134"/>
    <n v="4"/>
    <n v="2023"/>
    <x v="2"/>
    <n v="1"/>
  </r>
  <r>
    <x v="134"/>
    <n v="4"/>
    <n v="2023"/>
    <x v="6"/>
    <n v="5"/>
  </r>
  <r>
    <x v="135"/>
    <n v="4"/>
    <n v="2023"/>
    <x v="8"/>
    <n v="3"/>
  </r>
  <r>
    <x v="136"/>
    <n v="4"/>
    <n v="2023"/>
    <x v="0"/>
    <n v="4"/>
  </r>
  <r>
    <x v="136"/>
    <n v="4"/>
    <n v="2023"/>
    <x v="5"/>
    <n v="4"/>
  </r>
  <r>
    <x v="137"/>
    <n v="4"/>
    <n v="2023"/>
    <x v="7"/>
    <n v="5"/>
  </r>
  <r>
    <x v="137"/>
    <n v="4"/>
    <n v="2023"/>
    <x v="0"/>
    <n v="1"/>
  </r>
  <r>
    <x v="138"/>
    <n v="4"/>
    <n v="2023"/>
    <x v="2"/>
    <n v="3"/>
  </r>
  <r>
    <x v="139"/>
    <n v="4"/>
    <n v="2023"/>
    <x v="2"/>
    <n v="4"/>
  </r>
  <r>
    <x v="140"/>
    <n v="4"/>
    <n v="2023"/>
    <x v="7"/>
    <n v="4"/>
  </r>
  <r>
    <x v="141"/>
    <n v="4"/>
    <n v="2023"/>
    <x v="6"/>
    <n v="1"/>
  </r>
  <r>
    <x v="141"/>
    <n v="4"/>
    <n v="2023"/>
    <x v="6"/>
    <n v="1"/>
  </r>
  <r>
    <x v="142"/>
    <n v="4"/>
    <n v="2023"/>
    <x v="6"/>
    <n v="4"/>
  </r>
  <r>
    <x v="143"/>
    <n v="4"/>
    <n v="2023"/>
    <x v="7"/>
    <n v="5"/>
  </r>
  <r>
    <x v="143"/>
    <n v="4"/>
    <n v="2023"/>
    <x v="3"/>
    <n v="5"/>
  </r>
  <r>
    <x v="144"/>
    <n v="4"/>
    <n v="2023"/>
    <x v="2"/>
    <n v="1"/>
  </r>
  <r>
    <x v="145"/>
    <n v="4"/>
    <n v="2023"/>
    <x v="6"/>
    <n v="1"/>
  </r>
  <r>
    <x v="145"/>
    <n v="4"/>
    <n v="2023"/>
    <x v="4"/>
    <n v="1"/>
  </r>
  <r>
    <x v="145"/>
    <n v="4"/>
    <n v="2023"/>
    <x v="4"/>
    <n v="3"/>
  </r>
  <r>
    <x v="145"/>
    <n v="4"/>
    <n v="2023"/>
    <x v="0"/>
    <n v="2"/>
  </r>
  <r>
    <x v="146"/>
    <n v="4"/>
    <n v="2023"/>
    <x v="5"/>
    <n v="1"/>
  </r>
  <r>
    <x v="147"/>
    <n v="4"/>
    <n v="2023"/>
    <x v="7"/>
    <n v="1"/>
  </r>
  <r>
    <x v="148"/>
    <n v="4"/>
    <n v="2023"/>
    <x v="6"/>
    <n v="2"/>
  </r>
  <r>
    <x v="148"/>
    <n v="4"/>
    <n v="2023"/>
    <x v="8"/>
    <n v="3"/>
  </r>
  <r>
    <x v="148"/>
    <n v="4"/>
    <n v="2023"/>
    <x v="8"/>
    <n v="2"/>
  </r>
  <r>
    <x v="149"/>
    <n v="3"/>
    <n v="2023"/>
    <x v="0"/>
    <n v="5"/>
  </r>
  <r>
    <x v="150"/>
    <n v="3"/>
    <n v="2023"/>
    <x v="7"/>
    <n v="5"/>
  </r>
  <r>
    <x v="151"/>
    <n v="3"/>
    <n v="2023"/>
    <x v="5"/>
    <n v="3"/>
  </r>
  <r>
    <x v="152"/>
    <n v="3"/>
    <n v="2023"/>
    <x v="8"/>
    <n v="3"/>
  </r>
  <r>
    <x v="153"/>
    <n v="3"/>
    <n v="2023"/>
    <x v="8"/>
    <n v="5"/>
  </r>
  <r>
    <x v="154"/>
    <n v="3"/>
    <n v="2023"/>
    <x v="5"/>
    <n v="5"/>
  </r>
  <r>
    <x v="155"/>
    <n v="3"/>
    <n v="2023"/>
    <x v="5"/>
    <n v="5"/>
  </r>
  <r>
    <x v="156"/>
    <n v="3"/>
    <n v="2023"/>
    <x v="1"/>
    <n v="3"/>
  </r>
  <r>
    <x v="157"/>
    <n v="3"/>
    <n v="2023"/>
    <x v="0"/>
    <n v="3"/>
  </r>
  <r>
    <x v="158"/>
    <n v="3"/>
    <n v="2023"/>
    <x v="8"/>
    <n v="4"/>
  </r>
  <r>
    <x v="158"/>
    <n v="3"/>
    <n v="2023"/>
    <x v="3"/>
    <n v="1"/>
  </r>
  <r>
    <x v="158"/>
    <n v="3"/>
    <n v="2023"/>
    <x v="1"/>
    <n v="3"/>
  </r>
  <r>
    <x v="159"/>
    <n v="3"/>
    <n v="2023"/>
    <x v="8"/>
    <n v="1"/>
  </r>
  <r>
    <x v="159"/>
    <n v="3"/>
    <n v="2023"/>
    <x v="1"/>
    <n v="4"/>
  </r>
  <r>
    <x v="159"/>
    <n v="3"/>
    <n v="2023"/>
    <x v="7"/>
    <n v="3"/>
  </r>
  <r>
    <x v="160"/>
    <n v="3"/>
    <n v="2023"/>
    <x v="7"/>
    <n v="2"/>
  </r>
  <r>
    <x v="161"/>
    <n v="3"/>
    <n v="2023"/>
    <x v="6"/>
    <n v="5"/>
  </r>
  <r>
    <x v="162"/>
    <n v="3"/>
    <n v="2023"/>
    <x v="3"/>
    <n v="1"/>
  </r>
  <r>
    <x v="163"/>
    <n v="2"/>
    <n v="2023"/>
    <x v="8"/>
    <n v="4"/>
  </r>
  <r>
    <x v="164"/>
    <n v="2"/>
    <n v="2023"/>
    <x v="4"/>
    <n v="4"/>
  </r>
  <r>
    <x v="164"/>
    <n v="2"/>
    <n v="2023"/>
    <x v="7"/>
    <n v="3"/>
  </r>
  <r>
    <x v="165"/>
    <n v="2"/>
    <n v="2023"/>
    <x v="7"/>
    <n v="1"/>
  </r>
  <r>
    <x v="166"/>
    <n v="2"/>
    <n v="2023"/>
    <x v="0"/>
    <n v="4"/>
  </r>
  <r>
    <x v="167"/>
    <n v="2"/>
    <n v="2023"/>
    <x v="4"/>
    <n v="1"/>
  </r>
  <r>
    <x v="168"/>
    <n v="2"/>
    <n v="2023"/>
    <x v="0"/>
    <n v="1"/>
  </r>
  <r>
    <x v="169"/>
    <n v="2"/>
    <n v="2023"/>
    <x v="0"/>
    <n v="3"/>
  </r>
  <r>
    <x v="170"/>
    <n v="2"/>
    <n v="2023"/>
    <x v="7"/>
    <n v="5"/>
  </r>
  <r>
    <x v="171"/>
    <n v="2"/>
    <n v="2023"/>
    <x v="5"/>
    <n v="2"/>
  </r>
  <r>
    <x v="171"/>
    <n v="2"/>
    <n v="2023"/>
    <x v="7"/>
    <n v="1"/>
  </r>
  <r>
    <x v="172"/>
    <n v="2"/>
    <n v="2023"/>
    <x v="2"/>
    <n v="4"/>
  </r>
  <r>
    <x v="173"/>
    <n v="1"/>
    <n v="2023"/>
    <x v="0"/>
    <n v="1"/>
  </r>
  <r>
    <x v="173"/>
    <n v="1"/>
    <n v="2023"/>
    <x v="8"/>
    <n v="2"/>
  </r>
  <r>
    <x v="174"/>
    <n v="1"/>
    <n v="2023"/>
    <x v="3"/>
    <n v="1"/>
  </r>
  <r>
    <x v="175"/>
    <n v="1"/>
    <n v="2023"/>
    <x v="6"/>
    <n v="4"/>
  </r>
  <r>
    <x v="176"/>
    <n v="1"/>
    <n v="2023"/>
    <x v="7"/>
    <n v="2"/>
  </r>
  <r>
    <x v="177"/>
    <n v="1"/>
    <n v="2023"/>
    <x v="2"/>
    <n v="5"/>
  </r>
  <r>
    <x v="178"/>
    <n v="1"/>
    <n v="2023"/>
    <x v="4"/>
    <n v="5"/>
  </r>
  <r>
    <x v="179"/>
    <n v="1"/>
    <n v="2023"/>
    <x v="8"/>
    <n v="3"/>
  </r>
  <r>
    <x v="180"/>
    <n v="1"/>
    <n v="2023"/>
    <x v="7"/>
    <n v="4"/>
  </r>
  <r>
    <x v="180"/>
    <n v="1"/>
    <n v="2023"/>
    <x v="4"/>
    <n v="3"/>
  </r>
  <r>
    <x v="181"/>
    <n v="1"/>
    <n v="2023"/>
    <x v="8"/>
    <n v="5"/>
  </r>
  <r>
    <x v="182"/>
    <n v="1"/>
    <n v="2023"/>
    <x v="7"/>
    <n v="1"/>
  </r>
  <r>
    <x v="183"/>
    <n v="1"/>
    <n v="2023"/>
    <x v="1"/>
    <n v="3"/>
  </r>
  <r>
    <x v="183"/>
    <n v="1"/>
    <n v="2023"/>
    <x v="5"/>
    <n v="4"/>
  </r>
  <r>
    <x v="184"/>
    <n v="1"/>
    <n v="2023"/>
    <x v="6"/>
    <n v="4"/>
  </r>
  <r>
    <x v="185"/>
    <n v="1"/>
    <n v="2023"/>
    <x v="2"/>
    <n v="5"/>
  </r>
  <r>
    <x v="186"/>
    <n v="1"/>
    <n v="2023"/>
    <x v="5"/>
    <n v="1"/>
  </r>
  <r>
    <x v="186"/>
    <n v="1"/>
    <n v="2023"/>
    <x v="3"/>
    <n v="4"/>
  </r>
  <r>
    <x v="187"/>
    <n v="1"/>
    <n v="2023"/>
    <x v="4"/>
    <n v="2"/>
  </r>
  <r>
    <x v="188"/>
    <n v="1"/>
    <n v="2023"/>
    <x v="5"/>
    <n v="3"/>
  </r>
  <r>
    <x v="189"/>
    <n v="1"/>
    <n v="2023"/>
    <x v="7"/>
    <n v="1"/>
  </r>
  <r>
    <x v="190"/>
    <n v="12"/>
    <n v="2022"/>
    <x v="7"/>
    <n v="5"/>
  </r>
  <r>
    <x v="191"/>
    <n v="12"/>
    <n v="2022"/>
    <x v="0"/>
    <n v="2"/>
  </r>
  <r>
    <x v="191"/>
    <n v="12"/>
    <n v="2022"/>
    <x v="2"/>
    <n v="1"/>
  </r>
  <r>
    <x v="192"/>
    <n v="12"/>
    <n v="2022"/>
    <x v="6"/>
    <n v="2"/>
  </r>
  <r>
    <x v="193"/>
    <n v="12"/>
    <n v="2022"/>
    <x v="5"/>
    <n v="5"/>
  </r>
  <r>
    <x v="194"/>
    <n v="12"/>
    <n v="2022"/>
    <x v="2"/>
    <n v="1"/>
  </r>
  <r>
    <x v="194"/>
    <n v="12"/>
    <n v="2022"/>
    <x v="8"/>
    <n v="2"/>
  </r>
  <r>
    <x v="195"/>
    <n v="12"/>
    <n v="2022"/>
    <x v="2"/>
    <n v="4"/>
  </r>
  <r>
    <x v="196"/>
    <n v="12"/>
    <n v="2022"/>
    <x v="6"/>
    <n v="1"/>
  </r>
  <r>
    <x v="197"/>
    <n v="12"/>
    <n v="2022"/>
    <x v="1"/>
    <n v="1"/>
  </r>
  <r>
    <x v="198"/>
    <n v="12"/>
    <n v="2022"/>
    <x v="0"/>
    <n v="2"/>
  </r>
  <r>
    <x v="199"/>
    <n v="12"/>
    <n v="2022"/>
    <x v="8"/>
    <n v="3"/>
  </r>
  <r>
    <x v="200"/>
    <n v="12"/>
    <n v="2022"/>
    <x v="8"/>
    <n v="5"/>
  </r>
  <r>
    <x v="201"/>
    <n v="12"/>
    <n v="2022"/>
    <x v="3"/>
    <n v="2"/>
  </r>
  <r>
    <x v="202"/>
    <n v="12"/>
    <n v="2022"/>
    <x v="3"/>
    <n v="4"/>
  </r>
  <r>
    <x v="203"/>
    <n v="12"/>
    <n v="2022"/>
    <x v="2"/>
    <n v="3"/>
  </r>
  <r>
    <x v="203"/>
    <n v="12"/>
    <n v="2022"/>
    <x v="4"/>
    <n v="5"/>
  </r>
  <r>
    <x v="204"/>
    <n v="11"/>
    <n v="2022"/>
    <x v="1"/>
    <n v="3"/>
  </r>
  <r>
    <x v="204"/>
    <n v="11"/>
    <n v="2022"/>
    <x v="0"/>
    <n v="5"/>
  </r>
  <r>
    <x v="205"/>
    <n v="11"/>
    <n v="2022"/>
    <x v="7"/>
    <n v="3"/>
  </r>
  <r>
    <x v="206"/>
    <n v="11"/>
    <n v="2022"/>
    <x v="5"/>
    <n v="5"/>
  </r>
  <r>
    <x v="207"/>
    <n v="11"/>
    <n v="2022"/>
    <x v="4"/>
    <n v="5"/>
  </r>
  <r>
    <x v="208"/>
    <n v="11"/>
    <n v="2022"/>
    <x v="2"/>
    <n v="2"/>
  </r>
  <r>
    <x v="209"/>
    <n v="11"/>
    <n v="2022"/>
    <x v="3"/>
    <n v="1"/>
  </r>
  <r>
    <x v="209"/>
    <n v="11"/>
    <n v="2022"/>
    <x v="4"/>
    <n v="2"/>
  </r>
  <r>
    <x v="210"/>
    <n v="11"/>
    <n v="2022"/>
    <x v="6"/>
    <n v="5"/>
  </r>
  <r>
    <x v="211"/>
    <n v="11"/>
    <n v="2022"/>
    <x v="1"/>
    <n v="1"/>
  </r>
  <r>
    <x v="212"/>
    <n v="11"/>
    <n v="2022"/>
    <x v="0"/>
    <n v="1"/>
  </r>
  <r>
    <x v="213"/>
    <n v="11"/>
    <n v="2022"/>
    <x v="0"/>
    <n v="4"/>
  </r>
  <r>
    <x v="214"/>
    <n v="11"/>
    <n v="2022"/>
    <x v="0"/>
    <n v="1"/>
  </r>
  <r>
    <x v="214"/>
    <n v="11"/>
    <n v="2022"/>
    <x v="3"/>
    <n v="5"/>
  </r>
  <r>
    <x v="214"/>
    <n v="11"/>
    <n v="2022"/>
    <x v="0"/>
    <n v="5"/>
  </r>
  <r>
    <x v="215"/>
    <n v="11"/>
    <n v="2022"/>
    <x v="4"/>
    <n v="2"/>
  </r>
  <r>
    <x v="216"/>
    <n v="11"/>
    <n v="2022"/>
    <x v="7"/>
    <n v="4"/>
  </r>
  <r>
    <x v="217"/>
    <n v="11"/>
    <n v="2022"/>
    <x v="6"/>
    <n v="2"/>
  </r>
  <r>
    <x v="218"/>
    <n v="11"/>
    <n v="2022"/>
    <x v="5"/>
    <n v="1"/>
  </r>
  <r>
    <x v="218"/>
    <n v="11"/>
    <n v="2022"/>
    <x v="6"/>
    <n v="2"/>
  </r>
  <r>
    <x v="219"/>
    <n v="10"/>
    <n v="2022"/>
    <x v="6"/>
    <n v="1"/>
  </r>
  <r>
    <x v="219"/>
    <n v="10"/>
    <n v="2022"/>
    <x v="8"/>
    <n v="4"/>
  </r>
  <r>
    <x v="220"/>
    <n v="10"/>
    <n v="2022"/>
    <x v="7"/>
    <n v="1"/>
  </r>
  <r>
    <x v="220"/>
    <n v="10"/>
    <n v="2022"/>
    <x v="7"/>
    <n v="3"/>
  </r>
  <r>
    <x v="221"/>
    <n v="10"/>
    <n v="2022"/>
    <x v="1"/>
    <n v="4"/>
  </r>
  <r>
    <x v="222"/>
    <n v="10"/>
    <n v="2022"/>
    <x v="3"/>
    <n v="5"/>
  </r>
  <r>
    <x v="222"/>
    <n v="10"/>
    <n v="2022"/>
    <x v="8"/>
    <n v="1"/>
  </r>
  <r>
    <x v="223"/>
    <n v="10"/>
    <n v="2022"/>
    <x v="0"/>
    <n v="1"/>
  </r>
  <r>
    <x v="224"/>
    <n v="10"/>
    <n v="2022"/>
    <x v="2"/>
    <n v="2"/>
  </r>
  <r>
    <x v="225"/>
    <n v="10"/>
    <n v="2022"/>
    <x v="7"/>
    <n v="4"/>
  </r>
  <r>
    <x v="226"/>
    <n v="10"/>
    <n v="2022"/>
    <x v="5"/>
    <n v="2"/>
  </r>
  <r>
    <x v="227"/>
    <n v="10"/>
    <n v="2022"/>
    <x v="1"/>
    <n v="4"/>
  </r>
  <r>
    <x v="227"/>
    <n v="10"/>
    <n v="2022"/>
    <x v="3"/>
    <n v="2"/>
  </r>
  <r>
    <x v="228"/>
    <n v="10"/>
    <n v="2022"/>
    <x v="7"/>
    <n v="4"/>
  </r>
  <r>
    <x v="229"/>
    <n v="10"/>
    <n v="2022"/>
    <x v="3"/>
    <n v="3"/>
  </r>
  <r>
    <x v="229"/>
    <n v="10"/>
    <n v="2022"/>
    <x v="4"/>
    <n v="3"/>
  </r>
  <r>
    <x v="230"/>
    <n v="10"/>
    <n v="2022"/>
    <x v="6"/>
    <n v="3"/>
  </r>
  <r>
    <x v="230"/>
    <n v="10"/>
    <n v="2022"/>
    <x v="6"/>
    <n v="2"/>
  </r>
  <r>
    <x v="231"/>
    <n v="10"/>
    <n v="2022"/>
    <x v="0"/>
    <n v="3"/>
  </r>
  <r>
    <x v="232"/>
    <n v="9"/>
    <n v="2022"/>
    <x v="5"/>
    <n v="5"/>
  </r>
  <r>
    <x v="233"/>
    <n v="9"/>
    <n v="2022"/>
    <x v="7"/>
    <n v="1"/>
  </r>
  <r>
    <x v="233"/>
    <n v="9"/>
    <n v="2022"/>
    <x v="0"/>
    <n v="1"/>
  </r>
  <r>
    <x v="233"/>
    <n v="9"/>
    <n v="2022"/>
    <x v="0"/>
    <n v="1"/>
  </r>
  <r>
    <x v="234"/>
    <n v="9"/>
    <n v="2022"/>
    <x v="2"/>
    <n v="4"/>
  </r>
  <r>
    <x v="234"/>
    <n v="9"/>
    <n v="2022"/>
    <x v="6"/>
    <n v="4"/>
  </r>
  <r>
    <x v="234"/>
    <n v="9"/>
    <n v="2022"/>
    <x v="8"/>
    <n v="3"/>
  </r>
  <r>
    <x v="235"/>
    <n v="9"/>
    <n v="2022"/>
    <x v="3"/>
    <n v="2"/>
  </r>
  <r>
    <x v="236"/>
    <n v="9"/>
    <n v="2022"/>
    <x v="4"/>
    <n v="4"/>
  </r>
  <r>
    <x v="237"/>
    <n v="9"/>
    <n v="2022"/>
    <x v="7"/>
    <n v="5"/>
  </r>
  <r>
    <x v="238"/>
    <n v="9"/>
    <n v="2022"/>
    <x v="5"/>
    <n v="2"/>
  </r>
  <r>
    <x v="239"/>
    <n v="9"/>
    <n v="2022"/>
    <x v="3"/>
    <n v="1"/>
  </r>
  <r>
    <x v="240"/>
    <n v="9"/>
    <n v="2022"/>
    <x v="7"/>
    <n v="2"/>
  </r>
  <r>
    <x v="241"/>
    <n v="9"/>
    <n v="2022"/>
    <x v="2"/>
    <n v="5"/>
  </r>
  <r>
    <x v="242"/>
    <n v="9"/>
    <n v="2022"/>
    <x v="6"/>
    <n v="4"/>
  </r>
  <r>
    <x v="243"/>
    <n v="9"/>
    <n v="2022"/>
    <x v="6"/>
    <n v="3"/>
  </r>
  <r>
    <x v="243"/>
    <n v="9"/>
    <n v="2022"/>
    <x v="8"/>
    <n v="2"/>
  </r>
  <r>
    <x v="243"/>
    <n v="9"/>
    <n v="2022"/>
    <x v="3"/>
    <n v="2"/>
  </r>
  <r>
    <x v="244"/>
    <n v="9"/>
    <n v="2022"/>
    <x v="2"/>
    <n v="3"/>
  </r>
  <r>
    <x v="245"/>
    <n v="9"/>
    <n v="2022"/>
    <x v="4"/>
    <n v="3"/>
  </r>
  <r>
    <x v="246"/>
    <n v="9"/>
    <n v="2022"/>
    <x v="2"/>
    <n v="2"/>
  </r>
  <r>
    <x v="247"/>
    <n v="9"/>
    <n v="2022"/>
    <x v="7"/>
    <n v="3"/>
  </r>
  <r>
    <x v="248"/>
    <n v="8"/>
    <n v="2022"/>
    <x v="2"/>
    <n v="4"/>
  </r>
  <r>
    <x v="249"/>
    <n v="8"/>
    <n v="2022"/>
    <x v="6"/>
    <n v="3"/>
  </r>
  <r>
    <x v="250"/>
    <n v="8"/>
    <n v="2022"/>
    <x v="8"/>
    <n v="4"/>
  </r>
  <r>
    <x v="251"/>
    <n v="8"/>
    <n v="2022"/>
    <x v="0"/>
    <n v="5"/>
  </r>
  <r>
    <x v="252"/>
    <n v="8"/>
    <n v="2022"/>
    <x v="8"/>
    <n v="4"/>
  </r>
  <r>
    <x v="253"/>
    <n v="8"/>
    <n v="2022"/>
    <x v="7"/>
    <n v="4"/>
  </r>
  <r>
    <x v="253"/>
    <n v="8"/>
    <n v="2022"/>
    <x v="2"/>
    <n v="4"/>
  </r>
  <r>
    <x v="253"/>
    <n v="8"/>
    <n v="2022"/>
    <x v="8"/>
    <n v="4"/>
  </r>
  <r>
    <x v="254"/>
    <n v="8"/>
    <n v="2022"/>
    <x v="2"/>
    <n v="1"/>
  </r>
  <r>
    <x v="255"/>
    <n v="8"/>
    <n v="2022"/>
    <x v="5"/>
    <n v="1"/>
  </r>
  <r>
    <x v="256"/>
    <n v="8"/>
    <n v="2022"/>
    <x v="0"/>
    <n v="5"/>
  </r>
  <r>
    <x v="256"/>
    <n v="8"/>
    <n v="2022"/>
    <x v="7"/>
    <n v="1"/>
  </r>
  <r>
    <x v="257"/>
    <n v="8"/>
    <n v="2022"/>
    <x v="0"/>
    <n v="3"/>
  </r>
  <r>
    <x v="258"/>
    <n v="8"/>
    <n v="2022"/>
    <x v="5"/>
    <n v="3"/>
  </r>
  <r>
    <x v="259"/>
    <n v="8"/>
    <n v="2022"/>
    <x v="1"/>
    <n v="5"/>
  </r>
  <r>
    <x v="260"/>
    <n v="8"/>
    <n v="2022"/>
    <x v="2"/>
    <n v="4"/>
  </r>
  <r>
    <x v="260"/>
    <n v="8"/>
    <n v="2022"/>
    <x v="4"/>
    <n v="4"/>
  </r>
  <r>
    <x v="261"/>
    <n v="8"/>
    <n v="2022"/>
    <x v="4"/>
    <n v="4"/>
  </r>
  <r>
    <x v="262"/>
    <n v="8"/>
    <n v="2022"/>
    <x v="2"/>
    <n v="1"/>
  </r>
  <r>
    <x v="263"/>
    <n v="7"/>
    <n v="2022"/>
    <x v="7"/>
    <n v="4"/>
  </r>
  <r>
    <x v="264"/>
    <n v="7"/>
    <n v="2022"/>
    <x v="0"/>
    <n v="5"/>
  </r>
  <r>
    <x v="265"/>
    <n v="7"/>
    <n v="2022"/>
    <x v="2"/>
    <n v="3"/>
  </r>
  <r>
    <x v="265"/>
    <n v="7"/>
    <n v="2022"/>
    <x v="2"/>
    <n v="4"/>
  </r>
  <r>
    <x v="266"/>
    <n v="7"/>
    <n v="2022"/>
    <x v="3"/>
    <n v="5"/>
  </r>
  <r>
    <x v="267"/>
    <n v="7"/>
    <n v="2022"/>
    <x v="7"/>
    <n v="4"/>
  </r>
  <r>
    <x v="268"/>
    <n v="7"/>
    <n v="2022"/>
    <x v="8"/>
    <n v="5"/>
  </r>
  <r>
    <x v="269"/>
    <n v="7"/>
    <n v="2022"/>
    <x v="3"/>
    <n v="4"/>
  </r>
  <r>
    <x v="270"/>
    <n v="7"/>
    <n v="2022"/>
    <x v="0"/>
    <n v="2"/>
  </r>
  <r>
    <x v="271"/>
    <n v="7"/>
    <n v="2022"/>
    <x v="6"/>
    <n v="3"/>
  </r>
  <r>
    <x v="271"/>
    <n v="7"/>
    <n v="2022"/>
    <x v="6"/>
    <n v="4"/>
  </r>
  <r>
    <x v="271"/>
    <n v="7"/>
    <n v="2022"/>
    <x v="1"/>
    <n v="2"/>
  </r>
  <r>
    <x v="272"/>
    <n v="7"/>
    <n v="2022"/>
    <x v="0"/>
    <n v="4"/>
  </r>
  <r>
    <x v="272"/>
    <n v="7"/>
    <n v="2022"/>
    <x v="7"/>
    <n v="4"/>
  </r>
  <r>
    <x v="273"/>
    <n v="7"/>
    <n v="2022"/>
    <x v="7"/>
    <n v="2"/>
  </r>
  <r>
    <x v="274"/>
    <n v="7"/>
    <n v="2022"/>
    <x v="5"/>
    <n v="5"/>
  </r>
  <r>
    <x v="275"/>
    <n v="7"/>
    <n v="2022"/>
    <x v="2"/>
    <n v="2"/>
  </r>
  <r>
    <x v="276"/>
    <n v="7"/>
    <n v="2022"/>
    <x v="3"/>
    <n v="3"/>
  </r>
  <r>
    <x v="277"/>
    <n v="7"/>
    <n v="2022"/>
    <x v="4"/>
    <n v="2"/>
  </r>
  <r>
    <x v="277"/>
    <n v="7"/>
    <n v="2022"/>
    <x v="2"/>
    <n v="3"/>
  </r>
  <r>
    <x v="278"/>
    <n v="6"/>
    <n v="2022"/>
    <x v="5"/>
    <n v="4"/>
  </r>
  <r>
    <x v="279"/>
    <n v="6"/>
    <n v="2022"/>
    <x v="2"/>
    <n v="2"/>
  </r>
  <r>
    <x v="279"/>
    <n v="6"/>
    <n v="2022"/>
    <x v="6"/>
    <n v="3"/>
  </r>
  <r>
    <x v="280"/>
    <n v="6"/>
    <n v="2022"/>
    <x v="0"/>
    <n v="1"/>
  </r>
  <r>
    <x v="281"/>
    <n v="6"/>
    <n v="2022"/>
    <x v="1"/>
    <n v="1"/>
  </r>
  <r>
    <x v="281"/>
    <n v="6"/>
    <n v="2022"/>
    <x v="8"/>
    <n v="3"/>
  </r>
  <r>
    <x v="282"/>
    <n v="6"/>
    <n v="2022"/>
    <x v="6"/>
    <n v="5"/>
  </r>
  <r>
    <x v="283"/>
    <n v="6"/>
    <n v="2022"/>
    <x v="0"/>
    <n v="4"/>
  </r>
  <r>
    <x v="284"/>
    <n v="6"/>
    <n v="2022"/>
    <x v="0"/>
    <n v="1"/>
  </r>
  <r>
    <x v="284"/>
    <n v="6"/>
    <n v="2022"/>
    <x v="1"/>
    <n v="2"/>
  </r>
  <r>
    <x v="285"/>
    <n v="6"/>
    <n v="2022"/>
    <x v="0"/>
    <n v="2"/>
  </r>
  <r>
    <x v="286"/>
    <n v="6"/>
    <n v="2022"/>
    <x v="7"/>
    <n v="5"/>
  </r>
  <r>
    <x v="287"/>
    <n v="6"/>
    <n v="2022"/>
    <x v="0"/>
    <n v="5"/>
  </r>
  <r>
    <x v="287"/>
    <n v="6"/>
    <n v="2022"/>
    <x v="1"/>
    <n v="4"/>
  </r>
  <r>
    <x v="288"/>
    <n v="6"/>
    <n v="2022"/>
    <x v="2"/>
    <n v="1"/>
  </r>
  <r>
    <x v="289"/>
    <n v="6"/>
    <n v="2022"/>
    <x v="6"/>
    <n v="3"/>
  </r>
  <r>
    <x v="290"/>
    <n v="6"/>
    <n v="2022"/>
    <x v="4"/>
    <n v="5"/>
  </r>
  <r>
    <x v="291"/>
    <n v="6"/>
    <n v="2022"/>
    <x v="6"/>
    <n v="4"/>
  </r>
  <r>
    <x v="291"/>
    <n v="6"/>
    <n v="2022"/>
    <x v="5"/>
    <n v="2"/>
  </r>
  <r>
    <x v="292"/>
    <n v="6"/>
    <n v="2022"/>
    <x v="4"/>
    <n v="1"/>
  </r>
  <r>
    <x v="293"/>
    <n v="6"/>
    <n v="2022"/>
    <x v="2"/>
    <n v="2"/>
  </r>
  <r>
    <x v="294"/>
    <n v="6"/>
    <n v="2022"/>
    <x v="3"/>
    <n v="5"/>
  </r>
  <r>
    <x v="295"/>
    <n v="5"/>
    <n v="2022"/>
    <x v="2"/>
    <n v="4"/>
  </r>
  <r>
    <x v="296"/>
    <n v="5"/>
    <n v="2022"/>
    <x v="8"/>
    <n v="3"/>
  </r>
  <r>
    <x v="296"/>
    <n v="5"/>
    <n v="2022"/>
    <x v="7"/>
    <n v="3"/>
  </r>
  <r>
    <x v="297"/>
    <n v="5"/>
    <n v="2022"/>
    <x v="3"/>
    <n v="4"/>
  </r>
  <r>
    <x v="297"/>
    <n v="5"/>
    <n v="2022"/>
    <x v="2"/>
    <n v="2"/>
  </r>
  <r>
    <x v="298"/>
    <n v="5"/>
    <n v="2022"/>
    <x v="7"/>
    <n v="1"/>
  </r>
  <r>
    <x v="299"/>
    <n v="5"/>
    <n v="2022"/>
    <x v="2"/>
    <n v="1"/>
  </r>
  <r>
    <x v="299"/>
    <n v="5"/>
    <n v="2022"/>
    <x v="0"/>
    <n v="2"/>
  </r>
  <r>
    <x v="300"/>
    <n v="5"/>
    <n v="2022"/>
    <x v="1"/>
    <n v="3"/>
  </r>
  <r>
    <x v="301"/>
    <n v="5"/>
    <n v="2022"/>
    <x v="5"/>
    <n v="5"/>
  </r>
  <r>
    <x v="302"/>
    <n v="5"/>
    <n v="2022"/>
    <x v="2"/>
    <n v="2"/>
  </r>
  <r>
    <x v="303"/>
    <n v="5"/>
    <n v="2022"/>
    <x v="4"/>
    <n v="4"/>
  </r>
  <r>
    <x v="304"/>
    <n v="5"/>
    <n v="2022"/>
    <x v="4"/>
    <n v="1"/>
  </r>
  <r>
    <x v="305"/>
    <n v="5"/>
    <n v="2022"/>
    <x v="6"/>
    <n v="1"/>
  </r>
  <r>
    <x v="306"/>
    <n v="5"/>
    <n v="2022"/>
    <x v="3"/>
    <n v="1"/>
  </r>
  <r>
    <x v="307"/>
    <n v="5"/>
    <n v="2022"/>
    <x v="8"/>
    <n v="3"/>
  </r>
  <r>
    <x v="308"/>
    <n v="4"/>
    <n v="2022"/>
    <x v="5"/>
    <n v="5"/>
  </r>
  <r>
    <x v="308"/>
    <n v="4"/>
    <n v="2022"/>
    <x v="1"/>
    <n v="4"/>
  </r>
  <r>
    <x v="308"/>
    <n v="4"/>
    <n v="2022"/>
    <x v="0"/>
    <n v="2"/>
  </r>
  <r>
    <x v="309"/>
    <n v="4"/>
    <n v="2022"/>
    <x v="4"/>
    <n v="5"/>
  </r>
  <r>
    <x v="310"/>
    <n v="4"/>
    <n v="2022"/>
    <x v="3"/>
    <n v="2"/>
  </r>
  <r>
    <x v="311"/>
    <n v="4"/>
    <n v="2022"/>
    <x v="2"/>
    <n v="1"/>
  </r>
  <r>
    <x v="312"/>
    <n v="4"/>
    <n v="2022"/>
    <x v="0"/>
    <n v="4"/>
  </r>
  <r>
    <x v="312"/>
    <n v="4"/>
    <n v="2022"/>
    <x v="4"/>
    <n v="2"/>
  </r>
  <r>
    <x v="313"/>
    <n v="4"/>
    <n v="2022"/>
    <x v="4"/>
    <n v="5"/>
  </r>
  <r>
    <x v="314"/>
    <n v="4"/>
    <n v="2022"/>
    <x v="8"/>
    <n v="5"/>
  </r>
  <r>
    <x v="314"/>
    <n v="4"/>
    <n v="2022"/>
    <x v="7"/>
    <n v="4"/>
  </r>
  <r>
    <x v="315"/>
    <n v="4"/>
    <n v="2022"/>
    <x v="2"/>
    <n v="5"/>
  </r>
  <r>
    <x v="316"/>
    <n v="4"/>
    <n v="2022"/>
    <x v="7"/>
    <n v="3"/>
  </r>
  <r>
    <x v="317"/>
    <n v="4"/>
    <n v="2022"/>
    <x v="4"/>
    <n v="3"/>
  </r>
  <r>
    <x v="318"/>
    <n v="4"/>
    <n v="2022"/>
    <x v="8"/>
    <n v="1"/>
  </r>
  <r>
    <x v="319"/>
    <n v="4"/>
    <n v="2022"/>
    <x v="5"/>
    <n v="5"/>
  </r>
  <r>
    <x v="319"/>
    <n v="4"/>
    <n v="2022"/>
    <x v="8"/>
    <n v="2"/>
  </r>
  <r>
    <x v="319"/>
    <n v="4"/>
    <n v="2022"/>
    <x v="2"/>
    <n v="1"/>
  </r>
  <r>
    <x v="320"/>
    <n v="3"/>
    <n v="2022"/>
    <x v="2"/>
    <n v="4"/>
  </r>
  <r>
    <x v="320"/>
    <n v="3"/>
    <n v="2022"/>
    <x v="8"/>
    <n v="4"/>
  </r>
  <r>
    <x v="320"/>
    <n v="3"/>
    <n v="2022"/>
    <x v="4"/>
    <n v="2"/>
  </r>
  <r>
    <x v="321"/>
    <n v="3"/>
    <n v="2022"/>
    <x v="8"/>
    <n v="1"/>
  </r>
  <r>
    <x v="321"/>
    <n v="3"/>
    <n v="2022"/>
    <x v="4"/>
    <n v="5"/>
  </r>
  <r>
    <x v="321"/>
    <n v="3"/>
    <n v="2022"/>
    <x v="3"/>
    <n v="4"/>
  </r>
  <r>
    <x v="322"/>
    <n v="3"/>
    <n v="2022"/>
    <x v="8"/>
    <n v="5"/>
  </r>
  <r>
    <x v="322"/>
    <n v="3"/>
    <n v="2022"/>
    <x v="8"/>
    <n v="2"/>
  </r>
  <r>
    <x v="323"/>
    <n v="3"/>
    <n v="2022"/>
    <x v="5"/>
    <n v="4"/>
  </r>
  <r>
    <x v="323"/>
    <n v="3"/>
    <n v="2022"/>
    <x v="4"/>
    <n v="3"/>
  </r>
  <r>
    <x v="323"/>
    <n v="3"/>
    <n v="2022"/>
    <x v="4"/>
    <n v="5"/>
  </r>
  <r>
    <x v="324"/>
    <n v="3"/>
    <n v="2022"/>
    <x v="6"/>
    <n v="4"/>
  </r>
  <r>
    <x v="325"/>
    <n v="3"/>
    <n v="2022"/>
    <x v="1"/>
    <n v="3"/>
  </r>
  <r>
    <x v="326"/>
    <n v="3"/>
    <n v="2022"/>
    <x v="3"/>
    <n v="1"/>
  </r>
  <r>
    <x v="326"/>
    <n v="3"/>
    <n v="2022"/>
    <x v="6"/>
    <n v="1"/>
  </r>
  <r>
    <x v="327"/>
    <n v="3"/>
    <n v="2022"/>
    <x v="0"/>
    <n v="5"/>
  </r>
  <r>
    <x v="328"/>
    <n v="3"/>
    <n v="2022"/>
    <x v="7"/>
    <n v="5"/>
  </r>
  <r>
    <x v="329"/>
    <n v="3"/>
    <n v="2022"/>
    <x v="8"/>
    <n v="4"/>
  </r>
  <r>
    <x v="330"/>
    <n v="3"/>
    <n v="2022"/>
    <x v="7"/>
    <n v="1"/>
  </r>
  <r>
    <x v="331"/>
    <n v="3"/>
    <n v="2022"/>
    <x v="8"/>
    <n v="2"/>
  </r>
  <r>
    <x v="331"/>
    <n v="3"/>
    <n v="2022"/>
    <x v="2"/>
    <n v="1"/>
  </r>
  <r>
    <x v="332"/>
    <n v="2"/>
    <n v="2022"/>
    <x v="2"/>
    <n v="4"/>
  </r>
  <r>
    <x v="333"/>
    <n v="2"/>
    <n v="2022"/>
    <x v="4"/>
    <n v="5"/>
  </r>
  <r>
    <x v="334"/>
    <n v="2"/>
    <n v="2022"/>
    <x v="2"/>
    <n v="2"/>
  </r>
  <r>
    <x v="335"/>
    <n v="2"/>
    <n v="2022"/>
    <x v="0"/>
    <n v="3"/>
  </r>
  <r>
    <x v="336"/>
    <n v="2"/>
    <n v="2022"/>
    <x v="8"/>
    <n v="4"/>
  </r>
  <r>
    <x v="336"/>
    <n v="2"/>
    <n v="2022"/>
    <x v="7"/>
    <n v="3"/>
  </r>
  <r>
    <x v="337"/>
    <n v="2"/>
    <n v="2022"/>
    <x v="6"/>
    <n v="4"/>
  </r>
  <r>
    <x v="338"/>
    <n v="2"/>
    <n v="2022"/>
    <x v="1"/>
    <n v="3"/>
  </r>
  <r>
    <x v="339"/>
    <n v="2"/>
    <n v="2022"/>
    <x v="6"/>
    <n v="2"/>
  </r>
  <r>
    <x v="340"/>
    <n v="2"/>
    <n v="2022"/>
    <x v="1"/>
    <n v="4"/>
  </r>
  <r>
    <x v="340"/>
    <n v="2"/>
    <n v="2022"/>
    <x v="1"/>
    <n v="5"/>
  </r>
  <r>
    <x v="341"/>
    <n v="2"/>
    <n v="2022"/>
    <x v="8"/>
    <n v="1"/>
  </r>
  <r>
    <x v="341"/>
    <n v="2"/>
    <n v="2022"/>
    <x v="5"/>
    <n v="3"/>
  </r>
  <r>
    <x v="342"/>
    <n v="2"/>
    <n v="2022"/>
    <x v="0"/>
    <n v="5"/>
  </r>
  <r>
    <x v="343"/>
    <n v="2"/>
    <n v="2022"/>
    <x v="7"/>
    <n v="4"/>
  </r>
  <r>
    <x v="344"/>
    <n v="2"/>
    <n v="2022"/>
    <x v="7"/>
    <n v="5"/>
  </r>
  <r>
    <x v="345"/>
    <n v="2"/>
    <n v="2022"/>
    <x v="2"/>
    <n v="3"/>
  </r>
  <r>
    <x v="346"/>
    <n v="2"/>
    <n v="2022"/>
    <x v="6"/>
    <n v="4"/>
  </r>
  <r>
    <x v="347"/>
    <n v="2"/>
    <n v="2022"/>
    <x v="3"/>
    <n v="5"/>
  </r>
  <r>
    <x v="348"/>
    <n v="2"/>
    <n v="2022"/>
    <x v="7"/>
    <n v="3"/>
  </r>
  <r>
    <x v="348"/>
    <n v="2"/>
    <n v="2022"/>
    <x v="6"/>
    <n v="3"/>
  </r>
  <r>
    <x v="349"/>
    <n v="2"/>
    <n v="2022"/>
    <x v="7"/>
    <n v="4"/>
  </r>
  <r>
    <x v="350"/>
    <n v="1"/>
    <n v="2022"/>
    <x v="2"/>
    <n v="1"/>
  </r>
  <r>
    <x v="350"/>
    <n v="1"/>
    <n v="2022"/>
    <x v="1"/>
    <n v="2"/>
  </r>
  <r>
    <x v="350"/>
    <n v="1"/>
    <n v="2022"/>
    <x v="1"/>
    <n v="4"/>
  </r>
  <r>
    <x v="351"/>
    <n v="1"/>
    <n v="2022"/>
    <x v="8"/>
    <n v="4"/>
  </r>
  <r>
    <x v="351"/>
    <n v="1"/>
    <n v="2022"/>
    <x v="5"/>
    <n v="4"/>
  </r>
  <r>
    <x v="352"/>
    <n v="1"/>
    <n v="2022"/>
    <x v="3"/>
    <n v="3"/>
  </r>
  <r>
    <x v="353"/>
    <n v="1"/>
    <n v="2022"/>
    <x v="5"/>
    <n v="1"/>
  </r>
  <r>
    <x v="354"/>
    <n v="1"/>
    <n v="2022"/>
    <x v="0"/>
    <n v="3"/>
  </r>
  <r>
    <x v="355"/>
    <n v="1"/>
    <n v="2022"/>
    <x v="5"/>
    <n v="5"/>
  </r>
  <r>
    <x v="356"/>
    <n v="1"/>
    <n v="2022"/>
    <x v="7"/>
    <n v="4"/>
  </r>
  <r>
    <x v="357"/>
    <n v="1"/>
    <n v="2022"/>
    <x v="6"/>
    <n v="2"/>
  </r>
  <r>
    <x v="358"/>
    <n v="1"/>
    <n v="2022"/>
    <x v="2"/>
    <n v="2"/>
  </r>
  <r>
    <x v="359"/>
    <n v="1"/>
    <n v="2022"/>
    <x v="7"/>
    <n v="2"/>
  </r>
  <r>
    <x v="360"/>
    <n v="1"/>
    <n v="2022"/>
    <x v="2"/>
    <n v="4"/>
  </r>
  <r>
    <x v="360"/>
    <n v="1"/>
    <n v="2022"/>
    <x v="1"/>
    <n v="1"/>
  </r>
  <r>
    <x v="361"/>
    <n v="1"/>
    <n v="2022"/>
    <x v="2"/>
    <n v="5"/>
  </r>
  <r>
    <x v="361"/>
    <n v="1"/>
    <n v="2022"/>
    <x v="5"/>
    <n v="3"/>
  </r>
  <r>
    <x v="362"/>
    <n v="1"/>
    <n v="2022"/>
    <x v="4"/>
    <n v="5"/>
  </r>
  <r>
    <x v="362"/>
    <n v="1"/>
    <n v="2022"/>
    <x v="2"/>
    <n v="5"/>
  </r>
  <r>
    <x v="363"/>
    <n v="1"/>
    <n v="2022"/>
    <x v="2"/>
    <n v="3"/>
  </r>
  <r>
    <x v="364"/>
    <n v="1"/>
    <n v="2022"/>
    <x v="1"/>
    <n v="1"/>
  </r>
  <r>
    <x v="364"/>
    <n v="1"/>
    <n v="2022"/>
    <x v="2"/>
    <n v="3"/>
  </r>
  <r>
    <x v="365"/>
    <n v="12"/>
    <n v="2021"/>
    <x v="2"/>
    <n v="3"/>
  </r>
  <r>
    <x v="366"/>
    <n v="12"/>
    <n v="2021"/>
    <x v="3"/>
    <n v="1"/>
  </r>
  <r>
    <x v="366"/>
    <n v="12"/>
    <n v="2021"/>
    <x v="5"/>
    <n v="3"/>
  </r>
  <r>
    <x v="367"/>
    <n v="12"/>
    <n v="2021"/>
    <x v="1"/>
    <n v="3"/>
  </r>
  <r>
    <x v="368"/>
    <n v="12"/>
    <n v="2021"/>
    <x v="7"/>
    <n v="3"/>
  </r>
  <r>
    <x v="368"/>
    <n v="12"/>
    <n v="2021"/>
    <x v="7"/>
    <n v="1"/>
  </r>
  <r>
    <x v="369"/>
    <n v="12"/>
    <n v="2021"/>
    <x v="8"/>
    <n v="2"/>
  </r>
  <r>
    <x v="370"/>
    <n v="12"/>
    <n v="2021"/>
    <x v="8"/>
    <n v="2"/>
  </r>
  <r>
    <x v="371"/>
    <n v="12"/>
    <n v="2021"/>
    <x v="1"/>
    <n v="1"/>
  </r>
  <r>
    <x v="371"/>
    <n v="12"/>
    <n v="2021"/>
    <x v="8"/>
    <n v="4"/>
  </r>
  <r>
    <x v="372"/>
    <n v="12"/>
    <n v="2021"/>
    <x v="4"/>
    <n v="4"/>
  </r>
  <r>
    <x v="373"/>
    <n v="12"/>
    <n v="2021"/>
    <x v="2"/>
    <n v="2"/>
  </r>
  <r>
    <x v="373"/>
    <n v="12"/>
    <n v="2021"/>
    <x v="8"/>
    <n v="4"/>
  </r>
  <r>
    <x v="374"/>
    <n v="12"/>
    <n v="2021"/>
    <x v="2"/>
    <n v="1"/>
  </r>
  <r>
    <x v="375"/>
    <n v="12"/>
    <n v="2021"/>
    <x v="8"/>
    <n v="5"/>
  </r>
  <r>
    <x v="376"/>
    <n v="12"/>
    <n v="2021"/>
    <x v="8"/>
    <n v="5"/>
  </r>
  <r>
    <x v="376"/>
    <n v="12"/>
    <n v="2021"/>
    <x v="2"/>
    <n v="1"/>
  </r>
  <r>
    <x v="377"/>
    <n v="12"/>
    <n v="2021"/>
    <x v="4"/>
    <n v="3"/>
  </r>
  <r>
    <x v="377"/>
    <n v="12"/>
    <n v="2021"/>
    <x v="2"/>
    <n v="3"/>
  </r>
  <r>
    <x v="378"/>
    <n v="12"/>
    <n v="2021"/>
    <x v="5"/>
    <n v="1"/>
  </r>
  <r>
    <x v="378"/>
    <n v="12"/>
    <n v="2021"/>
    <x v="1"/>
    <n v="3"/>
  </r>
  <r>
    <x v="379"/>
    <n v="12"/>
    <n v="2021"/>
    <x v="6"/>
    <n v="4"/>
  </r>
  <r>
    <x v="379"/>
    <n v="12"/>
    <n v="2021"/>
    <x v="6"/>
    <n v="2"/>
  </r>
  <r>
    <x v="380"/>
    <n v="12"/>
    <n v="2021"/>
    <x v="3"/>
    <n v="3"/>
  </r>
  <r>
    <x v="380"/>
    <n v="12"/>
    <n v="2021"/>
    <x v="3"/>
    <n v="2"/>
  </r>
  <r>
    <x v="381"/>
    <n v="12"/>
    <n v="2021"/>
    <x v="6"/>
    <n v="5"/>
  </r>
  <r>
    <x v="381"/>
    <n v="12"/>
    <n v="2021"/>
    <x v="7"/>
    <n v="3"/>
  </r>
  <r>
    <x v="382"/>
    <n v="11"/>
    <n v="2021"/>
    <x v="8"/>
    <n v="1"/>
  </r>
  <r>
    <x v="383"/>
    <n v="11"/>
    <n v="2021"/>
    <x v="1"/>
    <n v="4"/>
  </r>
  <r>
    <x v="384"/>
    <n v="11"/>
    <n v="2021"/>
    <x v="0"/>
    <n v="5"/>
  </r>
  <r>
    <x v="385"/>
    <n v="11"/>
    <n v="2021"/>
    <x v="5"/>
    <n v="4"/>
  </r>
  <r>
    <x v="385"/>
    <n v="11"/>
    <n v="2021"/>
    <x v="6"/>
    <n v="1"/>
  </r>
  <r>
    <x v="385"/>
    <n v="11"/>
    <n v="2021"/>
    <x v="7"/>
    <n v="1"/>
  </r>
  <r>
    <x v="386"/>
    <n v="11"/>
    <n v="2021"/>
    <x v="4"/>
    <n v="2"/>
  </r>
  <r>
    <x v="386"/>
    <n v="11"/>
    <n v="2021"/>
    <x v="5"/>
    <n v="2"/>
  </r>
  <r>
    <x v="387"/>
    <n v="11"/>
    <n v="2021"/>
    <x v="6"/>
    <n v="5"/>
  </r>
  <r>
    <x v="387"/>
    <n v="11"/>
    <n v="2021"/>
    <x v="1"/>
    <n v="1"/>
  </r>
  <r>
    <x v="388"/>
    <n v="11"/>
    <n v="2021"/>
    <x v="3"/>
    <n v="1"/>
  </r>
  <r>
    <x v="388"/>
    <n v="11"/>
    <n v="2021"/>
    <x v="8"/>
    <n v="3"/>
  </r>
  <r>
    <x v="389"/>
    <n v="11"/>
    <n v="2021"/>
    <x v="0"/>
    <n v="5"/>
  </r>
  <r>
    <x v="390"/>
    <n v="11"/>
    <n v="2021"/>
    <x v="2"/>
    <n v="5"/>
  </r>
  <r>
    <x v="391"/>
    <n v="11"/>
    <n v="2021"/>
    <x v="5"/>
    <n v="4"/>
  </r>
  <r>
    <x v="392"/>
    <n v="11"/>
    <n v="2021"/>
    <x v="0"/>
    <n v="4"/>
  </r>
  <r>
    <x v="393"/>
    <n v="11"/>
    <n v="2021"/>
    <x v="4"/>
    <n v="3"/>
  </r>
  <r>
    <x v="394"/>
    <n v="11"/>
    <n v="2021"/>
    <x v="8"/>
    <n v="1"/>
  </r>
  <r>
    <x v="395"/>
    <n v="10"/>
    <n v="2021"/>
    <x v="1"/>
    <n v="4"/>
  </r>
  <r>
    <x v="395"/>
    <n v="10"/>
    <n v="2021"/>
    <x v="3"/>
    <n v="5"/>
  </r>
  <r>
    <x v="396"/>
    <n v="10"/>
    <n v="2021"/>
    <x v="2"/>
    <n v="2"/>
  </r>
  <r>
    <x v="396"/>
    <n v="10"/>
    <n v="2021"/>
    <x v="1"/>
    <n v="3"/>
  </r>
  <r>
    <x v="397"/>
    <n v="10"/>
    <n v="2021"/>
    <x v="0"/>
    <n v="2"/>
  </r>
  <r>
    <x v="398"/>
    <n v="10"/>
    <n v="2021"/>
    <x v="4"/>
    <n v="1"/>
  </r>
  <r>
    <x v="399"/>
    <n v="10"/>
    <n v="2021"/>
    <x v="6"/>
    <n v="5"/>
  </r>
  <r>
    <x v="399"/>
    <n v="10"/>
    <n v="2021"/>
    <x v="5"/>
    <n v="4"/>
  </r>
  <r>
    <x v="399"/>
    <n v="10"/>
    <n v="2021"/>
    <x v="6"/>
    <n v="2"/>
  </r>
  <r>
    <x v="400"/>
    <n v="10"/>
    <n v="2021"/>
    <x v="8"/>
    <n v="2"/>
  </r>
  <r>
    <x v="401"/>
    <n v="10"/>
    <n v="2021"/>
    <x v="3"/>
    <n v="5"/>
  </r>
  <r>
    <x v="402"/>
    <n v="10"/>
    <n v="2021"/>
    <x v="0"/>
    <n v="2"/>
  </r>
  <r>
    <x v="403"/>
    <n v="10"/>
    <n v="2021"/>
    <x v="3"/>
    <n v="3"/>
  </r>
  <r>
    <x v="404"/>
    <n v="10"/>
    <n v="2021"/>
    <x v="2"/>
    <n v="2"/>
  </r>
  <r>
    <x v="404"/>
    <n v="10"/>
    <n v="2021"/>
    <x v="0"/>
    <n v="2"/>
  </r>
  <r>
    <x v="405"/>
    <n v="10"/>
    <n v="2021"/>
    <x v="4"/>
    <n v="1"/>
  </r>
  <r>
    <x v="406"/>
    <n v="9"/>
    <n v="2021"/>
    <x v="2"/>
    <n v="5"/>
  </r>
  <r>
    <x v="407"/>
    <n v="9"/>
    <n v="2021"/>
    <x v="6"/>
    <n v="3"/>
  </r>
  <r>
    <x v="408"/>
    <n v="9"/>
    <n v="2021"/>
    <x v="8"/>
    <n v="4"/>
  </r>
  <r>
    <x v="408"/>
    <n v="9"/>
    <n v="2021"/>
    <x v="2"/>
    <n v="2"/>
  </r>
  <r>
    <x v="408"/>
    <n v="9"/>
    <n v="2021"/>
    <x v="6"/>
    <n v="3"/>
  </r>
  <r>
    <x v="408"/>
    <n v="9"/>
    <n v="2021"/>
    <x v="2"/>
    <n v="5"/>
  </r>
  <r>
    <x v="408"/>
    <n v="9"/>
    <n v="2021"/>
    <x v="2"/>
    <n v="3"/>
  </r>
  <r>
    <x v="409"/>
    <n v="9"/>
    <n v="2021"/>
    <x v="3"/>
    <n v="1"/>
  </r>
  <r>
    <x v="410"/>
    <n v="9"/>
    <n v="2021"/>
    <x v="5"/>
    <n v="5"/>
  </r>
  <r>
    <x v="410"/>
    <n v="9"/>
    <n v="2021"/>
    <x v="6"/>
    <n v="3"/>
  </r>
  <r>
    <x v="410"/>
    <n v="9"/>
    <n v="2021"/>
    <x v="1"/>
    <n v="5"/>
  </r>
  <r>
    <x v="411"/>
    <n v="9"/>
    <n v="2021"/>
    <x v="0"/>
    <n v="2"/>
  </r>
  <r>
    <x v="411"/>
    <n v="9"/>
    <n v="2021"/>
    <x v="1"/>
    <n v="4"/>
  </r>
  <r>
    <x v="412"/>
    <n v="9"/>
    <n v="2021"/>
    <x v="7"/>
    <n v="2"/>
  </r>
  <r>
    <x v="412"/>
    <n v="9"/>
    <n v="2021"/>
    <x v="2"/>
    <n v="4"/>
  </r>
  <r>
    <x v="413"/>
    <n v="9"/>
    <n v="2021"/>
    <x v="4"/>
    <n v="4"/>
  </r>
  <r>
    <x v="414"/>
    <n v="9"/>
    <n v="2021"/>
    <x v="8"/>
    <n v="5"/>
  </r>
  <r>
    <x v="415"/>
    <n v="9"/>
    <n v="2021"/>
    <x v="5"/>
    <n v="1"/>
  </r>
  <r>
    <x v="416"/>
    <n v="9"/>
    <n v="2021"/>
    <x v="0"/>
    <n v="3"/>
  </r>
  <r>
    <x v="416"/>
    <n v="9"/>
    <n v="2021"/>
    <x v="2"/>
    <n v="3"/>
  </r>
  <r>
    <x v="417"/>
    <n v="9"/>
    <n v="2021"/>
    <x v="7"/>
    <n v="5"/>
  </r>
  <r>
    <x v="417"/>
    <n v="9"/>
    <n v="2021"/>
    <x v="4"/>
    <n v="2"/>
  </r>
  <r>
    <x v="418"/>
    <n v="9"/>
    <n v="2021"/>
    <x v="2"/>
    <n v="5"/>
  </r>
  <r>
    <x v="419"/>
    <n v="9"/>
    <n v="2021"/>
    <x v="6"/>
    <n v="1"/>
  </r>
  <r>
    <x v="419"/>
    <n v="9"/>
    <n v="2021"/>
    <x v="8"/>
    <n v="1"/>
  </r>
  <r>
    <x v="419"/>
    <n v="9"/>
    <n v="2021"/>
    <x v="1"/>
    <n v="1"/>
  </r>
  <r>
    <x v="420"/>
    <n v="9"/>
    <n v="2021"/>
    <x v="5"/>
    <n v="4"/>
  </r>
  <r>
    <x v="420"/>
    <n v="9"/>
    <n v="2021"/>
    <x v="3"/>
    <n v="5"/>
  </r>
  <r>
    <x v="421"/>
    <n v="9"/>
    <n v="2021"/>
    <x v="1"/>
    <n v="2"/>
  </r>
  <r>
    <x v="421"/>
    <n v="9"/>
    <n v="2021"/>
    <x v="5"/>
    <n v="3"/>
  </r>
  <r>
    <x v="422"/>
    <n v="9"/>
    <n v="2021"/>
    <x v="8"/>
    <n v="1"/>
  </r>
  <r>
    <x v="422"/>
    <n v="9"/>
    <n v="2021"/>
    <x v="7"/>
    <n v="1"/>
  </r>
  <r>
    <x v="423"/>
    <n v="9"/>
    <n v="2021"/>
    <x v="7"/>
    <n v="4"/>
  </r>
  <r>
    <x v="423"/>
    <n v="9"/>
    <n v="2021"/>
    <x v="4"/>
    <n v="5"/>
  </r>
  <r>
    <x v="424"/>
    <n v="9"/>
    <n v="2021"/>
    <x v="8"/>
    <n v="3"/>
  </r>
  <r>
    <x v="425"/>
    <n v="9"/>
    <n v="2021"/>
    <x v="3"/>
    <n v="5"/>
  </r>
  <r>
    <x v="426"/>
    <n v="8"/>
    <n v="2021"/>
    <x v="5"/>
    <n v="1"/>
  </r>
  <r>
    <x v="426"/>
    <n v="8"/>
    <n v="2021"/>
    <x v="2"/>
    <n v="5"/>
  </r>
  <r>
    <x v="426"/>
    <n v="8"/>
    <n v="2021"/>
    <x v="4"/>
    <n v="4"/>
  </r>
  <r>
    <x v="426"/>
    <n v="8"/>
    <n v="2021"/>
    <x v="3"/>
    <n v="1"/>
  </r>
  <r>
    <x v="427"/>
    <n v="8"/>
    <n v="2021"/>
    <x v="5"/>
    <n v="1"/>
  </r>
  <r>
    <x v="428"/>
    <n v="8"/>
    <n v="2021"/>
    <x v="7"/>
    <n v="3"/>
  </r>
  <r>
    <x v="429"/>
    <n v="8"/>
    <n v="2021"/>
    <x v="2"/>
    <n v="2"/>
  </r>
  <r>
    <x v="429"/>
    <n v="8"/>
    <n v="2021"/>
    <x v="1"/>
    <n v="3"/>
  </r>
  <r>
    <x v="429"/>
    <n v="8"/>
    <n v="2021"/>
    <x v="2"/>
    <n v="5"/>
  </r>
  <r>
    <x v="430"/>
    <n v="8"/>
    <n v="2021"/>
    <x v="1"/>
    <n v="4"/>
  </r>
  <r>
    <x v="431"/>
    <n v="8"/>
    <n v="2021"/>
    <x v="2"/>
    <n v="5"/>
  </r>
  <r>
    <x v="432"/>
    <n v="8"/>
    <n v="2021"/>
    <x v="0"/>
    <n v="4"/>
  </r>
  <r>
    <x v="433"/>
    <n v="8"/>
    <n v="2021"/>
    <x v="8"/>
    <n v="5"/>
  </r>
  <r>
    <x v="434"/>
    <n v="8"/>
    <n v="2021"/>
    <x v="6"/>
    <n v="4"/>
  </r>
  <r>
    <x v="434"/>
    <n v="8"/>
    <n v="2021"/>
    <x v="3"/>
    <n v="5"/>
  </r>
  <r>
    <x v="434"/>
    <n v="8"/>
    <n v="2021"/>
    <x v="0"/>
    <n v="3"/>
  </r>
  <r>
    <x v="435"/>
    <n v="8"/>
    <n v="2021"/>
    <x v="4"/>
    <n v="1"/>
  </r>
  <r>
    <x v="436"/>
    <n v="8"/>
    <n v="2021"/>
    <x v="0"/>
    <n v="1"/>
  </r>
  <r>
    <x v="436"/>
    <n v="8"/>
    <n v="2021"/>
    <x v="0"/>
    <n v="3"/>
  </r>
  <r>
    <x v="437"/>
    <n v="8"/>
    <n v="2021"/>
    <x v="2"/>
    <n v="4"/>
  </r>
  <r>
    <x v="437"/>
    <n v="8"/>
    <n v="2021"/>
    <x v="4"/>
    <n v="4"/>
  </r>
  <r>
    <x v="438"/>
    <n v="8"/>
    <n v="2021"/>
    <x v="8"/>
    <n v="4"/>
  </r>
  <r>
    <x v="439"/>
    <n v="8"/>
    <n v="2021"/>
    <x v="2"/>
    <n v="1"/>
  </r>
  <r>
    <x v="440"/>
    <n v="8"/>
    <n v="2021"/>
    <x v="8"/>
    <n v="4"/>
  </r>
  <r>
    <x v="441"/>
    <n v="8"/>
    <n v="2021"/>
    <x v="0"/>
    <n v="3"/>
  </r>
  <r>
    <x v="442"/>
    <n v="7"/>
    <n v="2021"/>
    <x v="3"/>
    <n v="3"/>
  </r>
  <r>
    <x v="443"/>
    <n v="7"/>
    <n v="2021"/>
    <x v="6"/>
    <n v="3"/>
  </r>
  <r>
    <x v="444"/>
    <n v="7"/>
    <n v="2021"/>
    <x v="2"/>
    <n v="5"/>
  </r>
  <r>
    <x v="445"/>
    <n v="7"/>
    <n v="2021"/>
    <x v="2"/>
    <n v="4"/>
  </r>
  <r>
    <x v="446"/>
    <n v="7"/>
    <n v="2021"/>
    <x v="4"/>
    <n v="5"/>
  </r>
  <r>
    <x v="447"/>
    <n v="7"/>
    <n v="2021"/>
    <x v="0"/>
    <n v="1"/>
  </r>
  <r>
    <x v="448"/>
    <n v="7"/>
    <n v="2021"/>
    <x v="1"/>
    <n v="3"/>
  </r>
  <r>
    <x v="449"/>
    <n v="7"/>
    <n v="2021"/>
    <x v="7"/>
    <n v="2"/>
  </r>
  <r>
    <x v="449"/>
    <n v="7"/>
    <n v="2021"/>
    <x v="6"/>
    <n v="4"/>
  </r>
  <r>
    <x v="450"/>
    <n v="7"/>
    <n v="2021"/>
    <x v="3"/>
    <n v="3"/>
  </r>
  <r>
    <x v="451"/>
    <n v="7"/>
    <n v="2021"/>
    <x v="0"/>
    <n v="5"/>
  </r>
  <r>
    <x v="451"/>
    <n v="7"/>
    <n v="2021"/>
    <x v="8"/>
    <n v="3"/>
  </r>
  <r>
    <x v="452"/>
    <n v="7"/>
    <n v="2021"/>
    <x v="8"/>
    <n v="5"/>
  </r>
  <r>
    <x v="453"/>
    <n v="7"/>
    <n v="2021"/>
    <x v="7"/>
    <n v="4"/>
  </r>
  <r>
    <x v="453"/>
    <n v="7"/>
    <n v="2021"/>
    <x v="8"/>
    <n v="1"/>
  </r>
  <r>
    <x v="454"/>
    <n v="7"/>
    <n v="2021"/>
    <x v="6"/>
    <n v="5"/>
  </r>
  <r>
    <x v="455"/>
    <n v="7"/>
    <n v="2021"/>
    <x v="2"/>
    <n v="3"/>
  </r>
  <r>
    <x v="455"/>
    <n v="7"/>
    <n v="2021"/>
    <x v="8"/>
    <n v="3"/>
  </r>
  <r>
    <x v="455"/>
    <n v="7"/>
    <n v="2021"/>
    <x v="3"/>
    <n v="2"/>
  </r>
  <r>
    <x v="456"/>
    <n v="6"/>
    <n v="2021"/>
    <x v="3"/>
    <n v="4"/>
  </r>
  <r>
    <x v="456"/>
    <n v="6"/>
    <n v="2021"/>
    <x v="0"/>
    <n v="4"/>
  </r>
  <r>
    <x v="457"/>
    <n v="6"/>
    <n v="2021"/>
    <x v="8"/>
    <n v="5"/>
  </r>
  <r>
    <x v="458"/>
    <n v="6"/>
    <n v="2021"/>
    <x v="4"/>
    <n v="5"/>
  </r>
  <r>
    <x v="459"/>
    <n v="6"/>
    <n v="2021"/>
    <x v="7"/>
    <n v="3"/>
  </r>
  <r>
    <x v="460"/>
    <n v="6"/>
    <n v="2021"/>
    <x v="6"/>
    <n v="5"/>
  </r>
  <r>
    <x v="460"/>
    <n v="6"/>
    <n v="2021"/>
    <x v="5"/>
    <n v="1"/>
  </r>
  <r>
    <x v="460"/>
    <n v="6"/>
    <n v="2021"/>
    <x v="7"/>
    <n v="2"/>
  </r>
  <r>
    <x v="461"/>
    <n v="6"/>
    <n v="2021"/>
    <x v="2"/>
    <n v="2"/>
  </r>
  <r>
    <x v="461"/>
    <n v="6"/>
    <n v="2021"/>
    <x v="1"/>
    <n v="4"/>
  </r>
  <r>
    <x v="462"/>
    <n v="6"/>
    <n v="2021"/>
    <x v="6"/>
    <n v="4"/>
  </r>
  <r>
    <x v="462"/>
    <n v="6"/>
    <n v="2021"/>
    <x v="0"/>
    <n v="3"/>
  </r>
  <r>
    <x v="463"/>
    <n v="6"/>
    <n v="2021"/>
    <x v="3"/>
    <n v="3"/>
  </r>
  <r>
    <x v="464"/>
    <n v="6"/>
    <n v="2021"/>
    <x v="8"/>
    <n v="2"/>
  </r>
  <r>
    <x v="464"/>
    <n v="6"/>
    <n v="2021"/>
    <x v="1"/>
    <n v="3"/>
  </r>
  <r>
    <x v="465"/>
    <n v="6"/>
    <n v="2021"/>
    <x v="7"/>
    <n v="5"/>
  </r>
  <r>
    <x v="466"/>
    <n v="6"/>
    <n v="2021"/>
    <x v="7"/>
    <n v="1"/>
  </r>
  <r>
    <x v="467"/>
    <n v="6"/>
    <n v="2021"/>
    <x v="4"/>
    <n v="4"/>
  </r>
  <r>
    <x v="468"/>
    <n v="5"/>
    <n v="2021"/>
    <x v="0"/>
    <n v="4"/>
  </r>
  <r>
    <x v="469"/>
    <n v="5"/>
    <n v="2021"/>
    <x v="7"/>
    <n v="4"/>
  </r>
  <r>
    <x v="469"/>
    <n v="5"/>
    <n v="2021"/>
    <x v="0"/>
    <n v="2"/>
  </r>
  <r>
    <x v="469"/>
    <n v="5"/>
    <n v="2021"/>
    <x v="1"/>
    <n v="1"/>
  </r>
  <r>
    <x v="470"/>
    <n v="5"/>
    <n v="2021"/>
    <x v="6"/>
    <n v="3"/>
  </r>
  <r>
    <x v="471"/>
    <n v="5"/>
    <n v="2021"/>
    <x v="0"/>
    <n v="5"/>
  </r>
  <r>
    <x v="472"/>
    <n v="5"/>
    <n v="2021"/>
    <x v="7"/>
    <n v="2"/>
  </r>
  <r>
    <x v="473"/>
    <n v="5"/>
    <n v="2021"/>
    <x v="6"/>
    <n v="4"/>
  </r>
  <r>
    <x v="474"/>
    <n v="5"/>
    <n v="2021"/>
    <x v="5"/>
    <n v="4"/>
  </r>
  <r>
    <x v="475"/>
    <n v="5"/>
    <n v="2021"/>
    <x v="2"/>
    <n v="1"/>
  </r>
  <r>
    <x v="476"/>
    <n v="5"/>
    <n v="2021"/>
    <x v="2"/>
    <n v="5"/>
  </r>
  <r>
    <x v="477"/>
    <n v="5"/>
    <n v="2021"/>
    <x v="7"/>
    <n v="2"/>
  </r>
  <r>
    <x v="478"/>
    <n v="5"/>
    <n v="2021"/>
    <x v="6"/>
    <n v="5"/>
  </r>
  <r>
    <x v="478"/>
    <n v="5"/>
    <n v="2021"/>
    <x v="7"/>
    <n v="3"/>
  </r>
  <r>
    <x v="479"/>
    <n v="5"/>
    <n v="2021"/>
    <x v="6"/>
    <n v="4"/>
  </r>
  <r>
    <x v="479"/>
    <n v="5"/>
    <n v="2021"/>
    <x v="3"/>
    <n v="1"/>
  </r>
  <r>
    <x v="480"/>
    <n v="4"/>
    <n v="2021"/>
    <x v="8"/>
    <n v="3"/>
  </r>
  <r>
    <x v="480"/>
    <n v="4"/>
    <n v="2021"/>
    <x v="3"/>
    <n v="5"/>
  </r>
  <r>
    <x v="480"/>
    <n v="4"/>
    <n v="2021"/>
    <x v="1"/>
    <n v="3"/>
  </r>
  <r>
    <x v="481"/>
    <n v="4"/>
    <n v="2021"/>
    <x v="4"/>
    <n v="3"/>
  </r>
  <r>
    <x v="481"/>
    <n v="4"/>
    <n v="2021"/>
    <x v="3"/>
    <n v="3"/>
  </r>
  <r>
    <x v="482"/>
    <n v="4"/>
    <n v="2021"/>
    <x v="6"/>
    <n v="4"/>
  </r>
  <r>
    <x v="483"/>
    <n v="4"/>
    <n v="2021"/>
    <x v="7"/>
    <n v="4"/>
  </r>
  <r>
    <x v="483"/>
    <n v="4"/>
    <n v="2021"/>
    <x v="8"/>
    <n v="3"/>
  </r>
  <r>
    <x v="483"/>
    <n v="4"/>
    <n v="2021"/>
    <x v="8"/>
    <n v="4"/>
  </r>
  <r>
    <x v="484"/>
    <n v="4"/>
    <n v="2021"/>
    <x v="1"/>
    <n v="3"/>
  </r>
  <r>
    <x v="484"/>
    <n v="4"/>
    <n v="2021"/>
    <x v="2"/>
    <n v="1"/>
  </r>
  <r>
    <x v="485"/>
    <n v="4"/>
    <n v="2021"/>
    <x v="0"/>
    <n v="1"/>
  </r>
  <r>
    <x v="486"/>
    <n v="4"/>
    <n v="2021"/>
    <x v="3"/>
    <n v="3"/>
  </r>
  <r>
    <x v="487"/>
    <n v="4"/>
    <n v="2021"/>
    <x v="7"/>
    <n v="2"/>
  </r>
  <r>
    <x v="488"/>
    <n v="4"/>
    <n v="2021"/>
    <x v="2"/>
    <n v="4"/>
  </r>
  <r>
    <x v="489"/>
    <n v="4"/>
    <n v="2021"/>
    <x v="4"/>
    <n v="2"/>
  </r>
  <r>
    <x v="490"/>
    <n v="4"/>
    <n v="2021"/>
    <x v="8"/>
    <n v="2"/>
  </r>
  <r>
    <x v="491"/>
    <n v="4"/>
    <n v="2021"/>
    <x v="0"/>
    <n v="4"/>
  </r>
  <r>
    <x v="492"/>
    <n v="4"/>
    <n v="2021"/>
    <x v="4"/>
    <n v="1"/>
  </r>
  <r>
    <x v="493"/>
    <n v="4"/>
    <n v="2021"/>
    <x v="1"/>
    <n v="3"/>
  </r>
  <r>
    <x v="494"/>
    <n v="3"/>
    <n v="2021"/>
    <x v="8"/>
    <n v="5"/>
  </r>
  <r>
    <x v="495"/>
    <n v="3"/>
    <n v="2021"/>
    <x v="1"/>
    <n v="5"/>
  </r>
  <r>
    <x v="496"/>
    <n v="3"/>
    <n v="2021"/>
    <x v="8"/>
    <n v="1"/>
  </r>
  <r>
    <x v="497"/>
    <n v="3"/>
    <n v="2021"/>
    <x v="0"/>
    <n v="3"/>
  </r>
  <r>
    <x v="498"/>
    <n v="3"/>
    <n v="2021"/>
    <x v="1"/>
    <n v="2"/>
  </r>
  <r>
    <x v="499"/>
    <n v="3"/>
    <n v="2021"/>
    <x v="5"/>
    <n v="4"/>
  </r>
  <r>
    <x v="500"/>
    <n v="3"/>
    <n v="2021"/>
    <x v="3"/>
    <n v="2"/>
  </r>
  <r>
    <x v="500"/>
    <n v="3"/>
    <n v="2021"/>
    <x v="2"/>
    <n v="5"/>
  </r>
  <r>
    <x v="500"/>
    <n v="3"/>
    <n v="2021"/>
    <x v="6"/>
    <n v="4"/>
  </r>
  <r>
    <x v="501"/>
    <n v="3"/>
    <n v="2021"/>
    <x v="3"/>
    <n v="2"/>
  </r>
  <r>
    <x v="502"/>
    <n v="3"/>
    <n v="2021"/>
    <x v="6"/>
    <n v="4"/>
  </r>
  <r>
    <x v="503"/>
    <n v="3"/>
    <n v="2021"/>
    <x v="2"/>
    <n v="3"/>
  </r>
  <r>
    <x v="504"/>
    <n v="3"/>
    <n v="2021"/>
    <x v="8"/>
    <n v="4"/>
  </r>
  <r>
    <x v="505"/>
    <n v="3"/>
    <n v="2021"/>
    <x v="7"/>
    <n v="3"/>
  </r>
  <r>
    <x v="506"/>
    <n v="2"/>
    <n v="2021"/>
    <x v="6"/>
    <n v="2"/>
  </r>
  <r>
    <x v="507"/>
    <n v="2"/>
    <n v="2021"/>
    <x v="0"/>
    <n v="3"/>
  </r>
  <r>
    <x v="507"/>
    <n v="2"/>
    <n v="2021"/>
    <x v="4"/>
    <n v="4"/>
  </r>
  <r>
    <x v="508"/>
    <n v="2"/>
    <n v="2021"/>
    <x v="6"/>
    <n v="5"/>
  </r>
  <r>
    <x v="508"/>
    <n v="2"/>
    <n v="2021"/>
    <x v="2"/>
    <n v="5"/>
  </r>
  <r>
    <x v="508"/>
    <n v="2"/>
    <n v="2021"/>
    <x v="8"/>
    <n v="1"/>
  </r>
  <r>
    <x v="509"/>
    <n v="2"/>
    <n v="2021"/>
    <x v="3"/>
    <n v="3"/>
  </r>
  <r>
    <x v="509"/>
    <n v="2"/>
    <n v="2021"/>
    <x v="2"/>
    <n v="5"/>
  </r>
  <r>
    <x v="510"/>
    <n v="2"/>
    <n v="2021"/>
    <x v="7"/>
    <n v="2"/>
  </r>
  <r>
    <x v="511"/>
    <n v="2"/>
    <n v="2021"/>
    <x v="8"/>
    <n v="1"/>
  </r>
  <r>
    <x v="511"/>
    <n v="2"/>
    <n v="2021"/>
    <x v="2"/>
    <n v="5"/>
  </r>
  <r>
    <x v="512"/>
    <n v="2"/>
    <n v="2021"/>
    <x v="5"/>
    <n v="1"/>
  </r>
  <r>
    <x v="512"/>
    <n v="2"/>
    <n v="2021"/>
    <x v="0"/>
    <n v="4"/>
  </r>
  <r>
    <x v="513"/>
    <n v="2"/>
    <n v="2021"/>
    <x v="1"/>
    <n v="3"/>
  </r>
  <r>
    <x v="513"/>
    <n v="2"/>
    <n v="2021"/>
    <x v="1"/>
    <n v="4"/>
  </r>
  <r>
    <x v="514"/>
    <n v="2"/>
    <n v="2021"/>
    <x v="0"/>
    <n v="3"/>
  </r>
  <r>
    <x v="514"/>
    <n v="2"/>
    <n v="2021"/>
    <x v="8"/>
    <n v="3"/>
  </r>
  <r>
    <x v="515"/>
    <n v="1"/>
    <n v="2021"/>
    <x v="4"/>
    <n v="1"/>
  </r>
  <r>
    <x v="515"/>
    <n v="1"/>
    <n v="2021"/>
    <x v="6"/>
    <n v="2"/>
  </r>
  <r>
    <x v="516"/>
    <n v="1"/>
    <n v="2021"/>
    <x v="4"/>
    <n v="4"/>
  </r>
  <r>
    <x v="517"/>
    <n v="1"/>
    <n v="2021"/>
    <x v="8"/>
    <n v="5"/>
  </r>
  <r>
    <x v="518"/>
    <n v="1"/>
    <n v="2021"/>
    <x v="4"/>
    <n v="5"/>
  </r>
  <r>
    <x v="519"/>
    <n v="1"/>
    <n v="2021"/>
    <x v="7"/>
    <n v="4"/>
  </r>
  <r>
    <x v="520"/>
    <n v="1"/>
    <n v="2021"/>
    <x v="8"/>
    <n v="2"/>
  </r>
  <r>
    <x v="521"/>
    <n v="1"/>
    <n v="2021"/>
    <x v="2"/>
    <n v="1"/>
  </r>
  <r>
    <x v="522"/>
    <n v="1"/>
    <n v="2021"/>
    <x v="2"/>
    <n v="4"/>
  </r>
  <r>
    <x v="523"/>
    <n v="1"/>
    <n v="2021"/>
    <x v="3"/>
    <n v="4"/>
  </r>
  <r>
    <x v="524"/>
    <n v="1"/>
    <n v="2021"/>
    <x v="7"/>
    <n v="5"/>
  </r>
  <r>
    <x v="525"/>
    <n v="1"/>
    <n v="2021"/>
    <x v="4"/>
    <n v="4"/>
  </r>
  <r>
    <x v="526"/>
    <n v="1"/>
    <n v="2021"/>
    <x v="2"/>
    <n v="1"/>
  </r>
  <r>
    <x v="527"/>
    <n v="1"/>
    <n v="2021"/>
    <x v="2"/>
    <n v="2"/>
  </r>
  <r>
    <x v="528"/>
    <n v="1"/>
    <n v="2021"/>
    <x v="3"/>
    <n v="1"/>
  </r>
  <r>
    <x v="529"/>
    <n v="1"/>
    <n v="2021"/>
    <x v="5"/>
    <n v="1"/>
  </r>
  <r>
    <x v="530"/>
    <n v="12"/>
    <n v="2020"/>
    <x v="3"/>
    <n v="2"/>
  </r>
  <r>
    <x v="531"/>
    <n v="12"/>
    <n v="2020"/>
    <x v="7"/>
    <n v="5"/>
  </r>
  <r>
    <x v="532"/>
    <n v="12"/>
    <n v="2020"/>
    <x v="5"/>
    <n v="1"/>
  </r>
  <r>
    <x v="533"/>
    <n v="12"/>
    <n v="2020"/>
    <x v="2"/>
    <n v="5"/>
  </r>
  <r>
    <x v="533"/>
    <n v="12"/>
    <n v="2020"/>
    <x v="2"/>
    <n v="4"/>
  </r>
  <r>
    <x v="533"/>
    <n v="12"/>
    <n v="2020"/>
    <x v="7"/>
    <n v="3"/>
  </r>
  <r>
    <x v="534"/>
    <n v="12"/>
    <n v="2020"/>
    <x v="8"/>
    <n v="3"/>
  </r>
  <r>
    <x v="535"/>
    <n v="12"/>
    <n v="2020"/>
    <x v="7"/>
    <n v="1"/>
  </r>
  <r>
    <x v="535"/>
    <n v="12"/>
    <n v="2020"/>
    <x v="6"/>
    <n v="1"/>
  </r>
  <r>
    <x v="536"/>
    <n v="12"/>
    <n v="2020"/>
    <x v="1"/>
    <n v="3"/>
  </r>
  <r>
    <x v="537"/>
    <n v="12"/>
    <n v="2020"/>
    <x v="3"/>
    <n v="3"/>
  </r>
  <r>
    <x v="538"/>
    <n v="12"/>
    <n v="2020"/>
    <x v="2"/>
    <n v="3"/>
  </r>
  <r>
    <x v="539"/>
    <n v="12"/>
    <n v="2020"/>
    <x v="2"/>
    <n v="5"/>
  </r>
  <r>
    <x v="540"/>
    <n v="12"/>
    <n v="2020"/>
    <x v="0"/>
    <n v="4"/>
  </r>
  <r>
    <x v="541"/>
    <n v="12"/>
    <n v="2020"/>
    <x v="6"/>
    <n v="1"/>
  </r>
  <r>
    <x v="541"/>
    <n v="12"/>
    <n v="2020"/>
    <x v="4"/>
    <n v="4"/>
  </r>
  <r>
    <x v="541"/>
    <n v="12"/>
    <n v="2020"/>
    <x v="8"/>
    <n v="2"/>
  </r>
  <r>
    <x v="542"/>
    <n v="12"/>
    <n v="2020"/>
    <x v="7"/>
    <n v="1"/>
  </r>
  <r>
    <x v="542"/>
    <n v="12"/>
    <n v="2020"/>
    <x v="5"/>
    <n v="1"/>
  </r>
  <r>
    <x v="543"/>
    <n v="11"/>
    <n v="2020"/>
    <x v="1"/>
    <n v="5"/>
  </r>
  <r>
    <x v="543"/>
    <n v="11"/>
    <n v="2020"/>
    <x v="8"/>
    <n v="1"/>
  </r>
  <r>
    <x v="544"/>
    <n v="11"/>
    <n v="2020"/>
    <x v="0"/>
    <n v="5"/>
  </r>
  <r>
    <x v="545"/>
    <n v="11"/>
    <n v="2020"/>
    <x v="8"/>
    <n v="1"/>
  </r>
  <r>
    <x v="546"/>
    <n v="11"/>
    <n v="2020"/>
    <x v="7"/>
    <n v="1"/>
  </r>
  <r>
    <x v="547"/>
    <n v="11"/>
    <n v="2020"/>
    <x v="7"/>
    <n v="2"/>
  </r>
  <r>
    <x v="548"/>
    <n v="11"/>
    <n v="2020"/>
    <x v="3"/>
    <n v="2"/>
  </r>
  <r>
    <x v="549"/>
    <n v="11"/>
    <n v="2020"/>
    <x v="3"/>
    <n v="4"/>
  </r>
  <r>
    <x v="550"/>
    <n v="11"/>
    <n v="2020"/>
    <x v="7"/>
    <n v="1"/>
  </r>
  <r>
    <x v="550"/>
    <n v="11"/>
    <n v="2020"/>
    <x v="2"/>
    <n v="5"/>
  </r>
  <r>
    <x v="551"/>
    <n v="11"/>
    <n v="2020"/>
    <x v="8"/>
    <n v="1"/>
  </r>
  <r>
    <x v="552"/>
    <n v="11"/>
    <n v="2020"/>
    <x v="6"/>
    <n v="1"/>
  </r>
  <r>
    <x v="553"/>
    <n v="11"/>
    <n v="2020"/>
    <x v="5"/>
    <n v="2"/>
  </r>
  <r>
    <x v="553"/>
    <n v="11"/>
    <n v="2020"/>
    <x v="3"/>
    <n v="3"/>
  </r>
  <r>
    <x v="554"/>
    <n v="11"/>
    <n v="2020"/>
    <x v="7"/>
    <n v="2"/>
  </r>
  <r>
    <x v="555"/>
    <n v="11"/>
    <n v="2020"/>
    <x v="5"/>
    <n v="4"/>
  </r>
  <r>
    <x v="556"/>
    <n v="11"/>
    <n v="2020"/>
    <x v="4"/>
    <n v="4"/>
  </r>
  <r>
    <x v="556"/>
    <n v="11"/>
    <n v="2020"/>
    <x v="7"/>
    <n v="2"/>
  </r>
  <r>
    <x v="557"/>
    <n v="11"/>
    <n v="2020"/>
    <x v="5"/>
    <n v="1"/>
  </r>
  <r>
    <x v="557"/>
    <n v="11"/>
    <n v="2020"/>
    <x v="5"/>
    <n v="4"/>
  </r>
  <r>
    <x v="558"/>
    <n v="10"/>
    <n v="2020"/>
    <x v="7"/>
    <n v="1"/>
  </r>
  <r>
    <x v="559"/>
    <n v="10"/>
    <n v="2020"/>
    <x v="1"/>
    <n v="1"/>
  </r>
  <r>
    <x v="560"/>
    <n v="10"/>
    <n v="2020"/>
    <x v="7"/>
    <n v="4"/>
  </r>
  <r>
    <x v="561"/>
    <n v="10"/>
    <n v="2020"/>
    <x v="1"/>
    <n v="4"/>
  </r>
  <r>
    <x v="562"/>
    <n v="10"/>
    <n v="2020"/>
    <x v="5"/>
    <n v="4"/>
  </r>
  <r>
    <x v="563"/>
    <n v="10"/>
    <n v="2020"/>
    <x v="5"/>
    <n v="5"/>
  </r>
  <r>
    <x v="563"/>
    <n v="10"/>
    <n v="2020"/>
    <x v="3"/>
    <n v="3"/>
  </r>
  <r>
    <x v="564"/>
    <n v="10"/>
    <n v="2020"/>
    <x v="6"/>
    <n v="3"/>
  </r>
  <r>
    <x v="565"/>
    <n v="10"/>
    <n v="2020"/>
    <x v="7"/>
    <n v="2"/>
  </r>
  <r>
    <x v="566"/>
    <n v="10"/>
    <n v="2020"/>
    <x v="4"/>
    <n v="4"/>
  </r>
  <r>
    <x v="566"/>
    <n v="10"/>
    <n v="2020"/>
    <x v="5"/>
    <n v="4"/>
  </r>
  <r>
    <x v="566"/>
    <n v="10"/>
    <n v="2020"/>
    <x v="2"/>
    <n v="1"/>
  </r>
  <r>
    <x v="567"/>
    <n v="10"/>
    <n v="2020"/>
    <x v="5"/>
    <n v="4"/>
  </r>
  <r>
    <x v="568"/>
    <n v="10"/>
    <n v="2020"/>
    <x v="5"/>
    <n v="1"/>
  </r>
  <r>
    <x v="569"/>
    <n v="10"/>
    <n v="2020"/>
    <x v="8"/>
    <n v="1"/>
  </r>
  <r>
    <x v="570"/>
    <n v="10"/>
    <n v="2020"/>
    <x v="0"/>
    <n v="2"/>
  </r>
  <r>
    <x v="571"/>
    <n v="10"/>
    <n v="2020"/>
    <x v="7"/>
    <n v="1"/>
  </r>
  <r>
    <x v="572"/>
    <n v="10"/>
    <n v="2020"/>
    <x v="1"/>
    <n v="2"/>
  </r>
  <r>
    <x v="572"/>
    <n v="10"/>
    <n v="2020"/>
    <x v="4"/>
    <n v="5"/>
  </r>
  <r>
    <x v="572"/>
    <n v="10"/>
    <n v="2020"/>
    <x v="4"/>
    <n v="5"/>
  </r>
  <r>
    <x v="573"/>
    <n v="10"/>
    <n v="2020"/>
    <x v="8"/>
    <n v="4"/>
  </r>
  <r>
    <x v="574"/>
    <n v="10"/>
    <n v="2020"/>
    <x v="1"/>
    <n v="4"/>
  </r>
  <r>
    <x v="575"/>
    <n v="10"/>
    <n v="2020"/>
    <x v="3"/>
    <n v="1"/>
  </r>
  <r>
    <x v="576"/>
    <n v="9"/>
    <n v="2020"/>
    <x v="3"/>
    <n v="1"/>
  </r>
  <r>
    <x v="577"/>
    <n v="9"/>
    <n v="2020"/>
    <x v="5"/>
    <n v="5"/>
  </r>
  <r>
    <x v="578"/>
    <n v="9"/>
    <n v="2020"/>
    <x v="7"/>
    <n v="2"/>
  </r>
  <r>
    <x v="579"/>
    <n v="9"/>
    <n v="2020"/>
    <x v="2"/>
    <n v="2"/>
  </r>
  <r>
    <x v="579"/>
    <n v="9"/>
    <n v="2020"/>
    <x v="4"/>
    <n v="5"/>
  </r>
  <r>
    <x v="580"/>
    <n v="9"/>
    <n v="2020"/>
    <x v="8"/>
    <n v="4"/>
  </r>
  <r>
    <x v="581"/>
    <n v="9"/>
    <n v="2020"/>
    <x v="1"/>
    <n v="3"/>
  </r>
  <r>
    <x v="582"/>
    <n v="9"/>
    <n v="2020"/>
    <x v="6"/>
    <n v="2"/>
  </r>
  <r>
    <x v="582"/>
    <n v="9"/>
    <n v="2020"/>
    <x v="6"/>
    <n v="2"/>
  </r>
  <r>
    <x v="582"/>
    <n v="9"/>
    <n v="2020"/>
    <x v="4"/>
    <n v="4"/>
  </r>
  <r>
    <x v="583"/>
    <n v="9"/>
    <n v="2020"/>
    <x v="7"/>
    <n v="2"/>
  </r>
  <r>
    <x v="583"/>
    <n v="9"/>
    <n v="2020"/>
    <x v="4"/>
    <n v="4"/>
  </r>
  <r>
    <x v="584"/>
    <n v="9"/>
    <n v="2020"/>
    <x v="7"/>
    <n v="3"/>
  </r>
  <r>
    <x v="585"/>
    <n v="9"/>
    <n v="2020"/>
    <x v="7"/>
    <n v="4"/>
  </r>
  <r>
    <x v="586"/>
    <n v="9"/>
    <n v="2020"/>
    <x v="2"/>
    <n v="4"/>
  </r>
  <r>
    <x v="586"/>
    <n v="9"/>
    <n v="2020"/>
    <x v="8"/>
    <n v="2"/>
  </r>
  <r>
    <x v="587"/>
    <n v="9"/>
    <n v="2020"/>
    <x v="6"/>
    <n v="4"/>
  </r>
  <r>
    <x v="588"/>
    <n v="9"/>
    <n v="2020"/>
    <x v="4"/>
    <n v="5"/>
  </r>
  <r>
    <x v="589"/>
    <n v="9"/>
    <n v="2020"/>
    <x v="3"/>
    <n v="3"/>
  </r>
  <r>
    <x v="589"/>
    <n v="9"/>
    <n v="2020"/>
    <x v="2"/>
    <n v="1"/>
  </r>
  <r>
    <x v="589"/>
    <n v="9"/>
    <n v="2020"/>
    <x v="4"/>
    <n v="2"/>
  </r>
  <r>
    <x v="590"/>
    <n v="9"/>
    <n v="2020"/>
    <x v="7"/>
    <n v="3"/>
  </r>
  <r>
    <x v="591"/>
    <n v="9"/>
    <n v="2020"/>
    <x v="3"/>
    <n v="4"/>
  </r>
  <r>
    <x v="592"/>
    <n v="9"/>
    <n v="2020"/>
    <x v="4"/>
    <n v="3"/>
  </r>
  <r>
    <x v="592"/>
    <n v="9"/>
    <n v="2020"/>
    <x v="6"/>
    <n v="2"/>
  </r>
  <r>
    <x v="593"/>
    <n v="8"/>
    <n v="2020"/>
    <x v="2"/>
    <n v="1"/>
  </r>
  <r>
    <x v="594"/>
    <n v="8"/>
    <n v="2020"/>
    <x v="1"/>
    <n v="1"/>
  </r>
  <r>
    <x v="594"/>
    <n v="8"/>
    <n v="2020"/>
    <x v="6"/>
    <n v="3"/>
  </r>
  <r>
    <x v="595"/>
    <n v="8"/>
    <n v="2020"/>
    <x v="8"/>
    <n v="1"/>
  </r>
  <r>
    <x v="596"/>
    <n v="8"/>
    <n v="2020"/>
    <x v="7"/>
    <n v="4"/>
  </r>
  <r>
    <x v="597"/>
    <n v="8"/>
    <n v="2020"/>
    <x v="8"/>
    <n v="5"/>
  </r>
  <r>
    <x v="598"/>
    <n v="8"/>
    <n v="2020"/>
    <x v="1"/>
    <n v="1"/>
  </r>
  <r>
    <x v="599"/>
    <n v="8"/>
    <n v="2020"/>
    <x v="0"/>
    <n v="1"/>
  </r>
  <r>
    <x v="600"/>
    <n v="8"/>
    <n v="2020"/>
    <x v="8"/>
    <n v="1"/>
  </r>
  <r>
    <x v="601"/>
    <n v="8"/>
    <n v="2020"/>
    <x v="1"/>
    <n v="4"/>
  </r>
  <r>
    <x v="601"/>
    <n v="8"/>
    <n v="2020"/>
    <x v="6"/>
    <n v="3"/>
  </r>
  <r>
    <x v="602"/>
    <n v="8"/>
    <n v="2020"/>
    <x v="0"/>
    <n v="2"/>
  </r>
  <r>
    <x v="603"/>
    <n v="8"/>
    <n v="2020"/>
    <x v="4"/>
    <n v="4"/>
  </r>
  <r>
    <x v="604"/>
    <n v="8"/>
    <n v="2020"/>
    <x v="6"/>
    <n v="4"/>
  </r>
  <r>
    <x v="604"/>
    <n v="8"/>
    <n v="2020"/>
    <x v="5"/>
    <n v="4"/>
  </r>
  <r>
    <x v="605"/>
    <n v="8"/>
    <n v="2020"/>
    <x v="7"/>
    <n v="2"/>
  </r>
  <r>
    <x v="606"/>
    <n v="8"/>
    <n v="2020"/>
    <x v="0"/>
    <n v="4"/>
  </r>
  <r>
    <x v="606"/>
    <n v="8"/>
    <n v="2020"/>
    <x v="7"/>
    <n v="1"/>
  </r>
  <r>
    <x v="607"/>
    <n v="7"/>
    <n v="2020"/>
    <x v="8"/>
    <n v="3"/>
  </r>
  <r>
    <x v="607"/>
    <n v="7"/>
    <n v="2020"/>
    <x v="6"/>
    <n v="3"/>
  </r>
  <r>
    <x v="608"/>
    <n v="7"/>
    <n v="2020"/>
    <x v="3"/>
    <n v="5"/>
  </r>
  <r>
    <x v="609"/>
    <n v="7"/>
    <n v="2020"/>
    <x v="4"/>
    <n v="5"/>
  </r>
  <r>
    <x v="610"/>
    <n v="7"/>
    <n v="2020"/>
    <x v="8"/>
    <n v="4"/>
  </r>
  <r>
    <x v="610"/>
    <n v="7"/>
    <n v="2020"/>
    <x v="4"/>
    <n v="5"/>
  </r>
  <r>
    <x v="611"/>
    <n v="7"/>
    <n v="2020"/>
    <x v="6"/>
    <n v="4"/>
  </r>
  <r>
    <x v="612"/>
    <n v="7"/>
    <n v="2020"/>
    <x v="2"/>
    <n v="3"/>
  </r>
  <r>
    <x v="613"/>
    <n v="7"/>
    <n v="2020"/>
    <x v="4"/>
    <n v="3"/>
  </r>
  <r>
    <x v="614"/>
    <n v="7"/>
    <n v="2020"/>
    <x v="1"/>
    <n v="4"/>
  </r>
  <r>
    <x v="615"/>
    <n v="7"/>
    <n v="2020"/>
    <x v="2"/>
    <n v="3"/>
  </r>
  <r>
    <x v="616"/>
    <n v="7"/>
    <n v="2020"/>
    <x v="0"/>
    <n v="2"/>
  </r>
  <r>
    <x v="617"/>
    <n v="7"/>
    <n v="2020"/>
    <x v="6"/>
    <n v="4"/>
  </r>
  <r>
    <x v="618"/>
    <n v="7"/>
    <n v="2020"/>
    <x v="7"/>
    <n v="1"/>
  </r>
  <r>
    <x v="618"/>
    <n v="7"/>
    <n v="2020"/>
    <x v="8"/>
    <n v="4"/>
  </r>
  <r>
    <x v="619"/>
    <n v="7"/>
    <n v="2020"/>
    <x v="2"/>
    <n v="2"/>
  </r>
  <r>
    <x v="620"/>
    <n v="7"/>
    <n v="2020"/>
    <x v="2"/>
    <n v="3"/>
  </r>
  <r>
    <x v="620"/>
    <n v="7"/>
    <n v="2020"/>
    <x v="1"/>
    <n v="2"/>
  </r>
  <r>
    <x v="621"/>
    <n v="7"/>
    <n v="2020"/>
    <x v="4"/>
    <n v="3"/>
  </r>
  <r>
    <x v="622"/>
    <n v="6"/>
    <n v="2020"/>
    <x v="1"/>
    <n v="5"/>
  </r>
  <r>
    <x v="622"/>
    <n v="6"/>
    <n v="2020"/>
    <x v="8"/>
    <n v="3"/>
  </r>
  <r>
    <x v="622"/>
    <n v="6"/>
    <n v="2020"/>
    <x v="7"/>
    <n v="1"/>
  </r>
  <r>
    <x v="623"/>
    <n v="6"/>
    <n v="2020"/>
    <x v="7"/>
    <n v="2"/>
  </r>
  <r>
    <x v="623"/>
    <n v="6"/>
    <n v="2020"/>
    <x v="7"/>
    <n v="5"/>
  </r>
  <r>
    <x v="623"/>
    <n v="6"/>
    <n v="2020"/>
    <x v="1"/>
    <n v="4"/>
  </r>
  <r>
    <x v="624"/>
    <n v="6"/>
    <n v="2020"/>
    <x v="7"/>
    <n v="5"/>
  </r>
  <r>
    <x v="625"/>
    <n v="6"/>
    <n v="2020"/>
    <x v="7"/>
    <n v="4"/>
  </r>
  <r>
    <x v="626"/>
    <n v="6"/>
    <n v="2020"/>
    <x v="7"/>
    <n v="5"/>
  </r>
  <r>
    <x v="627"/>
    <n v="6"/>
    <n v="2020"/>
    <x v="7"/>
    <n v="5"/>
  </r>
  <r>
    <x v="627"/>
    <n v="6"/>
    <n v="2020"/>
    <x v="6"/>
    <n v="1"/>
  </r>
  <r>
    <x v="628"/>
    <n v="6"/>
    <n v="2020"/>
    <x v="8"/>
    <n v="3"/>
  </r>
  <r>
    <x v="629"/>
    <n v="6"/>
    <n v="2020"/>
    <x v="1"/>
    <n v="5"/>
  </r>
  <r>
    <x v="630"/>
    <n v="6"/>
    <n v="2020"/>
    <x v="2"/>
    <n v="1"/>
  </r>
  <r>
    <x v="631"/>
    <n v="6"/>
    <n v="2020"/>
    <x v="3"/>
    <n v="2"/>
  </r>
  <r>
    <x v="632"/>
    <n v="6"/>
    <n v="2020"/>
    <x v="4"/>
    <n v="4"/>
  </r>
  <r>
    <x v="633"/>
    <n v="6"/>
    <n v="2020"/>
    <x v="8"/>
    <n v="5"/>
  </r>
  <r>
    <x v="634"/>
    <n v="6"/>
    <n v="2020"/>
    <x v="6"/>
    <n v="4"/>
  </r>
  <r>
    <x v="635"/>
    <n v="6"/>
    <n v="2020"/>
    <x v="6"/>
    <n v="4"/>
  </r>
  <r>
    <x v="636"/>
    <n v="6"/>
    <n v="2020"/>
    <x v="8"/>
    <n v="3"/>
  </r>
  <r>
    <x v="637"/>
    <n v="6"/>
    <n v="2020"/>
    <x v="7"/>
    <n v="1"/>
  </r>
  <r>
    <x v="637"/>
    <n v="6"/>
    <n v="2020"/>
    <x v="1"/>
    <n v="2"/>
  </r>
  <r>
    <x v="638"/>
    <n v="6"/>
    <n v="2020"/>
    <x v="2"/>
    <n v="1"/>
  </r>
  <r>
    <x v="638"/>
    <n v="6"/>
    <n v="2020"/>
    <x v="0"/>
    <n v="5"/>
  </r>
  <r>
    <x v="639"/>
    <n v="6"/>
    <n v="2020"/>
    <x v="0"/>
    <n v="3"/>
  </r>
  <r>
    <x v="639"/>
    <n v="6"/>
    <n v="2020"/>
    <x v="8"/>
    <n v="5"/>
  </r>
  <r>
    <x v="639"/>
    <n v="6"/>
    <n v="2020"/>
    <x v="1"/>
    <n v="2"/>
  </r>
  <r>
    <x v="639"/>
    <n v="6"/>
    <n v="2020"/>
    <x v="8"/>
    <n v="4"/>
  </r>
  <r>
    <x v="639"/>
    <n v="6"/>
    <n v="2020"/>
    <x v="1"/>
    <n v="3"/>
  </r>
  <r>
    <x v="640"/>
    <n v="6"/>
    <n v="2020"/>
    <x v="1"/>
    <n v="2"/>
  </r>
  <r>
    <x v="641"/>
    <n v="6"/>
    <n v="2020"/>
    <x v="7"/>
    <n v="1"/>
  </r>
  <r>
    <x v="641"/>
    <n v="6"/>
    <n v="2020"/>
    <x v="6"/>
    <n v="2"/>
  </r>
  <r>
    <x v="642"/>
    <n v="6"/>
    <n v="2020"/>
    <x v="7"/>
    <n v="3"/>
  </r>
  <r>
    <x v="642"/>
    <n v="6"/>
    <n v="2020"/>
    <x v="5"/>
    <n v="3"/>
  </r>
  <r>
    <x v="642"/>
    <n v="6"/>
    <n v="2020"/>
    <x v="7"/>
    <n v="2"/>
  </r>
  <r>
    <x v="643"/>
    <n v="6"/>
    <n v="2020"/>
    <x v="0"/>
    <n v="1"/>
  </r>
  <r>
    <x v="644"/>
    <n v="5"/>
    <n v="2020"/>
    <x v="1"/>
    <n v="2"/>
  </r>
  <r>
    <x v="645"/>
    <n v="5"/>
    <n v="2020"/>
    <x v="3"/>
    <n v="5"/>
  </r>
  <r>
    <x v="646"/>
    <n v="5"/>
    <n v="2020"/>
    <x v="3"/>
    <n v="4"/>
  </r>
  <r>
    <x v="647"/>
    <n v="5"/>
    <n v="2020"/>
    <x v="2"/>
    <n v="5"/>
  </r>
  <r>
    <x v="648"/>
    <n v="5"/>
    <n v="2020"/>
    <x v="3"/>
    <n v="1"/>
  </r>
  <r>
    <x v="648"/>
    <n v="5"/>
    <n v="2020"/>
    <x v="6"/>
    <n v="5"/>
  </r>
  <r>
    <x v="649"/>
    <n v="5"/>
    <n v="2020"/>
    <x v="0"/>
    <n v="1"/>
  </r>
  <r>
    <x v="650"/>
    <n v="5"/>
    <n v="2020"/>
    <x v="2"/>
    <n v="1"/>
  </r>
  <r>
    <x v="650"/>
    <n v="5"/>
    <n v="2020"/>
    <x v="3"/>
    <n v="4"/>
  </r>
  <r>
    <x v="651"/>
    <n v="5"/>
    <n v="2020"/>
    <x v="3"/>
    <n v="5"/>
  </r>
  <r>
    <x v="652"/>
    <n v="5"/>
    <n v="2020"/>
    <x v="5"/>
    <n v="4"/>
  </r>
  <r>
    <x v="652"/>
    <n v="5"/>
    <n v="2020"/>
    <x v="1"/>
    <n v="3"/>
  </r>
  <r>
    <x v="653"/>
    <n v="5"/>
    <n v="2020"/>
    <x v="5"/>
    <n v="4"/>
  </r>
  <r>
    <x v="653"/>
    <n v="5"/>
    <n v="2020"/>
    <x v="2"/>
    <n v="1"/>
  </r>
  <r>
    <x v="653"/>
    <n v="5"/>
    <n v="2020"/>
    <x v="1"/>
    <n v="1"/>
  </r>
  <r>
    <x v="654"/>
    <n v="5"/>
    <n v="2020"/>
    <x v="8"/>
    <n v="1"/>
  </r>
  <r>
    <x v="655"/>
    <n v="4"/>
    <n v="2020"/>
    <x v="5"/>
    <n v="3"/>
  </r>
  <r>
    <x v="656"/>
    <n v="4"/>
    <n v="2020"/>
    <x v="7"/>
    <n v="4"/>
  </r>
  <r>
    <x v="657"/>
    <n v="4"/>
    <n v="2020"/>
    <x v="0"/>
    <n v="5"/>
  </r>
  <r>
    <x v="658"/>
    <n v="4"/>
    <n v="2020"/>
    <x v="6"/>
    <n v="2"/>
  </r>
  <r>
    <x v="659"/>
    <n v="4"/>
    <n v="2020"/>
    <x v="5"/>
    <n v="5"/>
  </r>
  <r>
    <x v="660"/>
    <n v="4"/>
    <n v="2020"/>
    <x v="2"/>
    <n v="2"/>
  </r>
  <r>
    <x v="660"/>
    <n v="4"/>
    <n v="2020"/>
    <x v="6"/>
    <n v="4"/>
  </r>
  <r>
    <x v="661"/>
    <n v="4"/>
    <n v="2020"/>
    <x v="5"/>
    <n v="5"/>
  </r>
  <r>
    <x v="662"/>
    <n v="4"/>
    <n v="2020"/>
    <x v="3"/>
    <n v="2"/>
  </r>
  <r>
    <x v="662"/>
    <n v="4"/>
    <n v="2020"/>
    <x v="3"/>
    <n v="3"/>
  </r>
  <r>
    <x v="663"/>
    <n v="4"/>
    <n v="2020"/>
    <x v="6"/>
    <n v="5"/>
  </r>
  <r>
    <x v="664"/>
    <n v="4"/>
    <n v="2020"/>
    <x v="7"/>
    <n v="4"/>
  </r>
  <r>
    <x v="665"/>
    <n v="4"/>
    <n v="2020"/>
    <x v="8"/>
    <n v="5"/>
  </r>
  <r>
    <x v="666"/>
    <n v="4"/>
    <n v="2020"/>
    <x v="7"/>
    <n v="2"/>
  </r>
  <r>
    <x v="666"/>
    <n v="4"/>
    <n v="2020"/>
    <x v="2"/>
    <n v="3"/>
  </r>
  <r>
    <x v="667"/>
    <n v="4"/>
    <n v="2020"/>
    <x v="8"/>
    <n v="2"/>
  </r>
  <r>
    <x v="667"/>
    <n v="4"/>
    <n v="2020"/>
    <x v="8"/>
    <n v="4"/>
  </r>
  <r>
    <x v="668"/>
    <n v="4"/>
    <n v="2020"/>
    <x v="0"/>
    <n v="1"/>
  </r>
  <r>
    <x v="669"/>
    <n v="4"/>
    <n v="2020"/>
    <x v="4"/>
    <n v="4"/>
  </r>
  <r>
    <x v="670"/>
    <n v="4"/>
    <n v="2020"/>
    <x v="5"/>
    <n v="2"/>
  </r>
  <r>
    <x v="671"/>
    <n v="3"/>
    <n v="2020"/>
    <x v="2"/>
    <n v="5"/>
  </r>
  <r>
    <x v="672"/>
    <n v="3"/>
    <n v="2020"/>
    <x v="7"/>
    <n v="1"/>
  </r>
  <r>
    <x v="673"/>
    <n v="3"/>
    <n v="2020"/>
    <x v="3"/>
    <n v="1"/>
  </r>
  <r>
    <x v="674"/>
    <n v="3"/>
    <n v="2020"/>
    <x v="2"/>
    <n v="3"/>
  </r>
  <r>
    <x v="675"/>
    <n v="3"/>
    <n v="2020"/>
    <x v="3"/>
    <n v="5"/>
  </r>
  <r>
    <x v="675"/>
    <n v="3"/>
    <n v="2020"/>
    <x v="8"/>
    <n v="4"/>
  </r>
  <r>
    <x v="675"/>
    <n v="3"/>
    <n v="2020"/>
    <x v="4"/>
    <n v="1"/>
  </r>
  <r>
    <x v="676"/>
    <n v="3"/>
    <n v="2020"/>
    <x v="2"/>
    <n v="1"/>
  </r>
  <r>
    <x v="677"/>
    <n v="3"/>
    <n v="2020"/>
    <x v="6"/>
    <n v="3"/>
  </r>
  <r>
    <x v="677"/>
    <n v="3"/>
    <n v="2020"/>
    <x v="1"/>
    <n v="4"/>
  </r>
  <r>
    <x v="678"/>
    <n v="3"/>
    <n v="2020"/>
    <x v="5"/>
    <n v="4"/>
  </r>
  <r>
    <x v="679"/>
    <n v="3"/>
    <n v="2020"/>
    <x v="8"/>
    <n v="3"/>
  </r>
  <r>
    <x v="680"/>
    <n v="3"/>
    <n v="2020"/>
    <x v="3"/>
    <n v="3"/>
  </r>
  <r>
    <x v="680"/>
    <n v="3"/>
    <n v="2020"/>
    <x v="4"/>
    <n v="2"/>
  </r>
  <r>
    <x v="680"/>
    <n v="3"/>
    <n v="2020"/>
    <x v="0"/>
    <n v="5"/>
  </r>
  <r>
    <x v="681"/>
    <n v="3"/>
    <n v="2020"/>
    <x v="4"/>
    <n v="5"/>
  </r>
  <r>
    <x v="682"/>
    <n v="3"/>
    <n v="2020"/>
    <x v="4"/>
    <n v="2"/>
  </r>
  <r>
    <x v="683"/>
    <n v="3"/>
    <n v="2020"/>
    <x v="7"/>
    <n v="2"/>
  </r>
  <r>
    <x v="684"/>
    <n v="3"/>
    <n v="2020"/>
    <x v="4"/>
    <n v="5"/>
  </r>
  <r>
    <x v="685"/>
    <n v="3"/>
    <n v="2020"/>
    <x v="3"/>
    <n v="4"/>
  </r>
  <r>
    <x v="685"/>
    <n v="3"/>
    <n v="2020"/>
    <x v="8"/>
    <n v="3"/>
  </r>
  <r>
    <x v="686"/>
    <n v="3"/>
    <n v="2020"/>
    <x v="4"/>
    <n v="4"/>
  </r>
  <r>
    <x v="687"/>
    <n v="2"/>
    <n v="2020"/>
    <x v="0"/>
    <n v="2"/>
  </r>
  <r>
    <x v="687"/>
    <n v="2"/>
    <n v="2020"/>
    <x v="6"/>
    <n v="3"/>
  </r>
  <r>
    <x v="687"/>
    <n v="2"/>
    <n v="2020"/>
    <x v="7"/>
    <n v="2"/>
  </r>
  <r>
    <x v="688"/>
    <n v="2"/>
    <n v="2020"/>
    <x v="7"/>
    <n v="5"/>
  </r>
  <r>
    <x v="689"/>
    <n v="2"/>
    <n v="2020"/>
    <x v="8"/>
    <n v="5"/>
  </r>
  <r>
    <x v="690"/>
    <n v="2"/>
    <n v="2020"/>
    <x v="0"/>
    <n v="3"/>
  </r>
  <r>
    <x v="690"/>
    <n v="2"/>
    <n v="2020"/>
    <x v="0"/>
    <n v="1"/>
  </r>
  <r>
    <x v="691"/>
    <n v="2"/>
    <n v="2020"/>
    <x v="0"/>
    <n v="5"/>
  </r>
  <r>
    <x v="691"/>
    <n v="2"/>
    <n v="2020"/>
    <x v="8"/>
    <n v="5"/>
  </r>
  <r>
    <x v="692"/>
    <n v="2"/>
    <n v="2020"/>
    <x v="3"/>
    <n v="3"/>
  </r>
  <r>
    <x v="692"/>
    <n v="2"/>
    <n v="2020"/>
    <x v="6"/>
    <n v="2"/>
  </r>
  <r>
    <x v="693"/>
    <n v="2"/>
    <n v="2020"/>
    <x v="4"/>
    <n v="1"/>
  </r>
  <r>
    <x v="694"/>
    <n v="2"/>
    <n v="2020"/>
    <x v="7"/>
    <n v="2"/>
  </r>
  <r>
    <x v="694"/>
    <n v="2"/>
    <n v="2020"/>
    <x v="4"/>
    <n v="2"/>
  </r>
  <r>
    <x v="695"/>
    <n v="2"/>
    <n v="2020"/>
    <x v="4"/>
    <n v="4"/>
  </r>
  <r>
    <x v="696"/>
    <n v="2"/>
    <n v="2020"/>
    <x v="7"/>
    <n v="5"/>
  </r>
  <r>
    <x v="696"/>
    <n v="2"/>
    <n v="2020"/>
    <x v="4"/>
    <n v="5"/>
  </r>
  <r>
    <x v="697"/>
    <n v="2"/>
    <n v="2020"/>
    <x v="0"/>
    <n v="5"/>
  </r>
  <r>
    <x v="698"/>
    <n v="2"/>
    <n v="2020"/>
    <x v="3"/>
    <n v="1"/>
  </r>
  <r>
    <x v="699"/>
    <n v="2"/>
    <n v="2020"/>
    <x v="2"/>
    <n v="2"/>
  </r>
  <r>
    <x v="699"/>
    <n v="2"/>
    <n v="2020"/>
    <x v="8"/>
    <n v="1"/>
  </r>
  <r>
    <x v="699"/>
    <n v="2"/>
    <n v="2020"/>
    <x v="2"/>
    <n v="1"/>
  </r>
  <r>
    <x v="700"/>
    <n v="2"/>
    <n v="2020"/>
    <x v="6"/>
    <n v="3"/>
  </r>
  <r>
    <x v="701"/>
    <n v="2"/>
    <n v="2020"/>
    <x v="5"/>
    <n v="4"/>
  </r>
  <r>
    <x v="702"/>
    <n v="1"/>
    <n v="2020"/>
    <x v="5"/>
    <n v="4"/>
  </r>
  <r>
    <x v="702"/>
    <n v="1"/>
    <n v="2020"/>
    <x v="0"/>
    <n v="2"/>
  </r>
  <r>
    <x v="703"/>
    <n v="1"/>
    <n v="2020"/>
    <x v="2"/>
    <n v="5"/>
  </r>
  <r>
    <x v="703"/>
    <n v="1"/>
    <n v="2020"/>
    <x v="0"/>
    <n v="5"/>
  </r>
  <r>
    <x v="703"/>
    <n v="1"/>
    <n v="2020"/>
    <x v="8"/>
    <n v="1"/>
  </r>
  <r>
    <x v="703"/>
    <n v="1"/>
    <n v="2020"/>
    <x v="3"/>
    <n v="5"/>
  </r>
  <r>
    <x v="704"/>
    <n v="1"/>
    <n v="2020"/>
    <x v="8"/>
    <n v="1"/>
  </r>
  <r>
    <x v="704"/>
    <n v="1"/>
    <n v="2020"/>
    <x v="7"/>
    <n v="1"/>
  </r>
  <r>
    <x v="705"/>
    <n v="1"/>
    <n v="2020"/>
    <x v="3"/>
    <n v="4"/>
  </r>
  <r>
    <x v="706"/>
    <n v="1"/>
    <n v="2020"/>
    <x v="5"/>
    <n v="5"/>
  </r>
  <r>
    <x v="707"/>
    <n v="1"/>
    <n v="2020"/>
    <x v="7"/>
    <n v="4"/>
  </r>
  <r>
    <x v="708"/>
    <n v="1"/>
    <n v="2020"/>
    <x v="5"/>
    <n v="5"/>
  </r>
  <r>
    <x v="708"/>
    <n v="1"/>
    <n v="2020"/>
    <x v="5"/>
    <n v="5"/>
  </r>
  <r>
    <x v="709"/>
    <n v="1"/>
    <n v="2020"/>
    <x v="1"/>
    <n v="1"/>
  </r>
  <r>
    <x v="710"/>
    <n v="1"/>
    <n v="2020"/>
    <x v="8"/>
    <n v="2"/>
  </r>
  <r>
    <x v="711"/>
    <n v="1"/>
    <n v="2020"/>
    <x v="8"/>
    <n v="5"/>
  </r>
  <r>
    <x v="711"/>
    <n v="1"/>
    <n v="2020"/>
    <x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H1:J960" firstHeaderRow="1" firstDataRow="1" firstDataCol="2"/>
  <pivotFields count="8">
    <pivotField axis="axisRow" compact="0" numFmtId="14" outline="0" showAll="0" defaultSubtotal="0">
      <items count="712"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howAll="0" defaultSubtotal="0">
      <items count="9">
        <item x="2"/>
        <item x="7"/>
        <item x="3"/>
        <item x="5"/>
        <item x="0"/>
        <item x="6"/>
        <item x="4"/>
        <item x="1"/>
        <item x="8"/>
      </items>
    </pivotField>
    <pivotField dataField="1" compact="0" outline="0" showAll="0" defaultSubtotal="0"/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</pivotFields>
  <rowFields count="2">
    <field x="0"/>
    <field x="3"/>
  </rowFields>
  <rowItems count="959">
    <i>
      <x/>
      <x v="7"/>
    </i>
    <i r="1">
      <x v="8"/>
    </i>
    <i>
      <x v="1"/>
      <x v="8"/>
    </i>
    <i>
      <x v="2"/>
      <x v="7"/>
    </i>
    <i>
      <x v="3"/>
      <x v="3"/>
    </i>
    <i>
      <x v="4"/>
      <x v="1"/>
    </i>
    <i>
      <x v="5"/>
      <x v="3"/>
    </i>
    <i>
      <x v="6"/>
      <x v="2"/>
    </i>
    <i>
      <x v="7"/>
      <x v="1"/>
    </i>
    <i r="1">
      <x v="8"/>
    </i>
    <i>
      <x v="8"/>
      <x/>
    </i>
    <i r="1">
      <x v="2"/>
    </i>
    <i r="1">
      <x v="4"/>
    </i>
    <i r="1">
      <x v="8"/>
    </i>
    <i>
      <x v="9"/>
      <x v="3"/>
    </i>
    <i r="1">
      <x v="4"/>
    </i>
    <i>
      <x v="10"/>
      <x v="3"/>
    </i>
    <i>
      <x v="11"/>
      <x v="5"/>
    </i>
    <i>
      <x v="12"/>
      <x/>
    </i>
    <i r="1">
      <x v="8"/>
    </i>
    <i>
      <x v="13"/>
      <x v="2"/>
    </i>
    <i>
      <x v="14"/>
      <x v="4"/>
    </i>
    <i>
      <x v="15"/>
      <x v="1"/>
    </i>
    <i r="1">
      <x v="6"/>
    </i>
    <i>
      <x v="16"/>
      <x v="6"/>
    </i>
    <i>
      <x v="17"/>
      <x v="1"/>
    </i>
    <i r="1">
      <x v="6"/>
    </i>
    <i>
      <x v="18"/>
      <x v="6"/>
    </i>
    <i>
      <x v="19"/>
      <x v="2"/>
    </i>
    <i r="1">
      <x v="5"/>
    </i>
    <i>
      <x v="20"/>
      <x v="4"/>
    </i>
    <i r="1">
      <x v="8"/>
    </i>
    <i>
      <x v="21"/>
      <x v="4"/>
    </i>
    <i>
      <x v="22"/>
      <x v="8"/>
    </i>
    <i>
      <x v="23"/>
      <x v="1"/>
    </i>
    <i>
      <x v="24"/>
      <x v="1"/>
    </i>
    <i r="1">
      <x v="4"/>
    </i>
    <i r="1">
      <x v="5"/>
    </i>
    <i>
      <x v="25"/>
      <x v="6"/>
    </i>
    <i>
      <x v="26"/>
      <x v="2"/>
    </i>
    <i r="1">
      <x v="8"/>
    </i>
    <i>
      <x v="27"/>
      <x v="6"/>
    </i>
    <i>
      <x v="28"/>
      <x v="1"/>
    </i>
    <i>
      <x v="29"/>
      <x v="6"/>
    </i>
    <i>
      <x v="30"/>
      <x v="6"/>
    </i>
    <i>
      <x v="31"/>
      <x v="2"/>
    </i>
    <i r="1">
      <x v="4"/>
    </i>
    <i r="1">
      <x v="6"/>
    </i>
    <i>
      <x v="32"/>
      <x v="8"/>
    </i>
    <i>
      <x v="33"/>
      <x v="3"/>
    </i>
    <i>
      <x v="34"/>
      <x v="5"/>
    </i>
    <i r="1">
      <x v="7"/>
    </i>
    <i>
      <x v="35"/>
      <x/>
    </i>
    <i>
      <x v="36"/>
      <x v="2"/>
    </i>
    <i r="1">
      <x v="6"/>
    </i>
    <i r="1">
      <x v="8"/>
    </i>
    <i>
      <x v="37"/>
      <x/>
    </i>
    <i>
      <x v="38"/>
      <x v="2"/>
    </i>
    <i>
      <x v="39"/>
      <x v="1"/>
    </i>
    <i>
      <x v="40"/>
      <x/>
    </i>
    <i>
      <x v="41"/>
      <x v="3"/>
    </i>
    <i>
      <x v="42"/>
      <x v="6"/>
    </i>
    <i>
      <x v="43"/>
      <x v="4"/>
    </i>
    <i>
      <x v="44"/>
      <x v="8"/>
    </i>
    <i>
      <x v="45"/>
      <x/>
    </i>
    <i r="1">
      <x v="1"/>
    </i>
    <i>
      <x v="46"/>
      <x v="8"/>
    </i>
    <i>
      <x v="47"/>
      <x v="1"/>
    </i>
    <i>
      <x v="48"/>
      <x v="5"/>
    </i>
    <i>
      <x v="49"/>
      <x v="2"/>
    </i>
    <i>
      <x v="50"/>
      <x v="3"/>
    </i>
    <i>
      <x v="51"/>
      <x/>
    </i>
    <i r="1">
      <x v="5"/>
    </i>
    <i>
      <x v="52"/>
      <x v="3"/>
    </i>
    <i>
      <x v="53"/>
      <x v="5"/>
    </i>
    <i>
      <x v="54"/>
      <x v="4"/>
    </i>
    <i>
      <x v="55"/>
      <x v="1"/>
    </i>
    <i>
      <x v="56"/>
      <x v="3"/>
    </i>
    <i>
      <x v="57"/>
      <x v="8"/>
    </i>
    <i>
      <x v="58"/>
      <x/>
    </i>
    <i r="1">
      <x v="3"/>
    </i>
    <i r="1">
      <x v="7"/>
    </i>
    <i>
      <x v="59"/>
      <x v="3"/>
    </i>
    <i r="1">
      <x v="7"/>
    </i>
    <i>
      <x v="60"/>
      <x v="2"/>
    </i>
    <i>
      <x v="61"/>
      <x/>
    </i>
    <i r="1">
      <x v="2"/>
    </i>
    <i>
      <x v="62"/>
      <x v="4"/>
    </i>
    <i>
      <x v="63"/>
      <x v="2"/>
    </i>
    <i r="1">
      <x v="5"/>
    </i>
    <i>
      <x v="64"/>
      <x/>
    </i>
    <i>
      <x v="65"/>
      <x v="2"/>
    </i>
    <i>
      <x v="66"/>
      <x v="2"/>
    </i>
    <i>
      <x v="67"/>
      <x v="7"/>
    </i>
    <i>
      <x v="68"/>
      <x v="4"/>
    </i>
    <i>
      <x v="69"/>
      <x v="1"/>
    </i>
    <i r="1">
      <x v="3"/>
    </i>
    <i>
      <x v="70"/>
      <x v="1"/>
    </i>
    <i r="1">
      <x v="5"/>
    </i>
    <i>
      <x v="71"/>
      <x v="7"/>
    </i>
    <i>
      <x v="72"/>
      <x v="4"/>
    </i>
    <i r="1">
      <x v="7"/>
    </i>
    <i r="1">
      <x v="8"/>
    </i>
    <i>
      <x v="73"/>
      <x/>
    </i>
    <i r="1">
      <x v="4"/>
    </i>
    <i>
      <x v="74"/>
      <x v="1"/>
    </i>
    <i r="1">
      <x v="7"/>
    </i>
    <i>
      <x v="75"/>
      <x v="8"/>
    </i>
    <i>
      <x v="76"/>
      <x v="5"/>
    </i>
    <i>
      <x v="77"/>
      <x v="5"/>
    </i>
    <i>
      <x v="78"/>
      <x v="8"/>
    </i>
    <i>
      <x v="79"/>
      <x v="6"/>
    </i>
    <i>
      <x v="80"/>
      <x v="2"/>
    </i>
    <i>
      <x v="81"/>
      <x/>
    </i>
    <i>
      <x v="82"/>
      <x v="7"/>
    </i>
    <i>
      <x v="83"/>
      <x v="8"/>
    </i>
    <i>
      <x v="84"/>
      <x v="1"/>
    </i>
    <i r="1">
      <x v="5"/>
    </i>
    <i>
      <x v="85"/>
      <x v="1"/>
    </i>
    <i>
      <x v="86"/>
      <x v="1"/>
    </i>
    <i>
      <x v="87"/>
      <x v="1"/>
    </i>
    <i>
      <x v="88"/>
      <x v="1"/>
    </i>
    <i r="1">
      <x v="7"/>
    </i>
    <i>
      <x v="89"/>
      <x v="1"/>
    </i>
    <i r="1">
      <x v="7"/>
    </i>
    <i r="1">
      <x v="8"/>
    </i>
    <i>
      <x v="90"/>
      <x v="6"/>
    </i>
    <i>
      <x v="91"/>
      <x/>
    </i>
    <i r="1">
      <x v="7"/>
    </i>
    <i>
      <x v="92"/>
      <x/>
    </i>
    <i>
      <x v="93"/>
      <x v="1"/>
    </i>
    <i r="1">
      <x v="8"/>
    </i>
    <i>
      <x v="94"/>
      <x v="5"/>
    </i>
    <i>
      <x v="95"/>
      <x v="4"/>
    </i>
    <i>
      <x v="96"/>
      <x/>
    </i>
    <i>
      <x v="97"/>
      <x v="7"/>
    </i>
    <i>
      <x v="98"/>
      <x v="6"/>
    </i>
    <i>
      <x v="99"/>
      <x/>
    </i>
    <i>
      <x v="100"/>
      <x v="5"/>
    </i>
    <i>
      <x v="101"/>
      <x v="6"/>
    </i>
    <i r="1">
      <x v="8"/>
    </i>
    <i>
      <x v="102"/>
      <x v="6"/>
    </i>
    <i>
      <x v="103"/>
      <x v="2"/>
    </i>
    <i>
      <x v="104"/>
      <x v="5"/>
    </i>
    <i r="1">
      <x v="8"/>
    </i>
    <i>
      <x v="105"/>
      <x v="1"/>
    </i>
    <i r="1">
      <x v="4"/>
    </i>
    <i>
      <x v="106"/>
      <x v="1"/>
    </i>
    <i>
      <x v="107"/>
      <x v="3"/>
    </i>
    <i r="1">
      <x v="5"/>
    </i>
    <i>
      <x v="108"/>
      <x v="6"/>
    </i>
    <i>
      <x v="109"/>
      <x v="4"/>
    </i>
    <i>
      <x v="110"/>
      <x v="5"/>
    </i>
    <i r="1">
      <x v="7"/>
    </i>
    <i>
      <x v="111"/>
      <x v="8"/>
    </i>
    <i>
      <x v="112"/>
      <x v="4"/>
    </i>
    <i>
      <x v="113"/>
      <x v="7"/>
    </i>
    <i>
      <x v="114"/>
      <x v="8"/>
    </i>
    <i>
      <x v="115"/>
      <x v="1"/>
    </i>
    <i>
      <x v="116"/>
      <x v="8"/>
    </i>
    <i>
      <x v="117"/>
      <x v="5"/>
    </i>
    <i r="1">
      <x v="7"/>
    </i>
    <i>
      <x v="118"/>
      <x/>
    </i>
    <i>
      <x v="119"/>
      <x v="5"/>
    </i>
    <i r="1">
      <x v="6"/>
    </i>
    <i>
      <x v="120"/>
      <x v="2"/>
    </i>
    <i>
      <x v="121"/>
      <x v="1"/>
    </i>
    <i>
      <x v="122"/>
      <x/>
    </i>
    <i r="1">
      <x v="2"/>
    </i>
    <i r="1">
      <x v="6"/>
    </i>
    <i>
      <x v="123"/>
      <x v="6"/>
    </i>
    <i>
      <x v="124"/>
      <x v="5"/>
    </i>
    <i>
      <x v="125"/>
      <x/>
    </i>
    <i r="1">
      <x v="8"/>
    </i>
    <i>
      <x v="126"/>
      <x v="1"/>
    </i>
    <i>
      <x v="127"/>
      <x v="1"/>
    </i>
    <i>
      <x v="128"/>
      <x v="1"/>
    </i>
    <i r="1">
      <x v="6"/>
    </i>
    <i>
      <x v="129"/>
      <x v="5"/>
    </i>
    <i r="1">
      <x v="6"/>
    </i>
    <i>
      <x v="130"/>
      <x v="7"/>
    </i>
    <i>
      <x v="131"/>
      <x v="8"/>
    </i>
    <i>
      <x v="132"/>
      <x/>
    </i>
    <i r="1">
      <x v="6"/>
    </i>
    <i>
      <x v="133"/>
      <x v="1"/>
    </i>
    <i>
      <x v="134"/>
      <x v="3"/>
    </i>
    <i>
      <x v="135"/>
      <x v="2"/>
    </i>
    <i>
      <x v="136"/>
      <x v="2"/>
    </i>
    <i>
      <x v="137"/>
      <x v="7"/>
    </i>
    <i>
      <x v="138"/>
      <x v="8"/>
    </i>
    <i>
      <x v="139"/>
      <x v="6"/>
    </i>
    <i r="1">
      <x v="7"/>
    </i>
    <i>
      <x v="140"/>
      <x v="1"/>
    </i>
    <i>
      <x v="141"/>
      <x v="4"/>
    </i>
    <i>
      <x v="142"/>
      <x v="8"/>
    </i>
    <i>
      <x v="143"/>
      <x v="3"/>
    </i>
    <i>
      <x v="144"/>
      <x v="3"/>
    </i>
    <i>
      <x v="145"/>
      <x/>
    </i>
    <i r="1">
      <x v="3"/>
    </i>
    <i r="1">
      <x v="6"/>
    </i>
    <i>
      <x v="146"/>
      <x v="1"/>
    </i>
    <i>
      <x v="147"/>
      <x v="5"/>
    </i>
    <i>
      <x v="148"/>
      <x v="2"/>
    </i>
    <i r="1">
      <x v="3"/>
    </i>
    <i>
      <x v="149"/>
      <x v="3"/>
    </i>
    <i>
      <x v="150"/>
      <x v="7"/>
    </i>
    <i>
      <x v="151"/>
      <x v="1"/>
    </i>
    <i>
      <x v="152"/>
      <x v="7"/>
    </i>
    <i>
      <x v="153"/>
      <x v="1"/>
    </i>
    <i>
      <x v="154"/>
      <x v="3"/>
    </i>
    <i>
      <x v="155"/>
      <x v="1"/>
    </i>
    <i r="1">
      <x v="6"/>
    </i>
    <i>
      <x v="156"/>
      <x v="3"/>
    </i>
    <i>
      <x v="157"/>
      <x v="1"/>
    </i>
    <i>
      <x v="158"/>
      <x v="2"/>
    </i>
    <i r="1">
      <x v="3"/>
    </i>
    <i>
      <x v="159"/>
      <x v="5"/>
    </i>
    <i>
      <x v="160"/>
      <x v="8"/>
    </i>
    <i>
      <x v="161"/>
      <x/>
    </i>
    <i r="1">
      <x v="1"/>
    </i>
    <i>
      <x v="162"/>
      <x v="2"/>
    </i>
    <i>
      <x v="163"/>
      <x v="2"/>
    </i>
    <i>
      <x v="164"/>
      <x v="1"/>
    </i>
    <i>
      <x v="165"/>
      <x v="1"/>
    </i>
    <i>
      <x v="166"/>
      <x v="8"/>
    </i>
    <i>
      <x v="167"/>
      <x v="4"/>
    </i>
    <i>
      <x v="168"/>
      <x v="7"/>
    </i>
    <i r="1">
      <x v="8"/>
    </i>
    <i>
      <x v="169"/>
      <x v="1"/>
    </i>
    <i r="1">
      <x v="3"/>
    </i>
    <i>
      <x v="170"/>
      <x v="5"/>
    </i>
    <i r="1">
      <x v="6"/>
    </i>
    <i r="1">
      <x v="8"/>
    </i>
    <i>
      <x v="171"/>
      <x v="4"/>
    </i>
    <i>
      <x v="172"/>
      <x/>
    </i>
    <i>
      <x v="173"/>
      <x/>
    </i>
    <i>
      <x v="174"/>
      <x v="2"/>
    </i>
    <i>
      <x v="175"/>
      <x v="7"/>
    </i>
    <i>
      <x v="176"/>
      <x v="1"/>
    </i>
    <i r="1">
      <x v="5"/>
    </i>
    <i>
      <x v="177"/>
      <x v="8"/>
    </i>
    <i>
      <x v="178"/>
      <x/>
    </i>
    <i r="1">
      <x v="1"/>
    </i>
    <i>
      <x v="179"/>
      <x v="3"/>
    </i>
    <i>
      <x v="180"/>
      <x v="1"/>
    </i>
    <i>
      <x v="181"/>
      <x v="2"/>
    </i>
    <i>
      <x v="182"/>
      <x v="3"/>
    </i>
    <i>
      <x v="183"/>
      <x v="2"/>
    </i>
    <i>
      <x v="184"/>
      <x/>
    </i>
    <i>
      <x v="185"/>
      <x/>
    </i>
    <i>
      <x v="186"/>
      <x v="6"/>
    </i>
    <i>
      <x v="187"/>
      <x v="1"/>
    </i>
    <i>
      <x v="188"/>
      <x v="2"/>
    </i>
    <i>
      <x v="189"/>
      <x/>
    </i>
    <i>
      <x v="190"/>
      <x/>
    </i>
    <i>
      <x v="191"/>
      <x v="8"/>
    </i>
    <i>
      <x v="192"/>
      <x v="1"/>
    </i>
    <i>
      <x v="193"/>
      <x v="6"/>
    </i>
    <i>
      <x v="194"/>
      <x v="8"/>
    </i>
    <i>
      <x v="195"/>
      <x v="6"/>
    </i>
    <i>
      <x v="196"/>
      <x v="5"/>
    </i>
    <i r="1">
      <x v="6"/>
    </i>
    <i>
      <x v="197"/>
      <x v="4"/>
    </i>
    <i r="1">
      <x v="8"/>
    </i>
    <i>
      <x v="198"/>
      <x v="7"/>
    </i>
    <i>
      <x v="199"/>
      <x v="3"/>
    </i>
    <i r="1">
      <x v="4"/>
    </i>
    <i>
      <x v="200"/>
      <x/>
    </i>
    <i r="1">
      <x v="8"/>
    </i>
    <i>
      <x v="201"/>
      <x v="1"/>
    </i>
    <i>
      <x v="202"/>
      <x/>
    </i>
    <i r="1">
      <x v="2"/>
    </i>
    <i>
      <x v="203"/>
      <x/>
    </i>
    <i r="1">
      <x v="5"/>
    </i>
    <i r="1">
      <x v="8"/>
    </i>
    <i>
      <x v="204"/>
      <x v="4"/>
    </i>
    <i r="1">
      <x v="6"/>
    </i>
    <i>
      <x v="205"/>
      <x v="5"/>
    </i>
    <i>
      <x v="206"/>
      <x v="1"/>
    </i>
    <i>
      <x v="207"/>
      <x v="8"/>
    </i>
    <i>
      <x v="208"/>
      <x/>
    </i>
    <i>
      <x v="209"/>
      <x v="5"/>
    </i>
    <i>
      <x v="210"/>
      <x v="2"/>
    </i>
    <i>
      <x v="211"/>
      <x/>
    </i>
    <i r="1">
      <x v="2"/>
    </i>
    <i r="1">
      <x v="5"/>
    </i>
    <i>
      <x v="212"/>
      <x v="3"/>
    </i>
    <i>
      <x v="213"/>
      <x v="7"/>
    </i>
    <i>
      <x v="214"/>
      <x v="4"/>
    </i>
    <i>
      <x v="215"/>
      <x v="8"/>
    </i>
    <i>
      <x v="216"/>
      <x v="7"/>
    </i>
    <i>
      <x v="217"/>
      <x v="8"/>
    </i>
    <i>
      <x v="218"/>
      <x v="7"/>
    </i>
    <i>
      <x v="219"/>
      <x v="6"/>
    </i>
    <i>
      <x v="220"/>
      <x v="4"/>
    </i>
    <i>
      <x v="221"/>
      <x v="8"/>
    </i>
    <i>
      <x v="222"/>
      <x v="6"/>
    </i>
    <i>
      <x v="223"/>
      <x/>
    </i>
    <i>
      <x v="224"/>
      <x v="1"/>
    </i>
    <i>
      <x v="225"/>
      <x v="2"/>
    </i>
    <i>
      <x v="226"/>
      <x v="4"/>
    </i>
    <i>
      <x v="227"/>
      <x/>
    </i>
    <i r="1">
      <x v="7"/>
    </i>
    <i>
      <x v="228"/>
      <x v="1"/>
    </i>
    <i r="1">
      <x v="8"/>
    </i>
    <i>
      <x v="229"/>
      <x v="5"/>
    </i>
    <i>
      <x v="230"/>
      <x v="2"/>
    </i>
    <i r="1">
      <x v="6"/>
    </i>
    <i>
      <x v="231"/>
      <x v="2"/>
    </i>
    <i r="1">
      <x v="7"/>
    </i>
    <i r="1">
      <x v="8"/>
    </i>
    <i>
      <x v="232"/>
      <x v="2"/>
    </i>
    <i r="1">
      <x v="5"/>
    </i>
    <i>
      <x v="233"/>
      <x v="1"/>
    </i>
    <i r="1">
      <x v="5"/>
    </i>
    <i>
      <x v="234"/>
      <x v="1"/>
    </i>
    <i>
      <x v="235"/>
      <x/>
    </i>
    <i>
      <x v="236"/>
      <x/>
    </i>
    <i>
      <x v="237"/>
      <x v="3"/>
    </i>
    <i>
      <x v="238"/>
      <x v="5"/>
    </i>
    <i>
      <x v="239"/>
      <x v="1"/>
    </i>
    <i>
      <x v="240"/>
      <x v="4"/>
    </i>
    <i>
      <x v="241"/>
      <x v="5"/>
    </i>
    <i>
      <x v="242"/>
      <x v="1"/>
    </i>
    <i r="1">
      <x v="4"/>
    </i>
    <i r="1">
      <x v="7"/>
    </i>
    <i>
      <x v="243"/>
      <x v="4"/>
    </i>
    <i>
      <x v="244"/>
      <x v="6"/>
    </i>
    <i>
      <x v="245"/>
      <x v="1"/>
    </i>
    <i>
      <x v="246"/>
      <x v="1"/>
    </i>
    <i>
      <x v="247"/>
      <x v="7"/>
    </i>
    <i r="1">
      <x v="8"/>
    </i>
    <i>
      <x v="248"/>
      <x v="2"/>
    </i>
    <i>
      <x v="249"/>
      <x v="4"/>
    </i>
    <i r="1">
      <x v="5"/>
    </i>
    <i>
      <x v="250"/>
      <x/>
    </i>
    <i r="1">
      <x v="7"/>
    </i>
    <i>
      <x v="251"/>
      <x v="1"/>
    </i>
    <i r="1">
      <x v="3"/>
    </i>
    <i r="1">
      <x v="5"/>
    </i>
    <i>
      <x v="252"/>
      <x v="1"/>
    </i>
    <i>
      <x v="253"/>
      <x v="6"/>
    </i>
    <i>
      <x v="254"/>
      <x v="8"/>
    </i>
    <i>
      <x v="255"/>
      <x v="2"/>
    </i>
    <i r="1">
      <x v="4"/>
    </i>
    <i>
      <x v="256"/>
      <x/>
    </i>
    <i r="1">
      <x v="2"/>
    </i>
    <i r="1">
      <x v="8"/>
    </i>
    <i>
      <x v="257"/>
      <x v="5"/>
    </i>
    <i>
      <x v="258"/>
      <x v="1"/>
    </i>
    <i r="1">
      <x v="8"/>
    </i>
    <i>
      <x v="259"/>
      <x v="8"/>
    </i>
    <i>
      <x v="260"/>
      <x v="4"/>
    </i>
    <i r="1">
      <x v="8"/>
    </i>
    <i>
      <x v="261"/>
      <x v="2"/>
    </i>
    <i>
      <x v="262"/>
      <x v="1"/>
    </i>
    <i r="1">
      <x v="5"/>
    </i>
    <i>
      <x v="263"/>
      <x v="7"/>
    </i>
    <i>
      <x v="264"/>
      <x v="4"/>
    </i>
    <i>
      <x v="265"/>
      <x v="6"/>
    </i>
    <i>
      <x v="266"/>
      <x/>
    </i>
    <i>
      <x v="267"/>
      <x/>
    </i>
    <i>
      <x v="268"/>
      <x v="5"/>
    </i>
    <i>
      <x v="269"/>
      <x v="2"/>
    </i>
    <i>
      <x v="270"/>
      <x v="4"/>
    </i>
    <i>
      <x v="271"/>
      <x v="8"/>
    </i>
    <i>
      <x v="272"/>
      <x/>
    </i>
    <i>
      <x v="273"/>
      <x v="8"/>
    </i>
    <i>
      <x v="274"/>
      <x/>
    </i>
    <i r="1">
      <x v="6"/>
    </i>
    <i>
      <x v="275"/>
      <x v="4"/>
    </i>
    <i>
      <x v="276"/>
      <x v="6"/>
    </i>
    <i>
      <x v="277"/>
      <x v="2"/>
    </i>
    <i r="1">
      <x v="4"/>
    </i>
    <i r="1">
      <x v="5"/>
    </i>
    <i>
      <x v="278"/>
      <x v="8"/>
    </i>
    <i>
      <x v="279"/>
      <x v="4"/>
    </i>
    <i>
      <x v="280"/>
      <x/>
    </i>
    <i>
      <x v="281"/>
      <x v="7"/>
    </i>
    <i>
      <x v="282"/>
      <x/>
    </i>
    <i r="1">
      <x v="7"/>
    </i>
    <i>
      <x v="283"/>
      <x v="1"/>
    </i>
    <i>
      <x v="284"/>
      <x v="3"/>
    </i>
    <i>
      <x v="285"/>
      <x/>
    </i>
    <i r="1">
      <x v="2"/>
    </i>
    <i r="1">
      <x v="3"/>
    </i>
    <i r="1">
      <x v="6"/>
    </i>
    <i>
      <x v="286"/>
      <x v="2"/>
    </i>
    <i>
      <x v="287"/>
      <x v="8"/>
    </i>
    <i>
      <x v="288"/>
      <x v="1"/>
    </i>
    <i r="1">
      <x v="6"/>
    </i>
    <i>
      <x v="289"/>
      <x v="1"/>
    </i>
    <i r="1">
      <x v="8"/>
    </i>
    <i>
      <x v="290"/>
      <x v="3"/>
    </i>
    <i r="1">
      <x v="7"/>
    </i>
    <i>
      <x v="291"/>
      <x v="2"/>
    </i>
    <i r="1">
      <x v="3"/>
    </i>
    <i>
      <x v="292"/>
      <x v="5"/>
    </i>
    <i r="1">
      <x v="7"/>
    </i>
    <i r="1">
      <x v="8"/>
    </i>
    <i>
      <x v="293"/>
      <x/>
    </i>
    <i>
      <x v="294"/>
      <x v="1"/>
    </i>
    <i r="1">
      <x v="6"/>
    </i>
    <i>
      <x v="295"/>
      <x/>
    </i>
    <i r="1">
      <x v="4"/>
    </i>
    <i>
      <x v="296"/>
      <x v="3"/>
    </i>
    <i>
      <x v="297"/>
      <x v="8"/>
    </i>
    <i>
      <x v="298"/>
      <x v="6"/>
    </i>
    <i>
      <x v="299"/>
      <x/>
    </i>
    <i r="1">
      <x v="1"/>
    </i>
    <i>
      <x v="300"/>
      <x v="4"/>
    </i>
    <i r="1">
      <x v="7"/>
    </i>
    <i>
      <x v="301"/>
      <x v="3"/>
    </i>
    <i r="1">
      <x v="5"/>
    </i>
    <i r="1">
      <x v="7"/>
    </i>
    <i>
      <x v="302"/>
      <x v="2"/>
    </i>
    <i>
      <x v="303"/>
      <x/>
    </i>
    <i r="1">
      <x v="5"/>
    </i>
    <i r="1">
      <x v="8"/>
    </i>
    <i>
      <x v="304"/>
      <x v="5"/>
    </i>
    <i>
      <x v="305"/>
      <x/>
    </i>
    <i>
      <x v="306"/>
      <x v="6"/>
    </i>
    <i>
      <x v="307"/>
      <x/>
    </i>
    <i r="1">
      <x v="4"/>
    </i>
    <i>
      <x v="308"/>
      <x v="2"/>
    </i>
    <i>
      <x v="309"/>
      <x v="4"/>
    </i>
    <i>
      <x v="310"/>
      <x v="2"/>
    </i>
    <i>
      <x v="311"/>
      <x v="8"/>
    </i>
    <i>
      <x v="312"/>
      <x v="3"/>
    </i>
    <i r="1">
      <x v="5"/>
    </i>
    <i>
      <x v="313"/>
      <x v="6"/>
    </i>
    <i>
      <x v="314"/>
      <x v="4"/>
    </i>
    <i>
      <x v="315"/>
      <x/>
    </i>
    <i r="1">
      <x v="7"/>
    </i>
    <i>
      <x v="316"/>
      <x v="2"/>
    </i>
    <i r="1">
      <x v="7"/>
    </i>
    <i>
      <x v="317"/>
      <x v="8"/>
    </i>
    <i>
      <x v="318"/>
      <x v="6"/>
    </i>
    <i>
      <x v="319"/>
      <x v="4"/>
    </i>
    <i>
      <x v="320"/>
      <x v="3"/>
    </i>
    <i>
      <x v="321"/>
      <x/>
    </i>
    <i>
      <x v="322"/>
      <x v="4"/>
    </i>
    <i>
      <x v="323"/>
      <x v="2"/>
    </i>
    <i r="1">
      <x v="8"/>
    </i>
    <i>
      <x v="324"/>
      <x v="5"/>
    </i>
    <i r="1">
      <x v="7"/>
    </i>
    <i>
      <x v="325"/>
      <x v="3"/>
    </i>
    <i r="1">
      <x v="6"/>
    </i>
    <i>
      <x v="326"/>
      <x v="1"/>
    </i>
    <i r="1">
      <x v="3"/>
    </i>
    <i r="1">
      <x v="5"/>
    </i>
    <i>
      <x v="327"/>
      <x v="4"/>
    </i>
    <i>
      <x v="328"/>
      <x v="7"/>
    </i>
    <i>
      <x v="329"/>
      <x v="8"/>
    </i>
    <i>
      <x v="330"/>
      <x v="1"/>
    </i>
    <i r="1">
      <x v="5"/>
    </i>
    <i>
      <x v="331"/>
      <x v="2"/>
    </i>
    <i>
      <x v="332"/>
      <x v="5"/>
    </i>
    <i>
      <x v="333"/>
      <x v="3"/>
    </i>
    <i r="1">
      <x v="7"/>
    </i>
    <i>
      <x v="334"/>
      <x/>
    </i>
    <i r="1">
      <x v="6"/>
    </i>
    <i>
      <x v="335"/>
      <x/>
    </i>
    <i r="1">
      <x v="8"/>
    </i>
    <i>
      <x v="336"/>
      <x v="8"/>
    </i>
    <i>
      <x v="337"/>
      <x/>
    </i>
    <i>
      <x v="338"/>
      <x/>
    </i>
    <i r="1">
      <x v="8"/>
    </i>
    <i>
      <x v="339"/>
      <x v="6"/>
    </i>
    <i>
      <x v="340"/>
      <x v="7"/>
    </i>
    <i r="1">
      <x v="8"/>
    </i>
    <i>
      <x v="341"/>
      <x v="8"/>
    </i>
    <i>
      <x v="342"/>
      <x v="8"/>
    </i>
    <i>
      <x v="343"/>
      <x v="1"/>
    </i>
    <i>
      <x v="344"/>
      <x v="7"/>
    </i>
    <i>
      <x v="345"/>
      <x v="2"/>
    </i>
    <i r="1">
      <x v="3"/>
    </i>
    <i>
      <x v="346"/>
      <x/>
    </i>
    <i>
      <x v="347"/>
      <x/>
    </i>
    <i r="1">
      <x v="7"/>
    </i>
    <i>
      <x v="348"/>
      <x/>
    </i>
    <i>
      <x v="349"/>
      <x/>
    </i>
    <i r="1">
      <x v="6"/>
    </i>
    <i>
      <x v="350"/>
      <x/>
    </i>
    <i r="1">
      <x v="3"/>
    </i>
    <i>
      <x v="351"/>
      <x/>
    </i>
    <i r="1">
      <x v="7"/>
    </i>
    <i>
      <x v="352"/>
      <x v="1"/>
    </i>
    <i>
      <x v="353"/>
      <x/>
    </i>
    <i>
      <x v="354"/>
      <x v="5"/>
    </i>
    <i>
      <x v="355"/>
      <x v="1"/>
    </i>
    <i>
      <x v="356"/>
      <x v="3"/>
    </i>
    <i>
      <x v="357"/>
      <x v="4"/>
    </i>
    <i>
      <x v="358"/>
      <x v="3"/>
    </i>
    <i>
      <x v="359"/>
      <x v="2"/>
    </i>
    <i>
      <x v="360"/>
      <x v="3"/>
    </i>
    <i r="1">
      <x v="8"/>
    </i>
    <i>
      <x v="361"/>
      <x/>
    </i>
    <i r="1">
      <x v="7"/>
    </i>
    <i>
      <x v="362"/>
      <x v="1"/>
    </i>
    <i>
      <x v="363"/>
      <x v="1"/>
    </i>
    <i r="1">
      <x v="5"/>
    </i>
    <i>
      <x v="364"/>
      <x v="2"/>
    </i>
    <i>
      <x v="365"/>
      <x v="5"/>
    </i>
    <i>
      <x v="366"/>
      <x/>
    </i>
    <i>
      <x v="367"/>
      <x v="1"/>
    </i>
    <i>
      <x v="368"/>
      <x v="1"/>
    </i>
    <i>
      <x v="369"/>
      <x v="4"/>
    </i>
    <i>
      <x v="370"/>
      <x v="3"/>
    </i>
    <i r="1">
      <x v="8"/>
    </i>
    <i>
      <x v="371"/>
      <x v="7"/>
    </i>
    <i>
      <x v="372"/>
      <x v="5"/>
    </i>
    <i>
      <x v="373"/>
      <x v="7"/>
    </i>
    <i>
      <x v="374"/>
      <x v="5"/>
    </i>
    <i>
      <x v="375"/>
      <x v="1"/>
    </i>
    <i r="1">
      <x v="8"/>
    </i>
    <i>
      <x v="376"/>
      <x v="4"/>
    </i>
    <i>
      <x v="377"/>
      <x/>
    </i>
    <i>
      <x v="378"/>
      <x v="6"/>
    </i>
    <i>
      <x v="379"/>
      <x/>
    </i>
    <i>
      <x v="380"/>
      <x/>
    </i>
    <i r="1">
      <x v="8"/>
    </i>
    <i>
      <x v="381"/>
      <x v="1"/>
    </i>
    <i>
      <x v="382"/>
      <x v="8"/>
    </i>
    <i>
      <x v="383"/>
      <x v="1"/>
    </i>
    <i>
      <x v="384"/>
      <x v="4"/>
    </i>
    <i>
      <x v="385"/>
      <x v="2"/>
    </i>
    <i r="1">
      <x v="5"/>
    </i>
    <i>
      <x v="386"/>
      <x v="7"/>
    </i>
    <i>
      <x v="387"/>
      <x v="5"/>
    </i>
    <i>
      <x v="388"/>
      <x v="3"/>
    </i>
    <i r="1">
      <x v="6"/>
    </i>
    <i>
      <x v="389"/>
      <x v="8"/>
    </i>
    <i>
      <x v="390"/>
      <x v="2"/>
    </i>
    <i r="1">
      <x v="6"/>
    </i>
    <i r="1">
      <x v="8"/>
    </i>
    <i>
      <x v="391"/>
      <x/>
    </i>
    <i r="1">
      <x v="6"/>
    </i>
    <i r="1">
      <x v="8"/>
    </i>
    <i>
      <x v="392"/>
      <x/>
    </i>
    <i r="1">
      <x v="3"/>
    </i>
    <i r="1">
      <x v="8"/>
    </i>
    <i>
      <x v="393"/>
      <x v="8"/>
    </i>
    <i>
      <x v="394"/>
      <x v="6"/>
    </i>
    <i>
      <x v="395"/>
      <x v="1"/>
    </i>
    <i>
      <x v="396"/>
      <x/>
    </i>
    <i>
      <x v="397"/>
      <x v="1"/>
    </i>
    <i r="1">
      <x v="8"/>
    </i>
    <i>
      <x v="398"/>
      <x v="6"/>
    </i>
    <i>
      <x v="399"/>
      <x v="4"/>
    </i>
    <i r="1">
      <x v="6"/>
    </i>
    <i>
      <x v="400"/>
      <x/>
    </i>
    <i>
      <x v="401"/>
      <x v="2"/>
    </i>
    <i>
      <x v="402"/>
      <x v="6"/>
    </i>
    <i>
      <x v="403"/>
      <x v="3"/>
    </i>
    <i r="1">
      <x v="4"/>
    </i>
    <i r="1">
      <x v="7"/>
    </i>
    <i>
      <x v="404"/>
      <x v="8"/>
    </i>
    <i>
      <x v="405"/>
      <x v="2"/>
    </i>
    <i>
      <x v="406"/>
      <x v="5"/>
    </i>
    <i>
      <x v="407"/>
      <x v="6"/>
    </i>
    <i>
      <x v="408"/>
      <x v="6"/>
    </i>
    <i>
      <x v="409"/>
      <x/>
    </i>
    <i>
      <x v="410"/>
      <x v="3"/>
    </i>
    <i>
      <x v="411"/>
      <x v="7"/>
    </i>
    <i>
      <x v="412"/>
      <x/>
    </i>
    <i r="1">
      <x v="4"/>
    </i>
    <i>
      <x v="413"/>
      <x v="1"/>
    </i>
    <i>
      <x v="414"/>
      <x/>
    </i>
    <i r="1">
      <x v="2"/>
    </i>
    <i>
      <x v="415"/>
      <x v="1"/>
    </i>
    <i r="1">
      <x v="8"/>
    </i>
    <i>
      <x v="416"/>
      <x/>
    </i>
    <i>
      <x v="417"/>
      <x v="2"/>
    </i>
    <i>
      <x v="418"/>
      <x/>
    </i>
    <i>
      <x v="419"/>
      <x v="6"/>
    </i>
    <i>
      <x v="420"/>
      <x v="3"/>
    </i>
    <i r="1">
      <x v="5"/>
    </i>
    <i>
      <x v="421"/>
      <x v="6"/>
    </i>
    <i>
      <x v="422"/>
      <x v="5"/>
    </i>
    <i>
      <x v="423"/>
      <x/>
    </i>
    <i>
      <x v="424"/>
      <x v="4"/>
    </i>
    <i r="1">
      <x v="7"/>
    </i>
    <i>
      <x v="425"/>
      <x v="1"/>
    </i>
    <i>
      <x v="426"/>
      <x v="4"/>
    </i>
    <i>
      <x v="427"/>
      <x v="4"/>
    </i>
    <i r="1">
      <x v="7"/>
    </i>
    <i>
      <x v="428"/>
      <x v="4"/>
    </i>
    <i>
      <x v="429"/>
      <x v="5"/>
    </i>
    <i>
      <x v="430"/>
      <x v="7"/>
    </i>
    <i r="1">
      <x v="8"/>
    </i>
    <i>
      <x v="431"/>
      <x v="4"/>
    </i>
    <i>
      <x v="432"/>
      <x/>
    </i>
    <i r="1">
      <x v="5"/>
    </i>
    <i>
      <x v="433"/>
      <x v="3"/>
    </i>
    <i>
      <x v="434"/>
      <x/>
    </i>
    <i r="1">
      <x v="6"/>
    </i>
    <i>
      <x v="435"/>
      <x v="2"/>
    </i>
    <i>
      <x v="436"/>
      <x/>
    </i>
    <i>
      <x v="437"/>
      <x v="3"/>
    </i>
    <i>
      <x v="438"/>
      <x v="1"/>
    </i>
    <i>
      <x v="439"/>
      <x v="1"/>
    </i>
    <i r="1">
      <x v="4"/>
    </i>
    <i>
      <x v="440"/>
      <x v="5"/>
    </i>
    <i r="1">
      <x v="7"/>
    </i>
    <i>
      <x v="441"/>
      <x v="4"/>
    </i>
    <i>
      <x v="442"/>
      <x v="2"/>
    </i>
    <i>
      <x v="443"/>
      <x v="8"/>
    </i>
    <i>
      <x v="444"/>
      <x v="1"/>
    </i>
    <i>
      <x v="445"/>
      <x v="2"/>
    </i>
    <i>
      <x v="446"/>
      <x/>
    </i>
    <i>
      <x v="447"/>
      <x v="4"/>
    </i>
    <i>
      <x v="448"/>
      <x v="1"/>
    </i>
    <i>
      <x v="449"/>
      <x/>
    </i>
    <i>
      <x v="450"/>
      <x v="6"/>
    </i>
    <i>
      <x v="451"/>
      <x/>
    </i>
    <i r="1">
      <x v="6"/>
    </i>
    <i>
      <x v="452"/>
      <x v="7"/>
    </i>
    <i>
      <x v="453"/>
      <x v="3"/>
    </i>
    <i>
      <x v="454"/>
      <x v="4"/>
    </i>
    <i>
      <x v="455"/>
      <x v="1"/>
    </i>
    <i r="1">
      <x v="4"/>
    </i>
    <i>
      <x v="456"/>
      <x v="3"/>
    </i>
    <i>
      <x v="457"/>
      <x/>
    </i>
    <i>
      <x v="458"/>
      <x/>
    </i>
    <i r="1">
      <x v="1"/>
    </i>
    <i r="1">
      <x v="8"/>
    </i>
    <i>
      <x v="459"/>
      <x v="8"/>
    </i>
    <i>
      <x v="460"/>
      <x v="4"/>
    </i>
    <i>
      <x v="461"/>
      <x v="8"/>
    </i>
    <i>
      <x v="462"/>
      <x v="5"/>
    </i>
    <i>
      <x v="463"/>
      <x/>
    </i>
    <i>
      <x v="464"/>
      <x v="1"/>
    </i>
    <i>
      <x v="465"/>
      <x/>
    </i>
    <i>
      <x v="466"/>
      <x v="6"/>
    </i>
    <i>
      <x v="467"/>
      <x/>
    </i>
    <i>
      <x v="468"/>
      <x v="2"/>
    </i>
    <i r="1">
      <x v="5"/>
    </i>
    <i r="1">
      <x v="8"/>
    </i>
    <i>
      <x v="469"/>
      <x v="5"/>
    </i>
    <i>
      <x v="470"/>
      <x/>
    </i>
    <i>
      <x v="471"/>
      <x v="1"/>
    </i>
    <i>
      <x v="472"/>
      <x v="2"/>
    </i>
    <i>
      <x v="473"/>
      <x v="3"/>
    </i>
    <i>
      <x v="474"/>
      <x v="1"/>
    </i>
    <i>
      <x v="475"/>
      <x v="6"/>
    </i>
    <i>
      <x v="476"/>
      <x v="2"/>
    </i>
    <i>
      <x v="477"/>
      <x/>
    </i>
    <i r="1">
      <x v="5"/>
    </i>
    <i r="1">
      <x v="8"/>
    </i>
    <i>
      <x v="478"/>
      <x v="1"/>
    </i>
    <i r="1">
      <x v="4"/>
    </i>
    <i>
      <x v="479"/>
      <x v="3"/>
    </i>
    <i>
      <x v="480"/>
      <x v="4"/>
    </i>
    <i>
      <x v="481"/>
      <x v="5"/>
    </i>
    <i>
      <x v="482"/>
      <x v="2"/>
    </i>
    <i r="1">
      <x v="6"/>
    </i>
    <i>
      <x v="483"/>
      <x v="1"/>
    </i>
    <i>
      <x v="484"/>
      <x v="2"/>
    </i>
    <i r="1">
      <x v="7"/>
    </i>
    <i>
      <x v="485"/>
      <x v="3"/>
    </i>
    <i>
      <x v="486"/>
      <x v="1"/>
    </i>
    <i>
      <x v="487"/>
      <x/>
    </i>
    <i>
      <x v="488"/>
      <x v="4"/>
    </i>
    <i>
      <x v="489"/>
      <x v="2"/>
    </i>
    <i r="1">
      <x v="8"/>
    </i>
    <i>
      <x v="490"/>
      <x v="7"/>
    </i>
    <i>
      <x v="491"/>
      <x v="1"/>
    </i>
    <i>
      <x v="492"/>
      <x v="5"/>
    </i>
    <i r="1">
      <x v="8"/>
    </i>
    <i>
      <x v="493"/>
      <x v="3"/>
    </i>
    <i r="1">
      <x v="5"/>
    </i>
    <i>
      <x v="494"/>
      <x v="5"/>
    </i>
    <i>
      <x v="495"/>
      <x v="1"/>
    </i>
    <i>
      <x v="496"/>
      <x v="6"/>
    </i>
    <i>
      <x v="497"/>
      <x v="2"/>
    </i>
    <i r="1">
      <x v="4"/>
    </i>
    <i>
      <x v="498"/>
      <x v="4"/>
    </i>
    <i>
      <x v="499"/>
      <x v="4"/>
    </i>
    <i>
      <x v="500"/>
      <x v="7"/>
    </i>
    <i>
      <x v="501"/>
      <x v="5"/>
    </i>
    <i>
      <x v="502"/>
      <x v="2"/>
    </i>
    <i r="1">
      <x v="6"/>
    </i>
    <i>
      <x v="503"/>
      <x/>
    </i>
    <i>
      <x v="504"/>
      <x v="6"/>
    </i>
    <i>
      <x v="505"/>
      <x v="3"/>
    </i>
    <i>
      <x v="506"/>
      <x v="1"/>
    </i>
    <i>
      <x v="507"/>
      <x v="4"/>
    </i>
    <i r="1">
      <x v="7"/>
    </i>
    <i>
      <x v="508"/>
      <x/>
    </i>
    <i r="1">
      <x v="6"/>
    </i>
    <i>
      <x v="509"/>
      <x v="2"/>
    </i>
    <i>
      <x v="510"/>
      <x v="2"/>
    </i>
    <i>
      <x v="511"/>
      <x v="8"/>
    </i>
    <i>
      <x v="512"/>
      <x v="8"/>
    </i>
    <i>
      <x v="513"/>
      <x v="4"/>
    </i>
    <i>
      <x v="514"/>
      <x v="7"/>
    </i>
    <i>
      <x v="515"/>
      <x v="5"/>
    </i>
    <i>
      <x v="516"/>
      <x/>
    </i>
    <i>
      <x v="517"/>
      <x/>
    </i>
    <i r="1">
      <x v="8"/>
    </i>
    <i>
      <x v="518"/>
      <x v="3"/>
    </i>
    <i>
      <x v="519"/>
      <x v="5"/>
    </i>
    <i>
      <x v="520"/>
      <x/>
    </i>
    <i r="1">
      <x v="4"/>
    </i>
    <i>
      <x v="521"/>
      <x v="1"/>
    </i>
    <i>
      <x v="522"/>
      <x v="1"/>
    </i>
    <i>
      <x v="523"/>
      <x v="3"/>
    </i>
    <i>
      <x v="524"/>
      <x v="6"/>
    </i>
    <i>
      <x v="525"/>
      <x v="2"/>
    </i>
    <i r="1">
      <x v="3"/>
    </i>
    <i>
      <x v="526"/>
      <x/>
    </i>
    <i>
      <x v="527"/>
      <x v="5"/>
    </i>
    <i>
      <x v="528"/>
      <x v="3"/>
    </i>
    <i r="1">
      <x v="7"/>
    </i>
    <i>
      <x v="529"/>
      <x v="1"/>
    </i>
    <i>
      <x v="530"/>
      <x v="8"/>
    </i>
    <i>
      <x v="531"/>
      <x v="1"/>
    </i>
    <i r="1">
      <x v="6"/>
    </i>
    <i>
      <x v="532"/>
      <x v="8"/>
    </i>
    <i>
      <x v="533"/>
      <x v="6"/>
    </i>
    <i>
      <x v="534"/>
      <x/>
    </i>
    <i>
      <x v="535"/>
      <x v="1"/>
    </i>
    <i>
      <x v="536"/>
      <x v="5"/>
    </i>
    <i>
      <x v="537"/>
      <x v="2"/>
    </i>
    <i>
      <x v="538"/>
      <x v="4"/>
    </i>
    <i r="1">
      <x v="8"/>
    </i>
    <i>
      <x v="539"/>
      <x/>
    </i>
    <i>
      <x v="540"/>
      <x v="1"/>
    </i>
    <i r="1">
      <x v="3"/>
    </i>
    <i>
      <x v="541"/>
      <x v="1"/>
    </i>
    <i>
      <x v="542"/>
      <x v="4"/>
    </i>
    <i>
      <x v="543"/>
      <x v="4"/>
    </i>
    <i>
      <x v="544"/>
      <x v="6"/>
    </i>
    <i>
      <x v="545"/>
      <x v="4"/>
    </i>
    <i>
      <x v="546"/>
      <x v="1"/>
    </i>
    <i>
      <x v="547"/>
      <x v="1"/>
    </i>
    <i r="1">
      <x v="6"/>
    </i>
    <i>
      <x v="548"/>
      <x v="8"/>
    </i>
    <i>
      <x v="549"/>
      <x v="2"/>
    </i>
    <i>
      <x v="550"/>
      <x v="5"/>
    </i>
    <i>
      <x v="551"/>
      <x v="1"/>
    </i>
    <i>
      <x v="552"/>
      <x v="1"/>
    </i>
    <i r="1">
      <x v="7"/>
    </i>
    <i r="1">
      <x v="8"/>
    </i>
    <i>
      <x v="553"/>
      <x v="2"/>
    </i>
    <i r="1">
      <x v="7"/>
    </i>
    <i r="1">
      <x v="8"/>
    </i>
    <i>
      <x v="554"/>
      <x v="4"/>
    </i>
    <i>
      <x v="555"/>
      <x v="7"/>
    </i>
    <i>
      <x v="556"/>
      <x v="3"/>
    </i>
    <i>
      <x v="557"/>
      <x v="3"/>
    </i>
    <i>
      <x v="558"/>
      <x v="8"/>
    </i>
    <i>
      <x v="559"/>
      <x v="8"/>
    </i>
    <i>
      <x v="560"/>
      <x v="3"/>
    </i>
    <i>
      <x v="561"/>
      <x v="1"/>
    </i>
    <i>
      <x v="562"/>
      <x v="4"/>
    </i>
    <i>
      <x v="563"/>
      <x v="5"/>
    </i>
    <i r="1">
      <x v="8"/>
    </i>
    <i>
      <x v="564"/>
      <x v="1"/>
    </i>
    <i>
      <x v="565"/>
      <x v="3"/>
    </i>
    <i>
      <x v="566"/>
      <x v="4"/>
    </i>
    <i r="1">
      <x v="5"/>
    </i>
    <i r="1">
      <x v="6"/>
    </i>
    <i>
      <x v="567"/>
      <x/>
    </i>
    <i>
      <x v="568"/>
      <x v="1"/>
    </i>
    <i r="1">
      <x v="2"/>
    </i>
    <i>
      <x v="569"/>
      <x v="5"/>
    </i>
    <i>
      <x v="570"/>
      <x v="5"/>
    </i>
    <i>
      <x v="571"/>
      <x v="1"/>
    </i>
    <i>
      <x v="572"/>
      <x/>
    </i>
    <i>
      <x v="573"/>
      <x/>
    </i>
    <i>
      <x v="574"/>
      <x v="1"/>
    </i>
    <i r="1">
      <x v="4"/>
    </i>
    <i>
      <x v="575"/>
      <x v="3"/>
    </i>
    <i r="1">
      <x v="4"/>
    </i>
    <i>
      <x v="576"/>
      <x v="8"/>
    </i>
    <i>
      <x v="577"/>
      <x/>
    </i>
    <i r="1">
      <x v="5"/>
    </i>
    <i>
      <x v="578"/>
      <x/>
    </i>
    <i>
      <x v="579"/>
      <x v="6"/>
    </i>
    <i>
      <x v="580"/>
      <x v="1"/>
    </i>
    <i>
      <x v="581"/>
      <x/>
    </i>
    <i r="1">
      <x v="8"/>
    </i>
    <i>
      <x v="582"/>
      <x v="2"/>
    </i>
    <i>
      <x v="583"/>
      <x/>
    </i>
    <i>
      <x v="584"/>
      <x v="3"/>
    </i>
    <i>
      <x v="585"/>
      <x/>
    </i>
    <i>
      <x v="586"/>
      <x v="3"/>
    </i>
    <i>
      <x v="587"/>
      <x v="3"/>
    </i>
    <i>
      <x v="588"/>
      <x v="6"/>
    </i>
    <i>
      <x v="589"/>
      <x v="3"/>
    </i>
    <i r="1">
      <x v="8"/>
    </i>
    <i>
      <x v="590"/>
      <x v="2"/>
    </i>
    <i>
      <x v="591"/>
      <x/>
    </i>
    <i>
      <x v="592"/>
      <x/>
    </i>
    <i r="1">
      <x v="5"/>
    </i>
    <i>
      <x v="593"/>
      <x v="5"/>
    </i>
    <i>
      <x v="594"/>
      <x/>
    </i>
    <i r="1">
      <x v="2"/>
    </i>
    <i>
      <x v="595"/>
      <x v="8"/>
    </i>
    <i>
      <x v="596"/>
      <x v="1"/>
    </i>
    <i>
      <x v="597"/>
      <x v="8"/>
    </i>
    <i>
      <x v="598"/>
      <x/>
    </i>
    <i>
      <x v="599"/>
      <x/>
    </i>
    <i>
      <x v="600"/>
      <x v="5"/>
    </i>
    <i>
      <x v="601"/>
      <x v="8"/>
    </i>
    <i>
      <x v="602"/>
      <x v="2"/>
    </i>
    <i r="1">
      <x v="5"/>
    </i>
    <i>
      <x v="603"/>
      <x v="1"/>
    </i>
    <i>
      <x v="604"/>
      <x v="5"/>
    </i>
    <i>
      <x v="605"/>
      <x v="2"/>
    </i>
    <i>
      <x v="606"/>
      <x v="7"/>
    </i>
    <i>
      <x v="607"/>
      <x/>
    </i>
    <i r="1">
      <x v="7"/>
    </i>
    <i>
      <x v="608"/>
      <x v="2"/>
    </i>
    <i r="1">
      <x v="8"/>
    </i>
    <i>
      <x v="609"/>
      <x v="6"/>
    </i>
    <i>
      <x v="610"/>
      <x v="4"/>
    </i>
    <i>
      <x v="611"/>
      <x v="6"/>
    </i>
    <i>
      <x v="612"/>
      <x v="4"/>
    </i>
    <i>
      <x v="613"/>
      <x v="5"/>
    </i>
    <i r="1">
      <x v="7"/>
    </i>
    <i>
      <x v="614"/>
      <x v="3"/>
    </i>
    <i>
      <x v="615"/>
      <x v="1"/>
    </i>
    <i>
      <x v="616"/>
      <x v="2"/>
    </i>
    <i>
      <x v="617"/>
      <x v="4"/>
    </i>
    <i>
      <x v="618"/>
      <x v="6"/>
    </i>
    <i>
      <x v="619"/>
      <x v="5"/>
    </i>
    <i>
      <x v="620"/>
      <x v="5"/>
    </i>
    <i>
      <x v="621"/>
      <x/>
    </i>
    <i>
      <x v="622"/>
      <x v="1"/>
    </i>
    <i r="1">
      <x v="2"/>
    </i>
    <i r="1">
      <x v="3"/>
    </i>
    <i r="1">
      <x v="7"/>
    </i>
    <i>
      <x v="623"/>
      <x v="5"/>
    </i>
    <i>
      <x v="624"/>
      <x v="5"/>
    </i>
    <i>
      <x v="625"/>
      <x v="5"/>
    </i>
    <i>
      <x v="626"/>
      <x v="6"/>
    </i>
    <i>
      <x v="627"/>
      <x v="4"/>
    </i>
    <i>
      <x v="628"/>
      <x v="4"/>
    </i>
    <i>
      <x v="629"/>
      <x/>
    </i>
    <i>
      <x v="630"/>
      <x v="2"/>
    </i>
    <i r="1">
      <x v="3"/>
    </i>
    <i>
      <x v="631"/>
      <x v="6"/>
    </i>
    <i>
      <x v="632"/>
      <x v="7"/>
    </i>
    <i>
      <x v="633"/>
      <x v="1"/>
    </i>
    <i r="1">
      <x v="3"/>
    </i>
    <i>
      <x v="634"/>
      <x/>
    </i>
    <i r="1">
      <x v="3"/>
    </i>
    <i>
      <x v="635"/>
      <x v="4"/>
    </i>
    <i>
      <x v="636"/>
      <x v="8"/>
    </i>
    <i>
      <x v="637"/>
      <x/>
    </i>
    <i r="1">
      <x v="8"/>
    </i>
    <i>
      <x v="638"/>
      <x v="8"/>
    </i>
    <i>
      <x v="639"/>
      <x v="2"/>
    </i>
    <i>
      <x v="640"/>
      <x v="1"/>
    </i>
    <i r="1">
      <x v="7"/>
    </i>
    <i>
      <x v="641"/>
      <x v="5"/>
    </i>
    <i>
      <x v="642"/>
      <x v="6"/>
    </i>
    <i>
      <x v="643"/>
      <x v="4"/>
    </i>
    <i r="1">
      <x v="8"/>
    </i>
    <i>
      <x v="644"/>
      <x v="4"/>
    </i>
    <i r="1">
      <x v="8"/>
    </i>
    <i>
      <x v="645"/>
      <x v="5"/>
    </i>
    <i>
      <x v="646"/>
      <x v="7"/>
    </i>
    <i>
      <x v="647"/>
      <x v="3"/>
    </i>
    <i>
      <x v="648"/>
      <x v="1"/>
    </i>
    <i>
      <x v="649"/>
      <x v="1"/>
    </i>
    <i r="1">
      <x v="3"/>
    </i>
    <i>
      <x v="650"/>
      <x v="5"/>
    </i>
    <i>
      <x v="651"/>
      <x v="8"/>
    </i>
    <i>
      <x v="652"/>
      <x v="4"/>
    </i>
    <i r="1">
      <x v="5"/>
    </i>
    <i r="1">
      <x v="8"/>
    </i>
    <i>
      <x v="653"/>
      <x v="3"/>
    </i>
    <i r="1">
      <x v="8"/>
    </i>
    <i>
      <x v="654"/>
      <x v="3"/>
    </i>
    <i r="1">
      <x v="4"/>
    </i>
    <i>
      <x v="655"/>
      <x v="8"/>
    </i>
    <i>
      <x v="656"/>
      <x v="4"/>
    </i>
    <i>
      <x v="657"/>
      <x v="2"/>
    </i>
    <i>
      <x v="658"/>
      <x/>
    </i>
    <i>
      <x v="659"/>
      <x v="6"/>
    </i>
    <i>
      <x v="660"/>
      <x v="1"/>
    </i>
    <i>
      <x v="661"/>
      <x v="5"/>
    </i>
    <i r="1">
      <x v="6"/>
    </i>
    <i>
      <x v="662"/>
      <x v="1"/>
    </i>
    <i r="1">
      <x v="4"/>
    </i>
    <i>
      <x v="663"/>
      <x v="4"/>
    </i>
    <i>
      <x v="664"/>
      <x v="1"/>
    </i>
    <i>
      <x v="665"/>
      <x/>
    </i>
    <i>
      <x v="666"/>
      <x v="4"/>
    </i>
    <i>
      <x v="667"/>
      <x/>
    </i>
    <i r="1">
      <x v="6"/>
    </i>
    <i>
      <x v="668"/>
      <x v="5"/>
    </i>
    <i>
      <x v="669"/>
      <x v="4"/>
    </i>
    <i>
      <x v="670"/>
      <x/>
    </i>
    <i r="1">
      <x v="1"/>
    </i>
    <i>
      <x v="671"/>
      <x v="1"/>
    </i>
    <i>
      <x v="672"/>
      <x v="5"/>
    </i>
    <i r="1">
      <x v="6"/>
    </i>
    <i>
      <x v="673"/>
      <x v="5"/>
    </i>
    <i r="1">
      <x v="8"/>
    </i>
    <i>
      <x v="674"/>
      <x/>
    </i>
    <i>
      <x v="675"/>
      <x v="2"/>
    </i>
    <i>
      <x v="676"/>
      <x v="5"/>
    </i>
    <i>
      <x v="677"/>
      <x v="4"/>
    </i>
    <i r="1">
      <x v="5"/>
    </i>
    <i r="1">
      <x v="7"/>
    </i>
    <i>
      <x v="678"/>
      <x v="5"/>
    </i>
    <i r="1">
      <x v="6"/>
    </i>
    <i>
      <x v="679"/>
      <x/>
    </i>
    <i r="1">
      <x v="1"/>
    </i>
    <i>
      <x v="680"/>
      <x v="3"/>
    </i>
    <i>
      <x v="681"/>
      <x v="1"/>
    </i>
    <i>
      <x v="682"/>
      <x v="6"/>
    </i>
    <i>
      <x v="683"/>
      <x v="1"/>
    </i>
    <i r="1">
      <x v="8"/>
    </i>
    <i>
      <x v="684"/>
      <x v="8"/>
    </i>
    <i>
      <x v="685"/>
      <x v="4"/>
    </i>
    <i r="1">
      <x v="6"/>
    </i>
    <i>
      <x v="686"/>
      <x v="6"/>
    </i>
    <i>
      <x v="687"/>
      <x v="4"/>
    </i>
    <i>
      <x v="688"/>
      <x v="1"/>
    </i>
    <i>
      <x v="689"/>
      <x v="3"/>
    </i>
    <i>
      <x v="690"/>
      <x v="2"/>
    </i>
    <i>
      <x v="691"/>
      <x v="1"/>
    </i>
    <i r="1">
      <x v="8"/>
    </i>
    <i>
      <x v="692"/>
      <x v="1"/>
    </i>
    <i>
      <x v="693"/>
      <x/>
    </i>
    <i>
      <x v="694"/>
      <x/>
    </i>
    <i r="1">
      <x v="1"/>
    </i>
    <i r="1">
      <x v="6"/>
    </i>
    <i>
      <x v="695"/>
      <x v="5"/>
    </i>
    <i>
      <x v="696"/>
      <x v="5"/>
    </i>
    <i r="1">
      <x v="7"/>
    </i>
    <i>
      <x v="697"/>
      <x v="2"/>
    </i>
    <i r="1">
      <x v="7"/>
    </i>
    <i>
      <x v="698"/>
      <x v="7"/>
    </i>
    <i>
      <x v="699"/>
      <x v="2"/>
    </i>
    <i r="1">
      <x v="6"/>
    </i>
    <i>
      <x v="700"/>
      <x v="4"/>
    </i>
    <i r="1">
      <x v="5"/>
    </i>
    <i>
      <x v="701"/>
      <x v="6"/>
    </i>
    <i>
      <x v="702"/>
      <x v="4"/>
    </i>
    <i>
      <x v="703"/>
      <x v="2"/>
    </i>
    <i>
      <x v="704"/>
      <x v="2"/>
    </i>
    <i>
      <x v="705"/>
      <x v="4"/>
    </i>
    <i r="1">
      <x v="7"/>
    </i>
    <i>
      <x v="706"/>
      <x/>
    </i>
    <i r="1">
      <x v="3"/>
    </i>
    <i>
      <x v="707"/>
      <x v="7"/>
    </i>
    <i>
      <x v="708"/>
      <x v="6"/>
    </i>
    <i>
      <x v="709"/>
      <x/>
    </i>
    <i r="1">
      <x v="2"/>
    </i>
    <i>
      <x v="710"/>
      <x v="7"/>
    </i>
    <i>
      <x v="711"/>
      <x v="4"/>
    </i>
    <i t="grand">
      <x/>
    </i>
  </rowItems>
  <colItems count="1">
    <i/>
  </colItems>
  <dataFields count="1">
    <dataField name="Sum of Quanti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1"/>
  <sheetViews>
    <sheetView topLeftCell="I1" workbookViewId="0">
      <selection activeCell="L5" sqref="L5"/>
    </sheetView>
  </sheetViews>
  <sheetFormatPr defaultRowHeight="14.25" x14ac:dyDescent="0.45"/>
  <cols>
    <col min="18" max="18" width="15.46484375" bestFit="1" customWidth="1"/>
    <col min="19" max="19" width="11.33203125" customWidth="1"/>
    <col min="20" max="20" width="14" customWidth="1"/>
    <col min="22" max="22" width="14.86328125" style="2" bestFit="1" customWidth="1"/>
  </cols>
  <sheetData>
    <row r="1" spans="1:2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709</v>
      </c>
      <c r="W1" s="4" t="s">
        <v>710</v>
      </c>
      <c r="X1" s="4" t="s">
        <v>711</v>
      </c>
      <c r="Y1" s="4" t="s">
        <v>7</v>
      </c>
      <c r="Z1" s="4" t="s">
        <v>15</v>
      </c>
    </row>
    <row r="2" spans="1:26" x14ac:dyDescent="0.45">
      <c r="A2">
        <v>2000</v>
      </c>
      <c r="B2">
        <v>1324</v>
      </c>
      <c r="C2" t="s">
        <v>21</v>
      </c>
      <c r="D2" t="s">
        <v>22</v>
      </c>
      <c r="E2">
        <v>29</v>
      </c>
      <c r="F2">
        <v>698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>
        <v>5</v>
      </c>
      <c r="Q2" t="b">
        <v>1</v>
      </c>
      <c r="R2" s="1">
        <v>45263.570833333331</v>
      </c>
      <c r="S2" s="1">
        <v>45264.042361111111</v>
      </c>
      <c r="T2" t="s">
        <v>32</v>
      </c>
      <c r="U2" t="b">
        <v>0</v>
      </c>
      <c r="V2" s="2">
        <v>45263.570833333331</v>
      </c>
      <c r="W2">
        <v>12</v>
      </c>
      <c r="X2">
        <v>2023</v>
      </c>
      <c r="Y2" t="s">
        <v>24</v>
      </c>
      <c r="Z2">
        <v>5</v>
      </c>
    </row>
    <row r="3" spans="1:26" x14ac:dyDescent="0.45">
      <c r="A3">
        <v>2001</v>
      </c>
      <c r="B3">
        <v>1363</v>
      </c>
      <c r="C3" t="s">
        <v>33</v>
      </c>
      <c r="D3" t="s">
        <v>22</v>
      </c>
      <c r="E3">
        <v>62</v>
      </c>
      <c r="F3">
        <v>760</v>
      </c>
      <c r="G3" t="s">
        <v>34</v>
      </c>
      <c r="H3" t="s">
        <v>35</v>
      </c>
      <c r="I3" t="s">
        <v>36</v>
      </c>
      <c r="J3" t="s">
        <v>36</v>
      </c>
      <c r="K3" t="s">
        <v>37</v>
      </c>
      <c r="L3" t="s">
        <v>28</v>
      </c>
      <c r="M3" t="s">
        <v>38</v>
      </c>
      <c r="N3" t="s">
        <v>31</v>
      </c>
      <c r="O3" t="s">
        <v>39</v>
      </c>
      <c r="P3">
        <v>2</v>
      </c>
      <c r="Q3" t="b">
        <v>1</v>
      </c>
      <c r="R3" s="1">
        <v>44075.714583333334</v>
      </c>
      <c r="S3" s="1">
        <v>44079.133333333331</v>
      </c>
      <c r="T3" t="s">
        <v>40</v>
      </c>
      <c r="U3" t="b">
        <v>0</v>
      </c>
      <c r="V3" s="2">
        <v>44075.714583333334</v>
      </c>
      <c r="W3">
        <v>9</v>
      </c>
      <c r="X3">
        <v>2020</v>
      </c>
      <c r="Y3" t="s">
        <v>35</v>
      </c>
      <c r="Z3">
        <v>2</v>
      </c>
    </row>
    <row r="4" spans="1:26" x14ac:dyDescent="0.45">
      <c r="A4">
        <v>2002</v>
      </c>
      <c r="B4">
        <v>1387</v>
      </c>
      <c r="C4" t="s">
        <v>41</v>
      </c>
      <c r="D4" t="s">
        <v>42</v>
      </c>
      <c r="E4">
        <v>50</v>
      </c>
      <c r="F4">
        <v>706</v>
      </c>
      <c r="G4" t="s">
        <v>43</v>
      </c>
      <c r="H4" t="s">
        <v>24</v>
      </c>
      <c r="I4" t="s">
        <v>44</v>
      </c>
      <c r="J4" t="s">
        <v>45</v>
      </c>
      <c r="K4" t="s">
        <v>46</v>
      </c>
      <c r="L4" t="s">
        <v>28</v>
      </c>
      <c r="M4" t="s">
        <v>47</v>
      </c>
      <c r="N4" t="s">
        <v>48</v>
      </c>
      <c r="O4" t="s">
        <v>49</v>
      </c>
      <c r="P4">
        <v>3</v>
      </c>
      <c r="Q4" t="b">
        <v>0</v>
      </c>
      <c r="R4" s="1">
        <v>43988.004861111112</v>
      </c>
      <c r="V4" s="2">
        <v>43988.004861111112</v>
      </c>
      <c r="W4">
        <v>6</v>
      </c>
      <c r="X4">
        <v>2020</v>
      </c>
      <c r="Y4" t="s">
        <v>24</v>
      </c>
      <c r="Z4">
        <v>3</v>
      </c>
    </row>
    <row r="5" spans="1:26" x14ac:dyDescent="0.45">
      <c r="A5">
        <v>2003</v>
      </c>
      <c r="B5">
        <v>1310</v>
      </c>
      <c r="C5" t="s">
        <v>50</v>
      </c>
      <c r="D5" t="s">
        <v>42</v>
      </c>
      <c r="E5">
        <v>57</v>
      </c>
      <c r="F5">
        <v>709</v>
      </c>
      <c r="G5" t="s">
        <v>51</v>
      </c>
      <c r="H5" t="s">
        <v>52</v>
      </c>
      <c r="I5" t="s">
        <v>53</v>
      </c>
      <c r="J5" t="s">
        <v>54</v>
      </c>
      <c r="K5" t="s">
        <v>55</v>
      </c>
      <c r="L5" t="s">
        <v>56</v>
      </c>
      <c r="M5" t="s">
        <v>57</v>
      </c>
      <c r="N5" t="s">
        <v>58</v>
      </c>
      <c r="O5" t="s">
        <v>59</v>
      </c>
      <c r="P5">
        <v>3</v>
      </c>
      <c r="Q5" t="b">
        <v>1</v>
      </c>
      <c r="R5" s="1">
        <v>44968.578472222223</v>
      </c>
      <c r="S5" s="1">
        <v>44969.133333333331</v>
      </c>
      <c r="T5" t="s">
        <v>60</v>
      </c>
      <c r="U5" t="b">
        <v>0</v>
      </c>
      <c r="V5" s="2">
        <v>44968.578472222223</v>
      </c>
      <c r="W5">
        <v>2</v>
      </c>
      <c r="X5">
        <v>2023</v>
      </c>
      <c r="Y5" t="s">
        <v>52</v>
      </c>
      <c r="Z5">
        <v>3</v>
      </c>
    </row>
    <row r="6" spans="1:26" x14ac:dyDescent="0.45">
      <c r="A6">
        <v>2004</v>
      </c>
      <c r="B6">
        <v>1278</v>
      </c>
      <c r="C6" t="s">
        <v>61</v>
      </c>
      <c r="D6" t="s">
        <v>42</v>
      </c>
      <c r="E6">
        <v>18</v>
      </c>
      <c r="F6">
        <v>607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70</v>
      </c>
      <c r="P6">
        <v>3</v>
      </c>
      <c r="Q6" t="b">
        <v>1</v>
      </c>
      <c r="R6" s="1">
        <v>44312.907638888886</v>
      </c>
      <c r="S6" s="1">
        <v>44318.709722222222</v>
      </c>
      <c r="T6" t="s">
        <v>32</v>
      </c>
      <c r="U6" t="b">
        <v>0</v>
      </c>
      <c r="V6" s="2">
        <v>44312.907638888886</v>
      </c>
      <c r="W6">
        <v>4</v>
      </c>
      <c r="X6">
        <v>2021</v>
      </c>
      <c r="Y6" t="s">
        <v>63</v>
      </c>
      <c r="Z6">
        <v>3</v>
      </c>
    </row>
    <row r="7" spans="1:26" x14ac:dyDescent="0.45">
      <c r="A7">
        <v>2005</v>
      </c>
      <c r="B7">
        <v>1098</v>
      </c>
      <c r="C7" t="s">
        <v>71</v>
      </c>
      <c r="D7" t="s">
        <v>22</v>
      </c>
      <c r="E7">
        <v>22</v>
      </c>
      <c r="F7">
        <v>628</v>
      </c>
      <c r="G7" t="s">
        <v>72</v>
      </c>
      <c r="H7" t="s">
        <v>73</v>
      </c>
      <c r="I7" t="s">
        <v>74</v>
      </c>
      <c r="J7" t="s">
        <v>75</v>
      </c>
      <c r="K7" t="s">
        <v>66</v>
      </c>
      <c r="L7" t="s">
        <v>76</v>
      </c>
      <c r="M7" t="s">
        <v>77</v>
      </c>
      <c r="N7" t="s">
        <v>78</v>
      </c>
      <c r="O7" t="s">
        <v>79</v>
      </c>
      <c r="P7">
        <v>1</v>
      </c>
      <c r="Q7" t="b">
        <v>1</v>
      </c>
      <c r="R7" s="1">
        <v>43915.912499999999</v>
      </c>
      <c r="S7" s="1">
        <v>43917.762499999997</v>
      </c>
      <c r="T7" t="s">
        <v>32</v>
      </c>
      <c r="U7" t="b">
        <v>0</v>
      </c>
      <c r="V7" s="2">
        <v>43915.912499999999</v>
      </c>
      <c r="W7">
        <v>3</v>
      </c>
      <c r="X7">
        <v>2020</v>
      </c>
      <c r="Y7" t="s">
        <v>73</v>
      </c>
      <c r="Z7">
        <v>1</v>
      </c>
    </row>
    <row r="8" spans="1:26" x14ac:dyDescent="0.45">
      <c r="A8">
        <v>2006</v>
      </c>
      <c r="B8">
        <v>1237</v>
      </c>
      <c r="C8" t="s">
        <v>80</v>
      </c>
      <c r="D8" t="s">
        <v>42</v>
      </c>
      <c r="E8">
        <v>18</v>
      </c>
      <c r="F8">
        <v>637</v>
      </c>
      <c r="G8" t="s">
        <v>81</v>
      </c>
      <c r="H8" t="s">
        <v>35</v>
      </c>
      <c r="I8" t="s">
        <v>36</v>
      </c>
      <c r="J8" t="s">
        <v>82</v>
      </c>
      <c r="K8" t="s">
        <v>55</v>
      </c>
      <c r="L8" t="s">
        <v>28</v>
      </c>
      <c r="M8" t="s">
        <v>47</v>
      </c>
      <c r="N8" t="s">
        <v>48</v>
      </c>
      <c r="O8" t="s">
        <v>49</v>
      </c>
      <c r="P8">
        <v>1</v>
      </c>
      <c r="Q8" t="b">
        <v>1</v>
      </c>
      <c r="R8" s="1">
        <v>45223.662499999999</v>
      </c>
      <c r="S8" s="1">
        <v>45230.191666666666</v>
      </c>
      <c r="T8" t="s">
        <v>40</v>
      </c>
      <c r="U8" t="b">
        <v>0</v>
      </c>
      <c r="V8" s="2">
        <v>45223.662499999999</v>
      </c>
      <c r="W8">
        <v>10</v>
      </c>
      <c r="X8">
        <v>2023</v>
      </c>
      <c r="Y8" t="s">
        <v>35</v>
      </c>
      <c r="Z8">
        <v>1</v>
      </c>
    </row>
    <row r="9" spans="1:26" x14ac:dyDescent="0.45">
      <c r="A9">
        <v>2007</v>
      </c>
      <c r="B9">
        <v>1000</v>
      </c>
      <c r="C9" t="s">
        <v>83</v>
      </c>
      <c r="D9" t="s">
        <v>22</v>
      </c>
      <c r="E9">
        <v>74</v>
      </c>
      <c r="F9">
        <v>747</v>
      </c>
      <c r="G9" t="s">
        <v>84</v>
      </c>
      <c r="H9" t="s">
        <v>85</v>
      </c>
      <c r="I9" t="s">
        <v>86</v>
      </c>
      <c r="J9" t="s">
        <v>87</v>
      </c>
      <c r="K9" t="s">
        <v>46</v>
      </c>
      <c r="L9" t="s">
        <v>56</v>
      </c>
      <c r="M9" t="s">
        <v>88</v>
      </c>
      <c r="N9" t="s">
        <v>89</v>
      </c>
      <c r="O9" t="s">
        <v>90</v>
      </c>
      <c r="P9">
        <v>5</v>
      </c>
      <c r="Q9" t="b">
        <v>1</v>
      </c>
      <c r="R9" s="1">
        <v>43871.709027777775</v>
      </c>
      <c r="S9" s="1">
        <v>43875.009027777778</v>
      </c>
      <c r="T9" t="s">
        <v>60</v>
      </c>
      <c r="U9" t="b">
        <v>0</v>
      </c>
      <c r="V9" s="2">
        <v>43871.709027777775</v>
      </c>
      <c r="W9">
        <v>2</v>
      </c>
      <c r="X9">
        <v>2020</v>
      </c>
      <c r="Y9" t="s">
        <v>85</v>
      </c>
      <c r="Z9">
        <v>5</v>
      </c>
    </row>
    <row r="10" spans="1:26" x14ac:dyDescent="0.45">
      <c r="A10">
        <v>2008</v>
      </c>
      <c r="B10">
        <v>1300</v>
      </c>
      <c r="C10" t="s">
        <v>91</v>
      </c>
      <c r="D10" t="s">
        <v>22</v>
      </c>
      <c r="E10">
        <v>41</v>
      </c>
      <c r="F10">
        <v>682</v>
      </c>
      <c r="G10" t="s">
        <v>92</v>
      </c>
      <c r="H10" t="s">
        <v>93</v>
      </c>
      <c r="I10" t="s">
        <v>94</v>
      </c>
      <c r="J10" t="s">
        <v>95</v>
      </c>
      <c r="K10" t="s">
        <v>66</v>
      </c>
      <c r="L10" t="s">
        <v>96</v>
      </c>
      <c r="M10" t="s">
        <v>97</v>
      </c>
      <c r="N10" t="s">
        <v>98</v>
      </c>
      <c r="O10" t="s">
        <v>99</v>
      </c>
      <c r="P10">
        <v>3</v>
      </c>
      <c r="Q10" t="b">
        <v>0</v>
      </c>
      <c r="R10" s="1">
        <v>44354.134722222225</v>
      </c>
      <c r="V10" s="2">
        <v>44354.134722222225</v>
      </c>
      <c r="W10">
        <v>6</v>
      </c>
      <c r="X10">
        <v>2021</v>
      </c>
      <c r="Y10" t="s">
        <v>93</v>
      </c>
      <c r="Z10">
        <v>3</v>
      </c>
    </row>
    <row r="11" spans="1:26" x14ac:dyDescent="0.45">
      <c r="A11">
        <v>2009</v>
      </c>
      <c r="B11">
        <v>1110</v>
      </c>
      <c r="C11" t="s">
        <v>100</v>
      </c>
      <c r="D11" t="s">
        <v>42</v>
      </c>
      <c r="E11">
        <v>19</v>
      </c>
      <c r="F11">
        <v>672</v>
      </c>
      <c r="G11" t="s">
        <v>101</v>
      </c>
      <c r="H11" t="s">
        <v>35</v>
      </c>
      <c r="I11" t="s">
        <v>36</v>
      </c>
      <c r="J11" t="s">
        <v>36</v>
      </c>
      <c r="K11" t="s">
        <v>102</v>
      </c>
      <c r="L11" t="s">
        <v>96</v>
      </c>
      <c r="M11" t="s">
        <v>103</v>
      </c>
      <c r="N11" t="s">
        <v>31</v>
      </c>
      <c r="O11" t="s">
        <v>104</v>
      </c>
      <c r="P11">
        <v>4</v>
      </c>
      <c r="Q11" t="b">
        <v>0</v>
      </c>
      <c r="R11" s="1">
        <v>44719.190972222219</v>
      </c>
      <c r="V11" s="2">
        <v>44719.190972222219</v>
      </c>
      <c r="W11">
        <v>6</v>
      </c>
      <c r="X11">
        <v>2022</v>
      </c>
      <c r="Y11" t="s">
        <v>35</v>
      </c>
      <c r="Z11">
        <v>4</v>
      </c>
    </row>
    <row r="12" spans="1:26" x14ac:dyDescent="0.45">
      <c r="A12">
        <v>2011</v>
      </c>
      <c r="B12">
        <v>1331</v>
      </c>
      <c r="C12" t="s">
        <v>105</v>
      </c>
      <c r="D12" t="s">
        <v>22</v>
      </c>
      <c r="E12">
        <v>18</v>
      </c>
      <c r="F12">
        <v>623</v>
      </c>
      <c r="G12" t="s">
        <v>106</v>
      </c>
      <c r="H12" t="s">
        <v>93</v>
      </c>
      <c r="I12" t="s">
        <v>94</v>
      </c>
      <c r="J12" t="s">
        <v>107</v>
      </c>
      <c r="K12" t="s">
        <v>46</v>
      </c>
      <c r="L12" t="s">
        <v>67</v>
      </c>
      <c r="M12" t="s">
        <v>108</v>
      </c>
      <c r="N12" t="s">
        <v>99</v>
      </c>
      <c r="O12" t="s">
        <v>30</v>
      </c>
      <c r="P12">
        <v>2</v>
      </c>
      <c r="Q12" t="b">
        <v>1</v>
      </c>
      <c r="R12" s="1">
        <v>45104.094444444447</v>
      </c>
      <c r="S12" s="1">
        <v>45104.759027777778</v>
      </c>
      <c r="T12" t="s">
        <v>109</v>
      </c>
      <c r="U12" t="b">
        <v>0</v>
      </c>
      <c r="V12" s="2">
        <v>45104.094444444447</v>
      </c>
      <c r="W12">
        <v>6</v>
      </c>
      <c r="X12">
        <v>2023</v>
      </c>
      <c r="Y12" t="s">
        <v>93</v>
      </c>
      <c r="Z12">
        <v>2</v>
      </c>
    </row>
    <row r="13" spans="1:26" x14ac:dyDescent="0.45">
      <c r="A13">
        <v>2012</v>
      </c>
      <c r="B13">
        <v>1146</v>
      </c>
      <c r="C13" t="s">
        <v>110</v>
      </c>
      <c r="D13" t="s">
        <v>22</v>
      </c>
      <c r="E13">
        <v>71</v>
      </c>
      <c r="F13">
        <v>749</v>
      </c>
      <c r="G13" t="s">
        <v>111</v>
      </c>
      <c r="H13" t="s">
        <v>93</v>
      </c>
      <c r="I13" t="s">
        <v>112</v>
      </c>
      <c r="J13" t="s">
        <v>113</v>
      </c>
      <c r="K13" t="s">
        <v>37</v>
      </c>
      <c r="L13" t="s">
        <v>28</v>
      </c>
      <c r="M13" t="s">
        <v>29</v>
      </c>
      <c r="N13" t="s">
        <v>30</v>
      </c>
      <c r="O13" t="s">
        <v>31</v>
      </c>
      <c r="P13">
        <v>3</v>
      </c>
      <c r="Q13" t="b">
        <v>1</v>
      </c>
      <c r="R13" s="1">
        <v>44144.42083333333</v>
      </c>
      <c r="S13" s="1">
        <v>44146.018750000003</v>
      </c>
      <c r="T13" t="s">
        <v>60</v>
      </c>
      <c r="U13" t="b">
        <v>0</v>
      </c>
      <c r="V13" s="2">
        <v>44144.42083333333</v>
      </c>
      <c r="W13">
        <v>11</v>
      </c>
      <c r="X13">
        <v>2020</v>
      </c>
      <c r="Y13" t="s">
        <v>93</v>
      </c>
      <c r="Z13">
        <v>3</v>
      </c>
    </row>
    <row r="14" spans="1:26" x14ac:dyDescent="0.45">
      <c r="A14">
        <v>2013</v>
      </c>
      <c r="B14">
        <v>1070</v>
      </c>
      <c r="C14" t="s">
        <v>114</v>
      </c>
      <c r="D14" t="s">
        <v>22</v>
      </c>
      <c r="E14">
        <v>21</v>
      </c>
      <c r="F14">
        <v>609</v>
      </c>
      <c r="G14" t="s">
        <v>115</v>
      </c>
      <c r="H14" t="s">
        <v>85</v>
      </c>
      <c r="I14" t="s">
        <v>116</v>
      </c>
      <c r="J14" t="s">
        <v>117</v>
      </c>
      <c r="K14" t="s">
        <v>27</v>
      </c>
      <c r="L14" t="s">
        <v>96</v>
      </c>
      <c r="M14" t="s">
        <v>118</v>
      </c>
      <c r="N14" t="s">
        <v>90</v>
      </c>
      <c r="O14" t="s">
        <v>119</v>
      </c>
      <c r="P14">
        <v>5</v>
      </c>
      <c r="Q14" t="b">
        <v>1</v>
      </c>
      <c r="R14" s="1">
        <v>44926.393055555556</v>
      </c>
      <c r="S14" s="1">
        <v>44933.388194444444</v>
      </c>
      <c r="T14" t="s">
        <v>40</v>
      </c>
      <c r="U14" t="b">
        <v>0</v>
      </c>
      <c r="V14" s="2">
        <v>44926.393055555556</v>
      </c>
      <c r="W14">
        <v>12</v>
      </c>
      <c r="X14">
        <v>2022</v>
      </c>
      <c r="Y14" t="s">
        <v>85</v>
      </c>
      <c r="Z14">
        <v>5</v>
      </c>
    </row>
    <row r="15" spans="1:26" x14ac:dyDescent="0.45">
      <c r="A15">
        <v>2014</v>
      </c>
      <c r="B15">
        <v>1216</v>
      </c>
      <c r="C15" t="s">
        <v>120</v>
      </c>
      <c r="D15" t="s">
        <v>22</v>
      </c>
      <c r="E15">
        <v>68</v>
      </c>
      <c r="F15">
        <v>747</v>
      </c>
      <c r="G15" t="s">
        <v>121</v>
      </c>
      <c r="H15" t="s">
        <v>35</v>
      </c>
      <c r="I15" t="s">
        <v>122</v>
      </c>
      <c r="J15" t="s">
        <v>123</v>
      </c>
      <c r="K15" t="s">
        <v>102</v>
      </c>
      <c r="L15" t="s">
        <v>56</v>
      </c>
      <c r="M15" t="s">
        <v>88</v>
      </c>
      <c r="N15" t="s">
        <v>89</v>
      </c>
      <c r="O15" t="s">
        <v>90</v>
      </c>
      <c r="P15">
        <v>5</v>
      </c>
      <c r="Q15" t="b">
        <v>1</v>
      </c>
      <c r="R15" s="1">
        <v>43937.127083333333</v>
      </c>
      <c r="S15" s="1">
        <v>43941.656944444447</v>
      </c>
      <c r="T15" t="s">
        <v>60</v>
      </c>
      <c r="U15" t="b">
        <v>0</v>
      </c>
      <c r="V15" s="2">
        <v>43937.127083333333</v>
      </c>
      <c r="W15">
        <v>4</v>
      </c>
      <c r="X15">
        <v>2020</v>
      </c>
      <c r="Y15" t="s">
        <v>35</v>
      </c>
      <c r="Z15">
        <v>5</v>
      </c>
    </row>
    <row r="16" spans="1:26" x14ac:dyDescent="0.45">
      <c r="A16">
        <v>2015</v>
      </c>
      <c r="B16">
        <v>1152</v>
      </c>
      <c r="C16" t="s">
        <v>124</v>
      </c>
      <c r="D16" t="s">
        <v>22</v>
      </c>
      <c r="E16">
        <v>38</v>
      </c>
      <c r="F16">
        <v>698</v>
      </c>
      <c r="G16" t="s">
        <v>125</v>
      </c>
      <c r="H16" t="s">
        <v>85</v>
      </c>
      <c r="I16" t="s">
        <v>86</v>
      </c>
      <c r="J16" t="s">
        <v>87</v>
      </c>
      <c r="K16" t="s">
        <v>66</v>
      </c>
      <c r="L16" t="s">
        <v>76</v>
      </c>
      <c r="M16" t="s">
        <v>126</v>
      </c>
      <c r="N16" t="s">
        <v>98</v>
      </c>
      <c r="O16" t="s">
        <v>99</v>
      </c>
      <c r="P16">
        <v>1</v>
      </c>
      <c r="Q16" t="b">
        <v>1</v>
      </c>
      <c r="R16" s="1">
        <v>43990.658333333333</v>
      </c>
      <c r="S16" s="1">
        <v>43992.949305555558</v>
      </c>
      <c r="T16" t="s">
        <v>40</v>
      </c>
      <c r="U16" t="b">
        <v>0</v>
      </c>
      <c r="V16" s="2">
        <v>43990.658333333333</v>
      </c>
      <c r="W16">
        <v>6</v>
      </c>
      <c r="X16">
        <v>2020</v>
      </c>
      <c r="Y16" t="s">
        <v>85</v>
      </c>
      <c r="Z16">
        <v>1</v>
      </c>
    </row>
    <row r="17" spans="1:26" x14ac:dyDescent="0.45">
      <c r="A17">
        <v>2016</v>
      </c>
      <c r="B17">
        <v>1045</v>
      </c>
      <c r="C17" t="s">
        <v>127</v>
      </c>
      <c r="D17" t="s">
        <v>42</v>
      </c>
      <c r="E17">
        <v>26</v>
      </c>
      <c r="F17">
        <v>616</v>
      </c>
      <c r="G17" t="s">
        <v>128</v>
      </c>
      <c r="H17" t="s">
        <v>129</v>
      </c>
      <c r="I17" t="s">
        <v>130</v>
      </c>
      <c r="J17" t="s">
        <v>131</v>
      </c>
      <c r="K17" t="s">
        <v>46</v>
      </c>
      <c r="L17" t="s">
        <v>76</v>
      </c>
      <c r="M17" t="s">
        <v>132</v>
      </c>
      <c r="N17" t="s">
        <v>59</v>
      </c>
      <c r="O17" t="s">
        <v>98</v>
      </c>
      <c r="P17">
        <v>4</v>
      </c>
      <c r="Q17" t="b">
        <v>0</v>
      </c>
      <c r="R17" s="1">
        <v>43955.482638888891</v>
      </c>
      <c r="V17" s="2">
        <v>43955.482638888891</v>
      </c>
      <c r="W17">
        <v>5</v>
      </c>
      <c r="X17">
        <v>2020</v>
      </c>
      <c r="Y17" t="s">
        <v>129</v>
      </c>
      <c r="Z17">
        <v>4</v>
      </c>
    </row>
    <row r="18" spans="1:26" x14ac:dyDescent="0.45">
      <c r="A18">
        <v>2017</v>
      </c>
      <c r="B18">
        <v>1454</v>
      </c>
      <c r="C18" t="s">
        <v>133</v>
      </c>
      <c r="D18" t="s">
        <v>42</v>
      </c>
      <c r="E18">
        <v>79</v>
      </c>
      <c r="F18">
        <v>745</v>
      </c>
      <c r="G18" t="s">
        <v>134</v>
      </c>
      <c r="H18" t="s">
        <v>35</v>
      </c>
      <c r="I18" t="s">
        <v>122</v>
      </c>
      <c r="J18" t="s">
        <v>135</v>
      </c>
      <c r="K18" t="s">
        <v>46</v>
      </c>
      <c r="L18" t="s">
        <v>96</v>
      </c>
      <c r="M18" t="s">
        <v>136</v>
      </c>
      <c r="N18" t="s">
        <v>30</v>
      </c>
      <c r="O18" t="s">
        <v>137</v>
      </c>
      <c r="P18">
        <v>5</v>
      </c>
      <c r="Q18" t="b">
        <v>0</v>
      </c>
      <c r="R18" s="1">
        <v>43964.445833333331</v>
      </c>
      <c r="V18" s="2">
        <v>43964.445833333331</v>
      </c>
      <c r="W18">
        <v>5</v>
      </c>
      <c r="X18">
        <v>2020</v>
      </c>
      <c r="Y18" t="s">
        <v>35</v>
      </c>
      <c r="Z18">
        <v>5</v>
      </c>
    </row>
    <row r="19" spans="1:26" x14ac:dyDescent="0.45">
      <c r="A19">
        <v>2018</v>
      </c>
      <c r="B19">
        <v>1352</v>
      </c>
      <c r="C19" t="s">
        <v>138</v>
      </c>
      <c r="D19" t="s">
        <v>22</v>
      </c>
      <c r="E19">
        <v>28</v>
      </c>
      <c r="F19">
        <v>699</v>
      </c>
      <c r="G19" t="s">
        <v>139</v>
      </c>
      <c r="H19" t="s">
        <v>73</v>
      </c>
      <c r="I19" t="s">
        <v>140</v>
      </c>
      <c r="J19" t="s">
        <v>141</v>
      </c>
      <c r="K19" t="s">
        <v>27</v>
      </c>
      <c r="L19" t="s">
        <v>28</v>
      </c>
      <c r="M19" t="s">
        <v>142</v>
      </c>
      <c r="N19" t="s">
        <v>143</v>
      </c>
      <c r="O19" t="s">
        <v>144</v>
      </c>
      <c r="P19">
        <v>3</v>
      </c>
      <c r="Q19" t="b">
        <v>1</v>
      </c>
      <c r="R19" s="1">
        <v>44897.693749999999</v>
      </c>
      <c r="S19" s="1">
        <v>44900.291666666664</v>
      </c>
      <c r="T19" t="s">
        <v>109</v>
      </c>
      <c r="U19" t="b">
        <v>0</v>
      </c>
      <c r="V19" s="2">
        <v>44897.693749999999</v>
      </c>
      <c r="W19">
        <v>12</v>
      </c>
      <c r="X19">
        <v>2022</v>
      </c>
      <c r="Y19" t="s">
        <v>73</v>
      </c>
      <c r="Z19">
        <v>3</v>
      </c>
    </row>
    <row r="20" spans="1:26" x14ac:dyDescent="0.45">
      <c r="A20">
        <v>2019</v>
      </c>
      <c r="B20">
        <v>1452</v>
      </c>
      <c r="C20" t="s">
        <v>145</v>
      </c>
      <c r="D20" t="s">
        <v>42</v>
      </c>
      <c r="E20">
        <v>48</v>
      </c>
      <c r="F20">
        <v>725</v>
      </c>
      <c r="G20" t="s">
        <v>146</v>
      </c>
      <c r="H20" t="s">
        <v>93</v>
      </c>
      <c r="I20" t="s">
        <v>112</v>
      </c>
      <c r="J20" t="s">
        <v>147</v>
      </c>
      <c r="K20" t="s">
        <v>102</v>
      </c>
      <c r="L20" t="s">
        <v>28</v>
      </c>
      <c r="M20" t="s">
        <v>142</v>
      </c>
      <c r="N20" t="s">
        <v>143</v>
      </c>
      <c r="O20" t="s">
        <v>144</v>
      </c>
      <c r="P20">
        <v>5</v>
      </c>
      <c r="Q20" t="b">
        <v>1</v>
      </c>
      <c r="R20" s="1">
        <v>43916.763888888891</v>
      </c>
      <c r="S20" s="1">
        <v>43923.193749999999</v>
      </c>
      <c r="T20" t="s">
        <v>109</v>
      </c>
      <c r="U20" t="b">
        <v>0</v>
      </c>
      <c r="V20" s="2">
        <v>43916.763888888891</v>
      </c>
      <c r="W20">
        <v>3</v>
      </c>
      <c r="X20">
        <v>2020</v>
      </c>
      <c r="Y20" t="s">
        <v>93</v>
      </c>
      <c r="Z20">
        <v>5</v>
      </c>
    </row>
    <row r="21" spans="1:26" x14ac:dyDescent="0.45">
      <c r="A21">
        <v>2020</v>
      </c>
      <c r="B21">
        <v>1144</v>
      </c>
      <c r="C21" t="s">
        <v>148</v>
      </c>
      <c r="D21" t="s">
        <v>42</v>
      </c>
      <c r="E21">
        <v>69</v>
      </c>
      <c r="F21">
        <v>743</v>
      </c>
      <c r="G21" t="s">
        <v>149</v>
      </c>
      <c r="H21" t="s">
        <v>52</v>
      </c>
      <c r="I21" t="s">
        <v>150</v>
      </c>
      <c r="J21" t="s">
        <v>151</v>
      </c>
      <c r="K21" t="s">
        <v>66</v>
      </c>
      <c r="L21" t="s">
        <v>76</v>
      </c>
      <c r="M21" t="s">
        <v>126</v>
      </c>
      <c r="N21" t="s">
        <v>98</v>
      </c>
      <c r="O21" t="s">
        <v>99</v>
      </c>
      <c r="P21">
        <v>5</v>
      </c>
      <c r="Q21" t="b">
        <v>0</v>
      </c>
      <c r="R21" s="1">
        <v>44873.545138888891</v>
      </c>
      <c r="V21" s="2">
        <v>44873.545138888891</v>
      </c>
      <c r="W21">
        <v>11</v>
      </c>
      <c r="X21">
        <v>2022</v>
      </c>
      <c r="Y21" t="s">
        <v>52</v>
      </c>
      <c r="Z21">
        <v>5</v>
      </c>
    </row>
    <row r="22" spans="1:26" x14ac:dyDescent="0.45">
      <c r="A22">
        <v>2021</v>
      </c>
      <c r="B22">
        <v>1218</v>
      </c>
      <c r="C22" t="s">
        <v>152</v>
      </c>
      <c r="D22" t="s">
        <v>22</v>
      </c>
      <c r="E22">
        <v>71</v>
      </c>
      <c r="F22">
        <v>752</v>
      </c>
      <c r="G22" t="s">
        <v>153</v>
      </c>
      <c r="H22" t="s">
        <v>85</v>
      </c>
      <c r="I22" t="s">
        <v>116</v>
      </c>
      <c r="J22" t="s">
        <v>154</v>
      </c>
      <c r="K22" t="s">
        <v>55</v>
      </c>
      <c r="L22" t="s">
        <v>56</v>
      </c>
      <c r="M22" t="s">
        <v>88</v>
      </c>
      <c r="N22" t="s">
        <v>89</v>
      </c>
      <c r="O22" t="s">
        <v>90</v>
      </c>
      <c r="P22">
        <v>2</v>
      </c>
      <c r="Q22" t="b">
        <v>1</v>
      </c>
      <c r="R22" s="1">
        <v>44048.882638888892</v>
      </c>
      <c r="S22" s="1">
        <v>44055.48333333333</v>
      </c>
      <c r="T22" t="s">
        <v>60</v>
      </c>
      <c r="U22" t="b">
        <v>0</v>
      </c>
      <c r="V22" s="2">
        <v>44048.882638888892</v>
      </c>
      <c r="W22">
        <v>8</v>
      </c>
      <c r="X22">
        <v>2020</v>
      </c>
      <c r="Y22" t="s">
        <v>85</v>
      </c>
      <c r="Z22">
        <v>2</v>
      </c>
    </row>
    <row r="23" spans="1:26" x14ac:dyDescent="0.45">
      <c r="A23">
        <v>2022</v>
      </c>
      <c r="B23">
        <v>1029</v>
      </c>
      <c r="C23" t="s">
        <v>155</v>
      </c>
      <c r="D23" t="s">
        <v>42</v>
      </c>
      <c r="E23">
        <v>60</v>
      </c>
      <c r="F23">
        <v>757</v>
      </c>
      <c r="G23" t="s">
        <v>156</v>
      </c>
      <c r="H23" t="s">
        <v>73</v>
      </c>
      <c r="I23" t="s">
        <v>74</v>
      </c>
      <c r="J23" t="s">
        <v>157</v>
      </c>
      <c r="K23" t="s">
        <v>102</v>
      </c>
      <c r="L23" t="s">
        <v>76</v>
      </c>
      <c r="M23" t="s">
        <v>132</v>
      </c>
      <c r="N23" t="s">
        <v>59</v>
      </c>
      <c r="O23" t="s">
        <v>98</v>
      </c>
      <c r="P23">
        <v>1</v>
      </c>
      <c r="Q23" t="b">
        <v>1</v>
      </c>
      <c r="R23" s="1">
        <v>44628.399305555555</v>
      </c>
      <c r="S23" s="1">
        <v>44635.193749999999</v>
      </c>
      <c r="T23" t="s">
        <v>40</v>
      </c>
      <c r="U23" t="b">
        <v>0</v>
      </c>
      <c r="V23" s="2">
        <v>44628.399305555555</v>
      </c>
      <c r="W23">
        <v>3</v>
      </c>
      <c r="X23">
        <v>2022</v>
      </c>
      <c r="Y23" t="s">
        <v>73</v>
      </c>
      <c r="Z23">
        <v>1</v>
      </c>
    </row>
    <row r="24" spans="1:26" x14ac:dyDescent="0.45">
      <c r="A24">
        <v>2023</v>
      </c>
      <c r="B24">
        <v>1171</v>
      </c>
      <c r="C24" t="s">
        <v>158</v>
      </c>
      <c r="D24" t="s">
        <v>42</v>
      </c>
      <c r="E24">
        <v>65</v>
      </c>
      <c r="F24">
        <v>746</v>
      </c>
      <c r="G24" t="s">
        <v>159</v>
      </c>
      <c r="H24" t="s">
        <v>52</v>
      </c>
      <c r="I24" t="s">
        <v>150</v>
      </c>
      <c r="J24" t="s">
        <v>151</v>
      </c>
      <c r="K24" t="s">
        <v>46</v>
      </c>
      <c r="L24" t="s">
        <v>76</v>
      </c>
      <c r="M24" t="s">
        <v>160</v>
      </c>
      <c r="N24" t="s">
        <v>79</v>
      </c>
      <c r="O24" t="s">
        <v>161</v>
      </c>
      <c r="P24">
        <v>2</v>
      </c>
      <c r="Q24" t="b">
        <v>0</v>
      </c>
      <c r="R24" s="1">
        <v>43861.15</v>
      </c>
      <c r="V24" s="2">
        <v>43861.15</v>
      </c>
      <c r="W24">
        <v>1</v>
      </c>
      <c r="X24">
        <v>2020</v>
      </c>
      <c r="Y24" t="s">
        <v>52</v>
      </c>
      <c r="Z24">
        <v>2</v>
      </c>
    </row>
    <row r="25" spans="1:26" x14ac:dyDescent="0.45">
      <c r="A25">
        <v>2024</v>
      </c>
      <c r="B25">
        <v>1101</v>
      </c>
      <c r="C25" t="s">
        <v>162</v>
      </c>
      <c r="D25" t="s">
        <v>42</v>
      </c>
      <c r="E25">
        <v>60</v>
      </c>
      <c r="F25">
        <v>755</v>
      </c>
      <c r="G25" t="s">
        <v>163</v>
      </c>
      <c r="H25" t="s">
        <v>63</v>
      </c>
      <c r="I25" t="s">
        <v>64</v>
      </c>
      <c r="J25" t="s">
        <v>164</v>
      </c>
      <c r="K25" t="s">
        <v>55</v>
      </c>
      <c r="L25" t="s">
        <v>67</v>
      </c>
      <c r="M25" t="s">
        <v>165</v>
      </c>
      <c r="N25" t="s">
        <v>166</v>
      </c>
      <c r="O25" t="s">
        <v>167</v>
      </c>
      <c r="P25">
        <v>3</v>
      </c>
      <c r="Q25" t="b">
        <v>1</v>
      </c>
      <c r="R25" s="1">
        <v>44539.943749999999</v>
      </c>
      <c r="S25" s="1">
        <v>44542.933333333334</v>
      </c>
      <c r="T25" t="s">
        <v>32</v>
      </c>
      <c r="U25" t="b">
        <v>0</v>
      </c>
      <c r="V25" s="2">
        <v>44539.943749999999</v>
      </c>
      <c r="W25">
        <v>12</v>
      </c>
      <c r="X25">
        <v>2021</v>
      </c>
      <c r="Y25" t="s">
        <v>63</v>
      </c>
      <c r="Z25">
        <v>3</v>
      </c>
    </row>
    <row r="26" spans="1:26" x14ac:dyDescent="0.45">
      <c r="A26">
        <v>2027</v>
      </c>
      <c r="B26">
        <v>1018</v>
      </c>
      <c r="C26" t="s">
        <v>168</v>
      </c>
      <c r="D26" t="s">
        <v>42</v>
      </c>
      <c r="E26">
        <v>49</v>
      </c>
      <c r="F26">
        <v>726</v>
      </c>
      <c r="G26" t="s">
        <v>169</v>
      </c>
      <c r="H26" t="s">
        <v>63</v>
      </c>
      <c r="I26" t="s">
        <v>64</v>
      </c>
      <c r="J26" t="s">
        <v>65</v>
      </c>
      <c r="K26" t="s">
        <v>102</v>
      </c>
      <c r="L26" t="s">
        <v>67</v>
      </c>
      <c r="M26" t="s">
        <v>165</v>
      </c>
      <c r="N26" t="s">
        <v>166</v>
      </c>
      <c r="O26" t="s">
        <v>167</v>
      </c>
      <c r="P26">
        <v>5</v>
      </c>
      <c r="Q26" t="b">
        <v>1</v>
      </c>
      <c r="R26" s="1">
        <v>44082.006249999999</v>
      </c>
      <c r="S26" s="1">
        <v>44083.77847222222</v>
      </c>
      <c r="T26" t="s">
        <v>109</v>
      </c>
      <c r="U26" t="b">
        <v>1</v>
      </c>
      <c r="V26" s="2">
        <v>44082.006249999999</v>
      </c>
      <c r="W26">
        <v>9</v>
      </c>
      <c r="X26">
        <v>2020</v>
      </c>
      <c r="Y26" t="s">
        <v>63</v>
      </c>
      <c r="Z26">
        <v>5</v>
      </c>
    </row>
    <row r="27" spans="1:26" x14ac:dyDescent="0.45">
      <c r="A27">
        <v>2028</v>
      </c>
      <c r="B27">
        <v>1240</v>
      </c>
      <c r="C27" t="s">
        <v>170</v>
      </c>
      <c r="D27" t="s">
        <v>42</v>
      </c>
      <c r="E27">
        <v>54</v>
      </c>
      <c r="F27">
        <v>739</v>
      </c>
      <c r="G27" t="s">
        <v>171</v>
      </c>
      <c r="H27" t="s">
        <v>172</v>
      </c>
      <c r="I27" t="s">
        <v>173</v>
      </c>
      <c r="J27" t="s">
        <v>174</v>
      </c>
      <c r="K27" t="s">
        <v>37</v>
      </c>
      <c r="L27" t="s">
        <v>67</v>
      </c>
      <c r="M27" t="s">
        <v>68</v>
      </c>
      <c r="N27" t="s">
        <v>69</v>
      </c>
      <c r="O27" t="s">
        <v>70</v>
      </c>
      <c r="P27">
        <v>3</v>
      </c>
      <c r="Q27" t="b">
        <v>1</v>
      </c>
      <c r="R27" s="1">
        <v>44309.229166666664</v>
      </c>
      <c r="S27" s="1">
        <v>44314.636111111111</v>
      </c>
      <c r="T27" t="s">
        <v>60</v>
      </c>
      <c r="U27" t="b">
        <v>0</v>
      </c>
      <c r="V27" s="2">
        <v>44309.229166666664</v>
      </c>
      <c r="W27">
        <v>4</v>
      </c>
      <c r="X27">
        <v>2021</v>
      </c>
      <c r="Y27" t="s">
        <v>172</v>
      </c>
      <c r="Z27">
        <v>3</v>
      </c>
    </row>
    <row r="28" spans="1:26" x14ac:dyDescent="0.45">
      <c r="A28">
        <v>2029</v>
      </c>
      <c r="B28">
        <v>1338</v>
      </c>
      <c r="C28" t="s">
        <v>175</v>
      </c>
      <c r="D28" t="s">
        <v>22</v>
      </c>
      <c r="E28">
        <v>35</v>
      </c>
      <c r="F28">
        <v>684</v>
      </c>
      <c r="G28" t="s">
        <v>176</v>
      </c>
      <c r="H28" t="s">
        <v>172</v>
      </c>
      <c r="I28" t="s">
        <v>177</v>
      </c>
      <c r="J28" t="s">
        <v>178</v>
      </c>
      <c r="K28" t="s">
        <v>37</v>
      </c>
      <c r="L28" t="s">
        <v>56</v>
      </c>
      <c r="M28" t="s">
        <v>179</v>
      </c>
      <c r="N28" t="s">
        <v>79</v>
      </c>
      <c r="O28" t="s">
        <v>161</v>
      </c>
      <c r="P28">
        <v>2</v>
      </c>
      <c r="Q28" t="b">
        <v>1</v>
      </c>
      <c r="R28" s="1">
        <v>44954.490972222222</v>
      </c>
      <c r="S28" s="1">
        <v>44958.831250000003</v>
      </c>
      <c r="T28" t="s">
        <v>40</v>
      </c>
      <c r="U28" t="b">
        <v>0</v>
      </c>
      <c r="V28" s="2">
        <v>44954.490972222222</v>
      </c>
      <c r="W28">
        <v>1</v>
      </c>
      <c r="X28">
        <v>2023</v>
      </c>
      <c r="Y28" t="s">
        <v>172</v>
      </c>
      <c r="Z28">
        <v>2</v>
      </c>
    </row>
    <row r="29" spans="1:26" x14ac:dyDescent="0.45">
      <c r="A29">
        <v>2030</v>
      </c>
      <c r="B29">
        <v>1385</v>
      </c>
      <c r="C29" t="s">
        <v>180</v>
      </c>
      <c r="D29" t="s">
        <v>22</v>
      </c>
      <c r="E29">
        <v>57</v>
      </c>
      <c r="F29">
        <v>732</v>
      </c>
      <c r="G29" t="s">
        <v>181</v>
      </c>
      <c r="H29" t="s">
        <v>85</v>
      </c>
      <c r="I29" t="s">
        <v>86</v>
      </c>
      <c r="J29" t="s">
        <v>182</v>
      </c>
      <c r="K29" t="s">
        <v>37</v>
      </c>
      <c r="L29" t="s">
        <v>76</v>
      </c>
      <c r="M29" t="s">
        <v>77</v>
      </c>
      <c r="N29" t="s">
        <v>78</v>
      </c>
      <c r="O29" t="s">
        <v>79</v>
      </c>
      <c r="P29">
        <v>4</v>
      </c>
      <c r="Q29" t="b">
        <v>1</v>
      </c>
      <c r="R29" s="1">
        <v>44007.848611111112</v>
      </c>
      <c r="S29" s="1">
        <v>44008.06527777778</v>
      </c>
      <c r="T29" t="s">
        <v>60</v>
      </c>
      <c r="U29" t="b">
        <v>0</v>
      </c>
      <c r="V29" s="2">
        <v>44007.848611111112</v>
      </c>
      <c r="W29">
        <v>6</v>
      </c>
      <c r="X29">
        <v>2020</v>
      </c>
      <c r="Y29" t="s">
        <v>85</v>
      </c>
      <c r="Z29">
        <v>4</v>
      </c>
    </row>
    <row r="30" spans="1:26" x14ac:dyDescent="0.45">
      <c r="A30">
        <v>2031</v>
      </c>
      <c r="B30">
        <v>1065</v>
      </c>
      <c r="C30" t="s">
        <v>183</v>
      </c>
      <c r="D30" t="s">
        <v>42</v>
      </c>
      <c r="E30">
        <v>23</v>
      </c>
      <c r="F30">
        <v>639</v>
      </c>
      <c r="G30" t="s">
        <v>184</v>
      </c>
      <c r="H30" t="s">
        <v>24</v>
      </c>
      <c r="I30" t="s">
        <v>44</v>
      </c>
      <c r="J30" t="s">
        <v>45</v>
      </c>
      <c r="K30" t="s">
        <v>27</v>
      </c>
      <c r="L30" t="s">
        <v>67</v>
      </c>
      <c r="M30" t="s">
        <v>68</v>
      </c>
      <c r="N30" t="s">
        <v>69</v>
      </c>
      <c r="O30" t="s">
        <v>70</v>
      </c>
      <c r="P30">
        <v>4</v>
      </c>
      <c r="Q30" t="b">
        <v>1</v>
      </c>
      <c r="R30" s="1">
        <v>44995.745138888888</v>
      </c>
      <c r="S30" s="1">
        <v>45000.818055555559</v>
      </c>
      <c r="T30" t="s">
        <v>109</v>
      </c>
      <c r="U30" t="b">
        <v>0</v>
      </c>
      <c r="V30" s="2">
        <v>44995.745138888888</v>
      </c>
      <c r="W30">
        <v>3</v>
      </c>
      <c r="X30">
        <v>2023</v>
      </c>
      <c r="Y30" t="s">
        <v>24</v>
      </c>
      <c r="Z30">
        <v>4</v>
      </c>
    </row>
    <row r="31" spans="1:26" x14ac:dyDescent="0.45">
      <c r="A31">
        <v>2032</v>
      </c>
      <c r="B31">
        <v>1445</v>
      </c>
      <c r="C31" t="s">
        <v>185</v>
      </c>
      <c r="D31" t="s">
        <v>22</v>
      </c>
      <c r="E31">
        <v>17</v>
      </c>
      <c r="H31" t="s">
        <v>85</v>
      </c>
      <c r="I31" t="s">
        <v>116</v>
      </c>
      <c r="J31" t="s">
        <v>117</v>
      </c>
      <c r="K31" t="s">
        <v>55</v>
      </c>
      <c r="L31" t="s">
        <v>96</v>
      </c>
      <c r="M31" t="s">
        <v>118</v>
      </c>
      <c r="N31" t="s">
        <v>90</v>
      </c>
      <c r="O31" t="s">
        <v>119</v>
      </c>
      <c r="P31">
        <v>1</v>
      </c>
      <c r="Q31" t="b">
        <v>1</v>
      </c>
      <c r="R31" s="1">
        <v>44112.59375</v>
      </c>
      <c r="S31" s="1">
        <v>44113.238194444442</v>
      </c>
      <c r="T31" t="s">
        <v>109</v>
      </c>
      <c r="U31" t="b">
        <v>0</v>
      </c>
      <c r="V31" s="2">
        <v>44112.59375</v>
      </c>
      <c r="W31">
        <v>10</v>
      </c>
      <c r="X31">
        <v>2020</v>
      </c>
      <c r="Y31" t="s">
        <v>85</v>
      </c>
      <c r="Z31">
        <v>1</v>
      </c>
    </row>
    <row r="32" spans="1:26" x14ac:dyDescent="0.45">
      <c r="A32">
        <v>2033</v>
      </c>
      <c r="B32">
        <v>1113</v>
      </c>
      <c r="C32" t="s">
        <v>186</v>
      </c>
      <c r="D32" t="s">
        <v>22</v>
      </c>
      <c r="E32">
        <v>73</v>
      </c>
      <c r="F32">
        <v>743</v>
      </c>
      <c r="G32" t="s">
        <v>187</v>
      </c>
      <c r="H32" t="s">
        <v>24</v>
      </c>
      <c r="I32" t="s">
        <v>25</v>
      </c>
      <c r="J32" t="s">
        <v>188</v>
      </c>
      <c r="K32" t="s">
        <v>55</v>
      </c>
      <c r="L32" t="s">
        <v>76</v>
      </c>
      <c r="M32" t="s">
        <v>132</v>
      </c>
      <c r="N32" t="s">
        <v>59</v>
      </c>
      <c r="O32" t="s">
        <v>98</v>
      </c>
      <c r="P32">
        <v>2</v>
      </c>
      <c r="Q32" t="b">
        <v>1</v>
      </c>
      <c r="R32" s="1">
        <v>43990.463194444441</v>
      </c>
      <c r="S32" s="1">
        <v>43996.887499999997</v>
      </c>
      <c r="T32" t="s">
        <v>32</v>
      </c>
      <c r="U32" t="b">
        <v>0</v>
      </c>
      <c r="V32" s="2">
        <v>43990.463194444441</v>
      </c>
      <c r="W32">
        <v>6</v>
      </c>
      <c r="X32">
        <v>2020</v>
      </c>
      <c r="Y32" t="s">
        <v>24</v>
      </c>
      <c r="Z32">
        <v>2</v>
      </c>
    </row>
    <row r="33" spans="1:26" x14ac:dyDescent="0.45">
      <c r="A33">
        <v>2034</v>
      </c>
      <c r="B33">
        <v>1267</v>
      </c>
      <c r="C33" t="s">
        <v>189</v>
      </c>
      <c r="D33" t="s">
        <v>22</v>
      </c>
      <c r="E33">
        <v>32</v>
      </c>
      <c r="F33">
        <v>687</v>
      </c>
      <c r="G33" t="s">
        <v>190</v>
      </c>
      <c r="H33" t="s">
        <v>63</v>
      </c>
      <c r="I33" t="s">
        <v>64</v>
      </c>
      <c r="J33" t="s">
        <v>164</v>
      </c>
      <c r="K33" t="s">
        <v>66</v>
      </c>
      <c r="L33" t="s">
        <v>96</v>
      </c>
      <c r="M33" t="s">
        <v>97</v>
      </c>
      <c r="N33" t="s">
        <v>98</v>
      </c>
      <c r="O33" t="s">
        <v>99</v>
      </c>
      <c r="P33">
        <v>5</v>
      </c>
      <c r="Q33" t="b">
        <v>1</v>
      </c>
      <c r="R33" s="1">
        <v>45228.618055555555</v>
      </c>
      <c r="S33" s="1">
        <v>45233.696527777778</v>
      </c>
      <c r="T33" t="s">
        <v>32</v>
      </c>
      <c r="U33" t="b">
        <v>0</v>
      </c>
      <c r="V33" s="2">
        <v>45228.618055555555</v>
      </c>
      <c r="W33">
        <v>10</v>
      </c>
      <c r="X33">
        <v>2023</v>
      </c>
      <c r="Y33" t="s">
        <v>63</v>
      </c>
      <c r="Z33">
        <v>5</v>
      </c>
    </row>
    <row r="34" spans="1:26" x14ac:dyDescent="0.45">
      <c r="A34">
        <v>2035</v>
      </c>
      <c r="B34">
        <v>1466</v>
      </c>
      <c r="C34" t="s">
        <v>191</v>
      </c>
      <c r="D34" t="s">
        <v>22</v>
      </c>
      <c r="E34">
        <v>73</v>
      </c>
      <c r="F34">
        <v>742</v>
      </c>
      <c r="G34" t="s">
        <v>192</v>
      </c>
      <c r="H34" t="s">
        <v>85</v>
      </c>
      <c r="I34" t="s">
        <v>116</v>
      </c>
      <c r="J34" t="s">
        <v>117</v>
      </c>
      <c r="K34" t="s">
        <v>66</v>
      </c>
      <c r="L34" t="s">
        <v>28</v>
      </c>
      <c r="M34" t="s">
        <v>142</v>
      </c>
      <c r="N34" t="s">
        <v>143</v>
      </c>
      <c r="O34" t="s">
        <v>144</v>
      </c>
      <c r="P34">
        <v>3</v>
      </c>
      <c r="Q34" t="b">
        <v>1</v>
      </c>
      <c r="R34" s="1">
        <v>44661.401388888888</v>
      </c>
      <c r="S34" s="1">
        <v>44665.461111111108</v>
      </c>
      <c r="T34" t="s">
        <v>60</v>
      </c>
      <c r="U34" t="b">
        <v>0</v>
      </c>
      <c r="V34" s="2">
        <v>44661.401388888888</v>
      </c>
      <c r="W34">
        <v>4</v>
      </c>
      <c r="X34">
        <v>2022</v>
      </c>
      <c r="Y34" t="s">
        <v>85</v>
      </c>
      <c r="Z34">
        <v>3</v>
      </c>
    </row>
    <row r="35" spans="1:26" x14ac:dyDescent="0.45">
      <c r="A35">
        <v>2036</v>
      </c>
      <c r="B35">
        <v>1468</v>
      </c>
      <c r="C35" t="s">
        <v>193</v>
      </c>
      <c r="D35" t="s">
        <v>22</v>
      </c>
      <c r="E35">
        <v>62</v>
      </c>
      <c r="F35">
        <v>756</v>
      </c>
      <c r="G35" t="s">
        <v>194</v>
      </c>
      <c r="H35" t="s">
        <v>73</v>
      </c>
      <c r="I35" t="s">
        <v>74</v>
      </c>
      <c r="J35" t="s">
        <v>157</v>
      </c>
      <c r="K35" t="s">
        <v>37</v>
      </c>
      <c r="L35" t="s">
        <v>67</v>
      </c>
      <c r="M35" t="s">
        <v>108</v>
      </c>
      <c r="N35" t="s">
        <v>99</v>
      </c>
      <c r="O35" t="s">
        <v>30</v>
      </c>
      <c r="P35">
        <v>1</v>
      </c>
      <c r="Q35" t="b">
        <v>1</v>
      </c>
      <c r="R35" s="1">
        <v>44328.411805555559</v>
      </c>
      <c r="S35" s="1">
        <v>44330.156944444447</v>
      </c>
      <c r="T35" t="s">
        <v>32</v>
      </c>
      <c r="U35" t="b">
        <v>0</v>
      </c>
      <c r="V35" s="2">
        <v>44328.411805555559</v>
      </c>
      <c r="W35">
        <v>5</v>
      </c>
      <c r="X35">
        <v>2021</v>
      </c>
      <c r="Y35" t="s">
        <v>73</v>
      </c>
      <c r="Z35">
        <v>1</v>
      </c>
    </row>
    <row r="36" spans="1:26" x14ac:dyDescent="0.45">
      <c r="A36">
        <v>2038</v>
      </c>
      <c r="B36">
        <v>1498</v>
      </c>
      <c r="C36" t="s">
        <v>195</v>
      </c>
      <c r="D36" t="s">
        <v>42</v>
      </c>
      <c r="E36">
        <v>17</v>
      </c>
      <c r="H36" t="s">
        <v>52</v>
      </c>
      <c r="I36" t="s">
        <v>53</v>
      </c>
      <c r="J36" t="s">
        <v>196</v>
      </c>
      <c r="K36" t="s">
        <v>102</v>
      </c>
      <c r="L36" t="s">
        <v>56</v>
      </c>
      <c r="M36" t="s">
        <v>197</v>
      </c>
      <c r="N36" t="s">
        <v>198</v>
      </c>
      <c r="O36" t="s">
        <v>199</v>
      </c>
      <c r="P36">
        <v>3</v>
      </c>
      <c r="Q36" t="b">
        <v>1</v>
      </c>
      <c r="R36" s="1">
        <v>45238.731944444444</v>
      </c>
      <c r="S36" s="1">
        <v>45240.749305555553</v>
      </c>
      <c r="T36" t="s">
        <v>32</v>
      </c>
      <c r="U36" t="b">
        <v>0</v>
      </c>
      <c r="V36" s="2">
        <v>45238.731944444444</v>
      </c>
      <c r="W36">
        <v>11</v>
      </c>
      <c r="X36">
        <v>2023</v>
      </c>
      <c r="Y36" t="s">
        <v>52</v>
      </c>
      <c r="Z36">
        <v>3</v>
      </c>
    </row>
    <row r="37" spans="1:26" x14ac:dyDescent="0.45">
      <c r="A37">
        <v>2039</v>
      </c>
      <c r="B37">
        <v>1172</v>
      </c>
      <c r="C37" t="s">
        <v>200</v>
      </c>
      <c r="D37" t="s">
        <v>22</v>
      </c>
      <c r="E37">
        <v>18</v>
      </c>
      <c r="F37">
        <v>653</v>
      </c>
      <c r="G37" t="s">
        <v>201</v>
      </c>
      <c r="H37" t="s">
        <v>172</v>
      </c>
      <c r="I37" t="s">
        <v>177</v>
      </c>
      <c r="J37" t="s">
        <v>202</v>
      </c>
      <c r="K37" t="s">
        <v>66</v>
      </c>
      <c r="L37" t="s">
        <v>96</v>
      </c>
      <c r="M37" t="s">
        <v>136</v>
      </c>
      <c r="N37" t="s">
        <v>30</v>
      </c>
      <c r="O37" t="s">
        <v>137</v>
      </c>
      <c r="P37">
        <v>3</v>
      </c>
      <c r="Q37" t="b">
        <v>1</v>
      </c>
      <c r="R37" s="1">
        <v>44823.018055555556</v>
      </c>
      <c r="S37" s="1">
        <v>44826.668055555558</v>
      </c>
      <c r="T37" t="s">
        <v>60</v>
      </c>
      <c r="U37" t="b">
        <v>0</v>
      </c>
      <c r="V37" s="2">
        <v>44823.018055555556</v>
      </c>
      <c r="W37">
        <v>9</v>
      </c>
      <c r="X37">
        <v>2022</v>
      </c>
      <c r="Y37" t="s">
        <v>172</v>
      </c>
      <c r="Z37">
        <v>3</v>
      </c>
    </row>
    <row r="38" spans="1:26" x14ac:dyDescent="0.45">
      <c r="A38">
        <v>2040</v>
      </c>
      <c r="B38">
        <v>1404</v>
      </c>
      <c r="C38" t="s">
        <v>203</v>
      </c>
      <c r="D38" t="s">
        <v>42</v>
      </c>
      <c r="E38">
        <v>77</v>
      </c>
      <c r="F38">
        <v>758</v>
      </c>
      <c r="G38" t="s">
        <v>204</v>
      </c>
      <c r="H38" t="s">
        <v>52</v>
      </c>
      <c r="I38" t="s">
        <v>150</v>
      </c>
      <c r="J38" t="s">
        <v>205</v>
      </c>
      <c r="K38" t="s">
        <v>27</v>
      </c>
      <c r="L38" t="s">
        <v>76</v>
      </c>
      <c r="M38" t="s">
        <v>160</v>
      </c>
      <c r="N38" t="s">
        <v>79</v>
      </c>
      <c r="O38" t="s">
        <v>161</v>
      </c>
      <c r="P38">
        <v>1</v>
      </c>
      <c r="Q38" t="b">
        <v>1</v>
      </c>
      <c r="R38" s="1">
        <v>43930.123611111114</v>
      </c>
      <c r="S38" s="1">
        <v>43931.782638888886</v>
      </c>
      <c r="T38" t="s">
        <v>60</v>
      </c>
      <c r="U38" t="b">
        <v>0</v>
      </c>
      <c r="V38" s="2">
        <v>43930.123611111114</v>
      </c>
      <c r="W38">
        <v>4</v>
      </c>
      <c r="X38">
        <v>2020</v>
      </c>
      <c r="Y38" t="s">
        <v>52</v>
      </c>
      <c r="Z38">
        <v>1</v>
      </c>
    </row>
    <row r="39" spans="1:26" x14ac:dyDescent="0.45">
      <c r="A39">
        <v>2041</v>
      </c>
      <c r="B39">
        <v>1373</v>
      </c>
      <c r="C39" t="s">
        <v>206</v>
      </c>
      <c r="D39" t="s">
        <v>42</v>
      </c>
      <c r="E39">
        <v>55</v>
      </c>
      <c r="F39">
        <v>707</v>
      </c>
      <c r="G39" t="s">
        <v>207</v>
      </c>
      <c r="H39" t="s">
        <v>24</v>
      </c>
      <c r="I39" t="s">
        <v>44</v>
      </c>
      <c r="J39" t="s">
        <v>208</v>
      </c>
      <c r="K39" t="s">
        <v>55</v>
      </c>
      <c r="L39" t="s">
        <v>96</v>
      </c>
      <c r="M39" t="s">
        <v>103</v>
      </c>
      <c r="N39" t="s">
        <v>31</v>
      </c>
      <c r="O39" t="s">
        <v>104</v>
      </c>
      <c r="P39">
        <v>3</v>
      </c>
      <c r="Q39" t="b">
        <v>1</v>
      </c>
      <c r="R39" s="1">
        <v>44432.455555555556</v>
      </c>
      <c r="S39" s="1">
        <v>44435.158333333333</v>
      </c>
      <c r="T39" t="s">
        <v>32</v>
      </c>
      <c r="U39" t="b">
        <v>0</v>
      </c>
      <c r="V39" s="2">
        <v>44432.455555555556</v>
      </c>
      <c r="W39">
        <v>8</v>
      </c>
      <c r="X39">
        <v>2021</v>
      </c>
      <c r="Y39" t="s">
        <v>24</v>
      </c>
      <c r="Z39">
        <v>3</v>
      </c>
    </row>
    <row r="40" spans="1:26" x14ac:dyDescent="0.45">
      <c r="A40">
        <v>2042</v>
      </c>
      <c r="B40">
        <v>1472</v>
      </c>
      <c r="C40" t="s">
        <v>209</v>
      </c>
      <c r="D40" t="s">
        <v>42</v>
      </c>
      <c r="E40">
        <v>46</v>
      </c>
      <c r="F40">
        <v>733</v>
      </c>
      <c r="G40" t="s">
        <v>210</v>
      </c>
      <c r="H40" t="s">
        <v>63</v>
      </c>
      <c r="I40" t="s">
        <v>64</v>
      </c>
      <c r="J40" t="s">
        <v>164</v>
      </c>
      <c r="K40" t="s">
        <v>27</v>
      </c>
      <c r="L40" t="s">
        <v>96</v>
      </c>
      <c r="M40" t="s">
        <v>118</v>
      </c>
      <c r="N40" t="s">
        <v>90</v>
      </c>
      <c r="O40" t="s">
        <v>119</v>
      </c>
      <c r="P40">
        <v>4</v>
      </c>
      <c r="Q40" t="b">
        <v>1</v>
      </c>
      <c r="R40" s="1">
        <v>44167.631249999999</v>
      </c>
      <c r="S40" s="1">
        <v>44173.554166666669</v>
      </c>
      <c r="T40" t="s">
        <v>109</v>
      </c>
      <c r="U40" t="b">
        <v>0</v>
      </c>
      <c r="V40" s="2">
        <v>44167.631249999999</v>
      </c>
      <c r="W40">
        <v>12</v>
      </c>
      <c r="X40">
        <v>2020</v>
      </c>
      <c r="Y40" t="s">
        <v>63</v>
      </c>
      <c r="Z40">
        <v>4</v>
      </c>
    </row>
    <row r="41" spans="1:26" x14ac:dyDescent="0.45">
      <c r="A41">
        <v>2043</v>
      </c>
      <c r="B41">
        <v>1383</v>
      </c>
      <c r="C41" t="s">
        <v>211</v>
      </c>
      <c r="D41" t="s">
        <v>42</v>
      </c>
      <c r="E41">
        <v>44</v>
      </c>
      <c r="F41">
        <v>713</v>
      </c>
      <c r="G41" t="s">
        <v>212</v>
      </c>
      <c r="H41" t="s">
        <v>73</v>
      </c>
      <c r="I41" t="s">
        <v>140</v>
      </c>
      <c r="J41" t="s">
        <v>213</v>
      </c>
      <c r="K41" t="s">
        <v>102</v>
      </c>
      <c r="L41" t="s">
        <v>28</v>
      </c>
      <c r="M41" t="s">
        <v>142</v>
      </c>
      <c r="N41" t="s">
        <v>143</v>
      </c>
      <c r="O41" t="s">
        <v>144</v>
      </c>
      <c r="P41">
        <v>3</v>
      </c>
      <c r="Q41" t="b">
        <v>1</v>
      </c>
      <c r="R41" s="1">
        <v>44539.363194444442</v>
      </c>
      <c r="S41" s="1">
        <v>44540.70208333333</v>
      </c>
      <c r="T41" t="s">
        <v>109</v>
      </c>
      <c r="U41" t="b">
        <v>0</v>
      </c>
      <c r="V41" s="2">
        <v>44539.363194444442</v>
      </c>
      <c r="W41">
        <v>12</v>
      </c>
      <c r="X41">
        <v>2021</v>
      </c>
      <c r="Y41" t="s">
        <v>73</v>
      </c>
      <c r="Z41">
        <v>3</v>
      </c>
    </row>
    <row r="42" spans="1:26" x14ac:dyDescent="0.45">
      <c r="A42">
        <v>2044</v>
      </c>
      <c r="B42">
        <v>1202</v>
      </c>
      <c r="C42" t="s">
        <v>214</v>
      </c>
      <c r="D42" t="s">
        <v>22</v>
      </c>
      <c r="E42">
        <v>57</v>
      </c>
      <c r="F42">
        <v>716</v>
      </c>
      <c r="G42" t="s">
        <v>215</v>
      </c>
      <c r="H42" t="s">
        <v>63</v>
      </c>
      <c r="I42" t="s">
        <v>64</v>
      </c>
      <c r="J42" t="s">
        <v>164</v>
      </c>
      <c r="K42" t="s">
        <v>102</v>
      </c>
      <c r="L42" t="s">
        <v>67</v>
      </c>
      <c r="M42" t="s">
        <v>68</v>
      </c>
      <c r="N42" t="s">
        <v>69</v>
      </c>
      <c r="O42" t="s">
        <v>70</v>
      </c>
      <c r="P42">
        <v>2</v>
      </c>
      <c r="Q42" t="b">
        <v>1</v>
      </c>
      <c r="R42" s="1">
        <v>43904.51458333333</v>
      </c>
      <c r="S42" s="1">
        <v>43911.179166666669</v>
      </c>
      <c r="T42" t="s">
        <v>32</v>
      </c>
      <c r="U42" t="b">
        <v>0</v>
      </c>
      <c r="V42" s="2">
        <v>43904.51458333333</v>
      </c>
      <c r="W42">
        <v>3</v>
      </c>
      <c r="X42">
        <v>2020</v>
      </c>
      <c r="Y42" t="s">
        <v>63</v>
      </c>
      <c r="Z42">
        <v>2</v>
      </c>
    </row>
    <row r="43" spans="1:26" x14ac:dyDescent="0.45">
      <c r="A43">
        <v>2045</v>
      </c>
      <c r="B43">
        <v>1424</v>
      </c>
      <c r="C43" t="s">
        <v>216</v>
      </c>
      <c r="D43" t="s">
        <v>42</v>
      </c>
      <c r="E43">
        <v>31</v>
      </c>
      <c r="F43">
        <v>689</v>
      </c>
      <c r="G43" t="s">
        <v>217</v>
      </c>
      <c r="H43" t="s">
        <v>85</v>
      </c>
      <c r="I43" t="s">
        <v>86</v>
      </c>
      <c r="J43" t="s">
        <v>182</v>
      </c>
      <c r="K43" t="s">
        <v>27</v>
      </c>
      <c r="L43" t="s">
        <v>56</v>
      </c>
      <c r="M43" t="s">
        <v>197</v>
      </c>
      <c r="N43" t="s">
        <v>198</v>
      </c>
      <c r="O43" t="s">
        <v>199</v>
      </c>
      <c r="P43">
        <v>3</v>
      </c>
      <c r="Q43" t="b">
        <v>0</v>
      </c>
      <c r="R43" s="1">
        <v>44183.010416666664</v>
      </c>
      <c r="V43" s="2">
        <v>44183.010416666664</v>
      </c>
      <c r="W43">
        <v>12</v>
      </c>
      <c r="X43">
        <v>2020</v>
      </c>
      <c r="Y43" t="s">
        <v>85</v>
      </c>
      <c r="Z43">
        <v>3</v>
      </c>
    </row>
    <row r="44" spans="1:26" x14ac:dyDescent="0.45">
      <c r="A44">
        <v>2047</v>
      </c>
      <c r="B44">
        <v>1281</v>
      </c>
      <c r="C44" t="s">
        <v>218</v>
      </c>
      <c r="D44" t="s">
        <v>42</v>
      </c>
      <c r="E44">
        <v>77</v>
      </c>
      <c r="F44">
        <v>749</v>
      </c>
      <c r="G44" t="s">
        <v>219</v>
      </c>
      <c r="H44" t="s">
        <v>73</v>
      </c>
      <c r="I44" t="s">
        <v>74</v>
      </c>
      <c r="J44" t="s">
        <v>157</v>
      </c>
      <c r="K44" t="s">
        <v>102</v>
      </c>
      <c r="L44" t="s">
        <v>96</v>
      </c>
      <c r="M44" t="s">
        <v>136</v>
      </c>
      <c r="N44" t="s">
        <v>30</v>
      </c>
      <c r="O44" t="s">
        <v>137</v>
      </c>
      <c r="P44">
        <v>3</v>
      </c>
      <c r="Q44" t="b">
        <v>1</v>
      </c>
      <c r="R44" s="1">
        <v>44600.498611111114</v>
      </c>
      <c r="S44" s="1">
        <v>44605.645138888889</v>
      </c>
      <c r="T44" t="s">
        <v>32</v>
      </c>
      <c r="U44" t="b">
        <v>0</v>
      </c>
      <c r="V44" s="2">
        <v>44600.498611111114</v>
      </c>
      <c r="W44">
        <v>2</v>
      </c>
      <c r="X44">
        <v>2022</v>
      </c>
      <c r="Y44" t="s">
        <v>73</v>
      </c>
      <c r="Z44">
        <v>3</v>
      </c>
    </row>
    <row r="45" spans="1:26" x14ac:dyDescent="0.45">
      <c r="A45">
        <v>2048</v>
      </c>
      <c r="B45">
        <v>1004</v>
      </c>
      <c r="C45" t="s">
        <v>220</v>
      </c>
      <c r="D45" t="s">
        <v>22</v>
      </c>
      <c r="E45">
        <v>33</v>
      </c>
      <c r="F45">
        <v>695</v>
      </c>
      <c r="G45" t="s">
        <v>221</v>
      </c>
      <c r="H45" t="s">
        <v>24</v>
      </c>
      <c r="I45" t="s">
        <v>25</v>
      </c>
      <c r="J45" t="s">
        <v>222</v>
      </c>
      <c r="K45" t="s">
        <v>46</v>
      </c>
      <c r="L45" t="s">
        <v>28</v>
      </c>
      <c r="M45" t="s">
        <v>47</v>
      </c>
      <c r="N45" t="s">
        <v>48</v>
      </c>
      <c r="O45" t="s">
        <v>49</v>
      </c>
      <c r="P45">
        <v>4</v>
      </c>
      <c r="Q45" t="b">
        <v>0</v>
      </c>
      <c r="R45" s="1">
        <v>45279.680555555555</v>
      </c>
      <c r="V45" s="2">
        <v>45279.680555555555</v>
      </c>
      <c r="W45">
        <v>12</v>
      </c>
      <c r="X45">
        <v>2023</v>
      </c>
      <c r="Y45" t="s">
        <v>24</v>
      </c>
      <c r="Z45">
        <v>4</v>
      </c>
    </row>
    <row r="46" spans="1:26" x14ac:dyDescent="0.45">
      <c r="A46">
        <v>2049</v>
      </c>
      <c r="B46">
        <v>1059</v>
      </c>
      <c r="C46" t="s">
        <v>223</v>
      </c>
      <c r="D46" t="s">
        <v>22</v>
      </c>
      <c r="E46">
        <v>37</v>
      </c>
      <c r="F46">
        <v>696</v>
      </c>
      <c r="G46" t="s">
        <v>224</v>
      </c>
      <c r="H46" t="s">
        <v>24</v>
      </c>
      <c r="I46" t="s">
        <v>44</v>
      </c>
      <c r="J46" t="s">
        <v>225</v>
      </c>
      <c r="K46" t="s">
        <v>46</v>
      </c>
      <c r="L46" t="s">
        <v>56</v>
      </c>
      <c r="M46" t="s">
        <v>197</v>
      </c>
      <c r="N46" t="s">
        <v>198</v>
      </c>
      <c r="O46" t="s">
        <v>199</v>
      </c>
      <c r="P46">
        <v>5</v>
      </c>
      <c r="Q46" t="b">
        <v>0</v>
      </c>
      <c r="R46" s="1">
        <v>44002.925000000003</v>
      </c>
      <c r="V46" s="2">
        <v>44002.925000000003</v>
      </c>
      <c r="W46">
        <v>6</v>
      </c>
      <c r="X46">
        <v>2020</v>
      </c>
      <c r="Y46" t="s">
        <v>24</v>
      </c>
      <c r="Z46">
        <v>5</v>
      </c>
    </row>
    <row r="47" spans="1:26" x14ac:dyDescent="0.45">
      <c r="A47">
        <v>2050</v>
      </c>
      <c r="B47">
        <v>1404</v>
      </c>
      <c r="C47" t="s">
        <v>203</v>
      </c>
      <c r="D47" t="s">
        <v>42</v>
      </c>
      <c r="E47">
        <v>77</v>
      </c>
      <c r="F47">
        <v>758</v>
      </c>
      <c r="G47" t="s">
        <v>204</v>
      </c>
      <c r="H47" t="s">
        <v>52</v>
      </c>
      <c r="I47" t="s">
        <v>150</v>
      </c>
      <c r="J47" t="s">
        <v>205</v>
      </c>
      <c r="K47" t="s">
        <v>37</v>
      </c>
      <c r="L47" t="s">
        <v>76</v>
      </c>
      <c r="M47" t="s">
        <v>77</v>
      </c>
      <c r="N47" t="s">
        <v>78</v>
      </c>
      <c r="O47" t="s">
        <v>79</v>
      </c>
      <c r="P47">
        <v>4</v>
      </c>
      <c r="Q47" t="b">
        <v>0</v>
      </c>
      <c r="R47" s="1">
        <v>45213.434027777781</v>
      </c>
      <c r="V47" s="2">
        <v>45213.434027777781</v>
      </c>
      <c r="W47">
        <v>10</v>
      </c>
      <c r="X47">
        <v>2023</v>
      </c>
      <c r="Y47" t="s">
        <v>52</v>
      </c>
      <c r="Z47">
        <v>4</v>
      </c>
    </row>
    <row r="48" spans="1:26" x14ac:dyDescent="0.45">
      <c r="A48">
        <v>2051</v>
      </c>
      <c r="B48">
        <v>1428</v>
      </c>
      <c r="C48" t="s">
        <v>226</v>
      </c>
      <c r="D48" t="s">
        <v>22</v>
      </c>
      <c r="E48">
        <v>66</v>
      </c>
      <c r="F48">
        <v>757</v>
      </c>
      <c r="G48" t="s">
        <v>227</v>
      </c>
      <c r="H48" t="s">
        <v>73</v>
      </c>
      <c r="I48" t="s">
        <v>140</v>
      </c>
      <c r="J48" t="s">
        <v>228</v>
      </c>
      <c r="K48" t="s">
        <v>27</v>
      </c>
      <c r="L48" t="s">
        <v>76</v>
      </c>
      <c r="M48" t="s">
        <v>132</v>
      </c>
      <c r="N48" t="s">
        <v>59</v>
      </c>
      <c r="O48" t="s">
        <v>98</v>
      </c>
      <c r="P48">
        <v>3</v>
      </c>
      <c r="Q48" t="b">
        <v>1</v>
      </c>
      <c r="R48" s="1">
        <v>44466.079861111109</v>
      </c>
      <c r="S48" s="1">
        <v>44471.315972222219</v>
      </c>
      <c r="T48" t="s">
        <v>109</v>
      </c>
      <c r="U48" t="b">
        <v>0</v>
      </c>
      <c r="V48" s="2">
        <v>44466.079861111109</v>
      </c>
      <c r="W48">
        <v>9</v>
      </c>
      <c r="X48">
        <v>2021</v>
      </c>
      <c r="Y48" t="s">
        <v>73</v>
      </c>
      <c r="Z48">
        <v>3</v>
      </c>
    </row>
    <row r="49" spans="1:26" x14ac:dyDescent="0.45">
      <c r="A49">
        <v>2052</v>
      </c>
      <c r="B49">
        <v>1469</v>
      </c>
      <c r="C49" t="s">
        <v>229</v>
      </c>
      <c r="D49" t="s">
        <v>42</v>
      </c>
      <c r="E49">
        <v>46</v>
      </c>
      <c r="F49">
        <v>707</v>
      </c>
      <c r="G49" t="s">
        <v>230</v>
      </c>
      <c r="H49" t="s">
        <v>52</v>
      </c>
      <c r="I49" t="s">
        <v>150</v>
      </c>
      <c r="J49" t="s">
        <v>151</v>
      </c>
      <c r="K49" t="s">
        <v>66</v>
      </c>
      <c r="L49" t="s">
        <v>28</v>
      </c>
      <c r="M49" t="s">
        <v>29</v>
      </c>
      <c r="N49" t="s">
        <v>30</v>
      </c>
      <c r="O49" t="s">
        <v>31</v>
      </c>
      <c r="P49">
        <v>2</v>
      </c>
      <c r="Q49" t="b">
        <v>1</v>
      </c>
      <c r="R49" s="1">
        <v>43889.71875</v>
      </c>
      <c r="S49" s="1">
        <v>43891.181944444441</v>
      </c>
      <c r="T49" t="s">
        <v>60</v>
      </c>
      <c r="U49" t="b">
        <v>0</v>
      </c>
      <c r="V49" s="2">
        <v>43889.71875</v>
      </c>
      <c r="W49">
        <v>2</v>
      </c>
      <c r="X49">
        <v>2020</v>
      </c>
      <c r="Y49" t="s">
        <v>52</v>
      </c>
      <c r="Z49">
        <v>2</v>
      </c>
    </row>
    <row r="50" spans="1:26" x14ac:dyDescent="0.45">
      <c r="A50">
        <v>2053</v>
      </c>
      <c r="B50">
        <v>1150</v>
      </c>
      <c r="C50" t="s">
        <v>231</v>
      </c>
      <c r="D50" t="s">
        <v>22</v>
      </c>
      <c r="E50">
        <v>49</v>
      </c>
      <c r="F50">
        <v>736</v>
      </c>
      <c r="G50" t="s">
        <v>232</v>
      </c>
      <c r="H50" t="s">
        <v>35</v>
      </c>
      <c r="I50" t="s">
        <v>122</v>
      </c>
      <c r="J50" t="s">
        <v>82</v>
      </c>
      <c r="K50" t="s">
        <v>102</v>
      </c>
      <c r="L50" t="s">
        <v>67</v>
      </c>
      <c r="M50" t="s">
        <v>233</v>
      </c>
      <c r="N50" t="s">
        <v>89</v>
      </c>
      <c r="O50" t="s">
        <v>90</v>
      </c>
      <c r="P50">
        <v>1</v>
      </c>
      <c r="Q50" t="b">
        <v>1</v>
      </c>
      <c r="R50" s="1">
        <v>44522.685416666667</v>
      </c>
      <c r="S50" s="1">
        <v>44524.74722222222</v>
      </c>
      <c r="T50" t="s">
        <v>40</v>
      </c>
      <c r="U50" t="b">
        <v>0</v>
      </c>
      <c r="V50" s="2">
        <v>44522.685416666667</v>
      </c>
      <c r="W50">
        <v>11</v>
      </c>
      <c r="X50">
        <v>2021</v>
      </c>
      <c r="Y50" t="s">
        <v>35</v>
      </c>
      <c r="Z50">
        <v>1</v>
      </c>
    </row>
    <row r="51" spans="1:26" x14ac:dyDescent="0.45">
      <c r="A51">
        <v>2054</v>
      </c>
      <c r="B51">
        <v>1471</v>
      </c>
      <c r="C51" t="s">
        <v>234</v>
      </c>
      <c r="D51" t="s">
        <v>22</v>
      </c>
      <c r="E51">
        <v>40</v>
      </c>
      <c r="F51">
        <v>686</v>
      </c>
      <c r="G51" t="s">
        <v>235</v>
      </c>
      <c r="H51" t="s">
        <v>85</v>
      </c>
      <c r="I51" t="s">
        <v>116</v>
      </c>
      <c r="J51" t="s">
        <v>117</v>
      </c>
      <c r="K51" t="s">
        <v>27</v>
      </c>
      <c r="L51" t="s">
        <v>96</v>
      </c>
      <c r="M51" t="s">
        <v>136</v>
      </c>
      <c r="N51" t="s">
        <v>30</v>
      </c>
      <c r="O51" t="s">
        <v>137</v>
      </c>
      <c r="P51">
        <v>3</v>
      </c>
      <c r="Q51" t="b">
        <v>1</v>
      </c>
      <c r="R51" s="1">
        <v>44433.663194444445</v>
      </c>
      <c r="S51" s="1">
        <v>44438.206250000003</v>
      </c>
      <c r="T51" t="s">
        <v>60</v>
      </c>
      <c r="U51" t="b">
        <v>0</v>
      </c>
      <c r="V51" s="2">
        <v>44433.663194444445</v>
      </c>
      <c r="W51">
        <v>8</v>
      </c>
      <c r="X51">
        <v>2021</v>
      </c>
      <c r="Y51" t="s">
        <v>85</v>
      </c>
      <c r="Z51">
        <v>3</v>
      </c>
    </row>
    <row r="52" spans="1:26" x14ac:dyDescent="0.45">
      <c r="A52">
        <v>2055</v>
      </c>
      <c r="B52">
        <v>1486</v>
      </c>
      <c r="C52" t="s">
        <v>236</v>
      </c>
      <c r="D52" t="s">
        <v>42</v>
      </c>
      <c r="E52">
        <v>29</v>
      </c>
      <c r="F52">
        <v>695</v>
      </c>
      <c r="G52" t="s">
        <v>237</v>
      </c>
      <c r="H52" t="s">
        <v>73</v>
      </c>
      <c r="I52" t="s">
        <v>74</v>
      </c>
      <c r="J52" t="s">
        <v>157</v>
      </c>
      <c r="K52" t="s">
        <v>102</v>
      </c>
      <c r="L52" t="s">
        <v>67</v>
      </c>
      <c r="M52" t="s">
        <v>108</v>
      </c>
      <c r="N52" t="s">
        <v>99</v>
      </c>
      <c r="O52" t="s">
        <v>30</v>
      </c>
      <c r="P52">
        <v>1</v>
      </c>
      <c r="Q52" t="b">
        <v>1</v>
      </c>
      <c r="R52" s="1">
        <v>44592.777083333334</v>
      </c>
      <c r="S52" s="1">
        <v>44596.612500000003</v>
      </c>
      <c r="T52" t="s">
        <v>60</v>
      </c>
      <c r="U52" t="b">
        <v>0</v>
      </c>
      <c r="V52" s="2">
        <v>44592.777083333334</v>
      </c>
      <c r="W52">
        <v>1</v>
      </c>
      <c r="X52">
        <v>2022</v>
      </c>
      <c r="Y52" t="s">
        <v>73</v>
      </c>
      <c r="Z52">
        <v>1</v>
      </c>
    </row>
    <row r="53" spans="1:26" x14ac:dyDescent="0.45">
      <c r="A53">
        <v>2056</v>
      </c>
      <c r="B53">
        <v>1094</v>
      </c>
      <c r="C53" t="s">
        <v>238</v>
      </c>
      <c r="D53" t="s">
        <v>42</v>
      </c>
      <c r="E53">
        <v>36</v>
      </c>
      <c r="F53">
        <v>683</v>
      </c>
      <c r="G53" t="s">
        <v>239</v>
      </c>
      <c r="H53" t="s">
        <v>172</v>
      </c>
      <c r="I53" t="s">
        <v>177</v>
      </c>
      <c r="J53" t="s">
        <v>178</v>
      </c>
      <c r="K53" t="s">
        <v>27</v>
      </c>
      <c r="L53" t="s">
        <v>76</v>
      </c>
      <c r="M53" t="s">
        <v>132</v>
      </c>
      <c r="N53" t="s">
        <v>59</v>
      </c>
      <c r="O53" t="s">
        <v>98</v>
      </c>
      <c r="P53">
        <v>4</v>
      </c>
      <c r="Q53" t="b">
        <v>0</v>
      </c>
      <c r="R53" s="1">
        <v>44545.609722222223</v>
      </c>
      <c r="V53" s="2">
        <v>44545.609722222223</v>
      </c>
      <c r="W53">
        <v>12</v>
      </c>
      <c r="X53">
        <v>2021</v>
      </c>
      <c r="Y53" t="s">
        <v>172</v>
      </c>
      <c r="Z53">
        <v>4</v>
      </c>
    </row>
    <row r="54" spans="1:26" x14ac:dyDescent="0.45">
      <c r="A54">
        <v>2057</v>
      </c>
      <c r="B54">
        <v>1369</v>
      </c>
      <c r="C54" t="s">
        <v>240</v>
      </c>
      <c r="D54" t="s">
        <v>42</v>
      </c>
      <c r="E54">
        <v>71</v>
      </c>
      <c r="F54">
        <v>758</v>
      </c>
      <c r="G54" t="s">
        <v>241</v>
      </c>
      <c r="H54" t="s">
        <v>93</v>
      </c>
      <c r="I54" t="s">
        <v>112</v>
      </c>
      <c r="J54" t="s">
        <v>242</v>
      </c>
      <c r="K54" t="s">
        <v>46</v>
      </c>
      <c r="L54" t="s">
        <v>96</v>
      </c>
      <c r="M54" t="s">
        <v>97</v>
      </c>
      <c r="N54" t="s">
        <v>98</v>
      </c>
      <c r="O54" t="s">
        <v>99</v>
      </c>
      <c r="P54">
        <v>5</v>
      </c>
      <c r="Q54" t="b">
        <v>1</v>
      </c>
      <c r="R54" s="1">
        <v>43961.315972222219</v>
      </c>
      <c r="S54" s="1">
        <v>43963.806944444441</v>
      </c>
      <c r="T54" t="s">
        <v>109</v>
      </c>
      <c r="U54" t="b">
        <v>0</v>
      </c>
      <c r="V54" s="2">
        <v>43961.315972222219</v>
      </c>
      <c r="W54">
        <v>5</v>
      </c>
      <c r="X54">
        <v>2020</v>
      </c>
      <c r="Y54" t="s">
        <v>93</v>
      </c>
      <c r="Z54">
        <v>5</v>
      </c>
    </row>
    <row r="55" spans="1:26" x14ac:dyDescent="0.45">
      <c r="A55">
        <v>2058</v>
      </c>
      <c r="B55">
        <v>1094</v>
      </c>
      <c r="C55" t="s">
        <v>238</v>
      </c>
      <c r="D55" t="s">
        <v>42</v>
      </c>
      <c r="E55">
        <v>36</v>
      </c>
      <c r="F55">
        <v>683</v>
      </c>
      <c r="G55" t="s">
        <v>239</v>
      </c>
      <c r="H55" t="s">
        <v>172</v>
      </c>
      <c r="I55" t="s">
        <v>177</v>
      </c>
      <c r="J55" t="s">
        <v>178</v>
      </c>
      <c r="K55" t="s">
        <v>66</v>
      </c>
      <c r="L55" t="s">
        <v>76</v>
      </c>
      <c r="M55" t="s">
        <v>132</v>
      </c>
      <c r="N55" t="s">
        <v>59</v>
      </c>
      <c r="O55" t="s">
        <v>98</v>
      </c>
      <c r="P55">
        <v>2</v>
      </c>
      <c r="Q55" t="b">
        <v>0</v>
      </c>
      <c r="R55" s="1">
        <v>44810.84097222222</v>
      </c>
      <c r="V55" s="2">
        <v>44810.84097222222</v>
      </c>
      <c r="W55">
        <v>9</v>
      </c>
      <c r="X55">
        <v>2022</v>
      </c>
      <c r="Y55" t="s">
        <v>172</v>
      </c>
      <c r="Z55">
        <v>2</v>
      </c>
    </row>
    <row r="56" spans="1:26" x14ac:dyDescent="0.45">
      <c r="A56">
        <v>2059</v>
      </c>
      <c r="B56">
        <v>1117</v>
      </c>
      <c r="C56" t="s">
        <v>243</v>
      </c>
      <c r="D56" t="s">
        <v>22</v>
      </c>
      <c r="E56">
        <v>53</v>
      </c>
      <c r="F56">
        <v>727</v>
      </c>
      <c r="G56" t="s">
        <v>244</v>
      </c>
      <c r="H56" t="s">
        <v>73</v>
      </c>
      <c r="I56" t="s">
        <v>74</v>
      </c>
      <c r="J56" t="s">
        <v>245</v>
      </c>
      <c r="K56" t="s">
        <v>27</v>
      </c>
      <c r="L56" t="s">
        <v>76</v>
      </c>
      <c r="M56" t="s">
        <v>132</v>
      </c>
      <c r="N56" t="s">
        <v>59</v>
      </c>
      <c r="O56" t="s">
        <v>98</v>
      </c>
      <c r="P56">
        <v>4</v>
      </c>
      <c r="Q56" t="b">
        <v>1</v>
      </c>
      <c r="R56" s="1">
        <v>44084.89166666667</v>
      </c>
      <c r="S56" s="1">
        <v>44088.646527777775</v>
      </c>
      <c r="T56" t="s">
        <v>32</v>
      </c>
      <c r="U56" t="b">
        <v>0</v>
      </c>
      <c r="V56" s="2">
        <v>44084.89166666667</v>
      </c>
      <c r="W56">
        <v>9</v>
      </c>
      <c r="X56">
        <v>2020</v>
      </c>
      <c r="Y56" t="s">
        <v>73</v>
      </c>
      <c r="Z56">
        <v>4</v>
      </c>
    </row>
    <row r="57" spans="1:26" x14ac:dyDescent="0.45">
      <c r="A57">
        <v>2060</v>
      </c>
      <c r="B57">
        <v>1140</v>
      </c>
      <c r="C57" t="s">
        <v>246</v>
      </c>
      <c r="D57" t="s">
        <v>42</v>
      </c>
      <c r="E57">
        <v>47</v>
      </c>
      <c r="F57">
        <v>721</v>
      </c>
      <c r="G57" t="s">
        <v>247</v>
      </c>
      <c r="H57" t="s">
        <v>85</v>
      </c>
      <c r="I57" t="s">
        <v>116</v>
      </c>
      <c r="J57" t="s">
        <v>117</v>
      </c>
      <c r="K57" t="s">
        <v>46</v>
      </c>
      <c r="L57" t="s">
        <v>76</v>
      </c>
      <c r="M57" t="s">
        <v>132</v>
      </c>
      <c r="N57" t="s">
        <v>59</v>
      </c>
      <c r="O57" t="s">
        <v>98</v>
      </c>
      <c r="P57">
        <v>3</v>
      </c>
      <c r="Q57" t="b">
        <v>0</v>
      </c>
      <c r="R57" s="1">
        <v>45201.621527777781</v>
      </c>
      <c r="V57" s="2">
        <v>45201.621527777781</v>
      </c>
      <c r="W57">
        <v>10</v>
      </c>
      <c r="X57">
        <v>2023</v>
      </c>
      <c r="Y57" t="s">
        <v>85</v>
      </c>
      <c r="Z57">
        <v>3</v>
      </c>
    </row>
    <row r="58" spans="1:26" x14ac:dyDescent="0.45">
      <c r="A58">
        <v>2061</v>
      </c>
      <c r="B58">
        <v>1185</v>
      </c>
      <c r="C58" t="s">
        <v>248</v>
      </c>
      <c r="D58" t="s">
        <v>22</v>
      </c>
      <c r="E58">
        <v>49</v>
      </c>
      <c r="F58">
        <v>701</v>
      </c>
      <c r="G58" t="s">
        <v>249</v>
      </c>
      <c r="H58" t="s">
        <v>35</v>
      </c>
      <c r="I58" t="s">
        <v>36</v>
      </c>
      <c r="J58" t="s">
        <v>36</v>
      </c>
      <c r="K58" t="s">
        <v>46</v>
      </c>
      <c r="L58" t="s">
        <v>56</v>
      </c>
      <c r="M58" t="s">
        <v>197</v>
      </c>
      <c r="N58" t="s">
        <v>198</v>
      </c>
      <c r="O58" t="s">
        <v>199</v>
      </c>
      <c r="P58">
        <v>3</v>
      </c>
      <c r="Q58" t="b">
        <v>1</v>
      </c>
      <c r="R58" s="1">
        <v>45133.547222222223</v>
      </c>
      <c r="S58" s="1">
        <v>45137.638888888891</v>
      </c>
      <c r="T58" t="s">
        <v>109</v>
      </c>
      <c r="U58" t="b">
        <v>0</v>
      </c>
      <c r="V58" s="2">
        <v>45133.547222222223</v>
      </c>
      <c r="W58">
        <v>7</v>
      </c>
      <c r="X58">
        <v>2023</v>
      </c>
      <c r="Y58" t="s">
        <v>35</v>
      </c>
      <c r="Z58">
        <v>3</v>
      </c>
    </row>
    <row r="59" spans="1:26" x14ac:dyDescent="0.45">
      <c r="A59">
        <v>2062</v>
      </c>
      <c r="B59">
        <v>1362</v>
      </c>
      <c r="C59" t="s">
        <v>250</v>
      </c>
      <c r="D59" t="s">
        <v>22</v>
      </c>
      <c r="E59">
        <v>62</v>
      </c>
      <c r="F59">
        <v>753</v>
      </c>
      <c r="G59" t="s">
        <v>251</v>
      </c>
      <c r="H59" t="s">
        <v>129</v>
      </c>
      <c r="I59" t="s">
        <v>130</v>
      </c>
      <c r="J59" t="s">
        <v>252</v>
      </c>
      <c r="K59" t="s">
        <v>102</v>
      </c>
      <c r="L59" t="s">
        <v>96</v>
      </c>
      <c r="M59" t="s">
        <v>136</v>
      </c>
      <c r="N59" t="s">
        <v>30</v>
      </c>
      <c r="O59" t="s">
        <v>137</v>
      </c>
      <c r="P59">
        <v>1</v>
      </c>
      <c r="Q59" t="b">
        <v>1</v>
      </c>
      <c r="R59" s="1">
        <v>44586.551388888889</v>
      </c>
      <c r="S59" s="1">
        <v>44592.553472222222</v>
      </c>
      <c r="T59" t="s">
        <v>60</v>
      </c>
      <c r="U59" t="b">
        <v>0</v>
      </c>
      <c r="V59" s="2">
        <v>44586.551388888889</v>
      </c>
      <c r="W59">
        <v>1</v>
      </c>
      <c r="X59">
        <v>2022</v>
      </c>
      <c r="Y59" t="s">
        <v>129</v>
      </c>
      <c r="Z59">
        <v>1</v>
      </c>
    </row>
    <row r="60" spans="1:26" x14ac:dyDescent="0.45">
      <c r="A60">
        <v>2063</v>
      </c>
      <c r="B60">
        <v>1260</v>
      </c>
      <c r="C60" t="s">
        <v>253</v>
      </c>
      <c r="D60" t="s">
        <v>22</v>
      </c>
      <c r="E60">
        <v>32</v>
      </c>
      <c r="F60">
        <v>694</v>
      </c>
      <c r="G60" t="s">
        <v>254</v>
      </c>
      <c r="H60" t="s">
        <v>172</v>
      </c>
      <c r="I60" t="s">
        <v>177</v>
      </c>
      <c r="J60" t="s">
        <v>202</v>
      </c>
      <c r="K60" t="s">
        <v>27</v>
      </c>
      <c r="L60" t="s">
        <v>96</v>
      </c>
      <c r="M60" t="s">
        <v>136</v>
      </c>
      <c r="N60" t="s">
        <v>30</v>
      </c>
      <c r="O60" t="s">
        <v>137</v>
      </c>
      <c r="P60">
        <v>2</v>
      </c>
      <c r="Q60" t="b">
        <v>1</v>
      </c>
      <c r="R60" s="1">
        <v>44548.009027777778</v>
      </c>
      <c r="S60" s="1">
        <v>44552.207638888889</v>
      </c>
      <c r="T60" t="s">
        <v>60</v>
      </c>
      <c r="U60" t="b">
        <v>0</v>
      </c>
      <c r="V60" s="2">
        <v>44548.009027777778</v>
      </c>
      <c r="W60">
        <v>12</v>
      </c>
      <c r="X60">
        <v>2021</v>
      </c>
      <c r="Y60" t="s">
        <v>172</v>
      </c>
      <c r="Z60">
        <v>2</v>
      </c>
    </row>
    <row r="61" spans="1:26" x14ac:dyDescent="0.45">
      <c r="A61">
        <v>2064</v>
      </c>
      <c r="B61">
        <v>1389</v>
      </c>
      <c r="C61" t="s">
        <v>255</v>
      </c>
      <c r="D61" t="s">
        <v>22</v>
      </c>
      <c r="E61">
        <v>69</v>
      </c>
      <c r="F61">
        <v>748</v>
      </c>
      <c r="G61" t="s">
        <v>256</v>
      </c>
      <c r="H61" t="s">
        <v>73</v>
      </c>
      <c r="I61" t="s">
        <v>74</v>
      </c>
      <c r="J61" t="s">
        <v>75</v>
      </c>
      <c r="K61" t="s">
        <v>55</v>
      </c>
      <c r="L61" t="s">
        <v>56</v>
      </c>
      <c r="M61" t="s">
        <v>197</v>
      </c>
      <c r="N61" t="s">
        <v>198</v>
      </c>
      <c r="O61" t="s">
        <v>199</v>
      </c>
      <c r="P61">
        <v>3</v>
      </c>
      <c r="Q61" t="b">
        <v>1</v>
      </c>
      <c r="R61" s="1">
        <v>44744.527083333334</v>
      </c>
      <c r="S61" s="1">
        <v>44746.054861111108</v>
      </c>
      <c r="T61" t="s">
        <v>32</v>
      </c>
      <c r="U61" t="b">
        <v>0</v>
      </c>
      <c r="V61" s="2">
        <v>44744.527083333334</v>
      </c>
      <c r="W61">
        <v>7</v>
      </c>
      <c r="X61">
        <v>2022</v>
      </c>
      <c r="Y61" t="s">
        <v>73</v>
      </c>
      <c r="Z61">
        <v>3</v>
      </c>
    </row>
    <row r="62" spans="1:26" x14ac:dyDescent="0.45">
      <c r="A62">
        <v>2066</v>
      </c>
      <c r="B62">
        <v>1184</v>
      </c>
      <c r="C62" t="s">
        <v>257</v>
      </c>
      <c r="D62" t="s">
        <v>22</v>
      </c>
      <c r="E62">
        <v>26</v>
      </c>
      <c r="F62">
        <v>637</v>
      </c>
      <c r="G62" t="s">
        <v>258</v>
      </c>
      <c r="H62" t="s">
        <v>35</v>
      </c>
      <c r="I62" t="s">
        <v>36</v>
      </c>
      <c r="J62" t="s">
        <v>123</v>
      </c>
      <c r="K62" t="s">
        <v>46</v>
      </c>
      <c r="L62" t="s">
        <v>28</v>
      </c>
      <c r="M62" t="s">
        <v>38</v>
      </c>
      <c r="N62" t="s">
        <v>31</v>
      </c>
      <c r="O62" t="s">
        <v>39</v>
      </c>
      <c r="P62">
        <v>3</v>
      </c>
      <c r="Q62" t="b">
        <v>1</v>
      </c>
      <c r="R62" s="1">
        <v>44810.897222222222</v>
      </c>
      <c r="S62" s="1">
        <v>44815.390277777777</v>
      </c>
      <c r="T62" t="s">
        <v>40</v>
      </c>
      <c r="U62" t="b">
        <v>0</v>
      </c>
      <c r="V62" s="2">
        <v>44810.897222222222</v>
      </c>
      <c r="W62">
        <v>9</v>
      </c>
      <c r="X62">
        <v>2022</v>
      </c>
      <c r="Y62" t="s">
        <v>35</v>
      </c>
      <c r="Z62">
        <v>3</v>
      </c>
    </row>
    <row r="63" spans="1:26" x14ac:dyDescent="0.45">
      <c r="A63">
        <v>2067</v>
      </c>
      <c r="B63">
        <v>1127</v>
      </c>
      <c r="C63" t="s">
        <v>259</v>
      </c>
      <c r="D63" t="s">
        <v>22</v>
      </c>
      <c r="E63">
        <v>71</v>
      </c>
      <c r="F63">
        <v>752</v>
      </c>
      <c r="G63" t="s">
        <v>260</v>
      </c>
      <c r="H63" t="s">
        <v>73</v>
      </c>
      <c r="I63" t="s">
        <v>74</v>
      </c>
      <c r="J63" t="s">
        <v>245</v>
      </c>
      <c r="K63" t="s">
        <v>55</v>
      </c>
      <c r="L63" t="s">
        <v>96</v>
      </c>
      <c r="M63" t="s">
        <v>97</v>
      </c>
      <c r="N63" t="s">
        <v>98</v>
      </c>
      <c r="O63" t="s">
        <v>99</v>
      </c>
      <c r="P63">
        <v>1</v>
      </c>
      <c r="Q63" t="b">
        <v>1</v>
      </c>
      <c r="R63" s="1">
        <v>44915.447222222225</v>
      </c>
      <c r="S63" s="1">
        <v>44919.763888888891</v>
      </c>
      <c r="T63" t="s">
        <v>40</v>
      </c>
      <c r="U63" t="b">
        <v>0</v>
      </c>
      <c r="V63" s="2">
        <v>44915.447222222225</v>
      </c>
      <c r="W63">
        <v>12</v>
      </c>
      <c r="X63">
        <v>2022</v>
      </c>
      <c r="Y63" t="s">
        <v>73</v>
      </c>
      <c r="Z63">
        <v>1</v>
      </c>
    </row>
    <row r="64" spans="1:26" x14ac:dyDescent="0.45">
      <c r="A64">
        <v>2068</v>
      </c>
      <c r="B64">
        <v>1327</v>
      </c>
      <c r="C64" t="s">
        <v>261</v>
      </c>
      <c r="D64" t="s">
        <v>42</v>
      </c>
      <c r="E64">
        <v>20</v>
      </c>
      <c r="F64">
        <v>649</v>
      </c>
      <c r="G64" t="s">
        <v>262</v>
      </c>
      <c r="H64" t="s">
        <v>129</v>
      </c>
      <c r="I64" t="s">
        <v>263</v>
      </c>
      <c r="J64" t="s">
        <v>264</v>
      </c>
      <c r="K64" t="s">
        <v>27</v>
      </c>
      <c r="L64" t="s">
        <v>67</v>
      </c>
      <c r="M64" t="s">
        <v>108</v>
      </c>
      <c r="N64" t="s">
        <v>99</v>
      </c>
      <c r="O64" t="s">
        <v>30</v>
      </c>
      <c r="P64">
        <v>4</v>
      </c>
      <c r="Q64" t="b">
        <v>1</v>
      </c>
      <c r="R64" s="1">
        <v>43954.859722222223</v>
      </c>
      <c r="S64" s="1">
        <v>43961.859722222223</v>
      </c>
      <c r="T64" t="s">
        <v>32</v>
      </c>
      <c r="U64" t="b">
        <v>0</v>
      </c>
      <c r="V64" s="2">
        <v>43954.859722222223</v>
      </c>
      <c r="W64">
        <v>5</v>
      </c>
      <c r="X64">
        <v>2020</v>
      </c>
      <c r="Y64" t="s">
        <v>129</v>
      </c>
      <c r="Z64">
        <v>4</v>
      </c>
    </row>
    <row r="65" spans="1:26" x14ac:dyDescent="0.45">
      <c r="A65">
        <v>2069</v>
      </c>
      <c r="B65">
        <v>1244</v>
      </c>
      <c r="C65" t="s">
        <v>265</v>
      </c>
      <c r="D65" t="s">
        <v>42</v>
      </c>
      <c r="E65">
        <v>71</v>
      </c>
      <c r="F65">
        <v>748</v>
      </c>
      <c r="G65" t="s">
        <v>266</v>
      </c>
      <c r="H65" t="s">
        <v>85</v>
      </c>
      <c r="I65" t="s">
        <v>86</v>
      </c>
      <c r="J65" t="s">
        <v>87</v>
      </c>
      <c r="K65" t="s">
        <v>27</v>
      </c>
      <c r="L65" t="s">
        <v>28</v>
      </c>
      <c r="M65" t="s">
        <v>38</v>
      </c>
      <c r="N65" t="s">
        <v>31</v>
      </c>
      <c r="O65" t="s">
        <v>39</v>
      </c>
      <c r="P65">
        <v>2</v>
      </c>
      <c r="Q65" t="b">
        <v>1</v>
      </c>
      <c r="R65" s="1">
        <v>44458.339583333334</v>
      </c>
      <c r="S65" s="1">
        <v>44464.204861111109</v>
      </c>
      <c r="T65" t="s">
        <v>40</v>
      </c>
      <c r="U65" t="b">
        <v>0</v>
      </c>
      <c r="V65" s="2">
        <v>44458.339583333334</v>
      </c>
      <c r="W65">
        <v>9</v>
      </c>
      <c r="X65">
        <v>2021</v>
      </c>
      <c r="Y65" t="s">
        <v>85</v>
      </c>
      <c r="Z65">
        <v>2</v>
      </c>
    </row>
    <row r="66" spans="1:26" x14ac:dyDescent="0.45">
      <c r="A66">
        <v>2070</v>
      </c>
      <c r="B66">
        <v>1226</v>
      </c>
      <c r="C66" t="s">
        <v>267</v>
      </c>
      <c r="D66" t="s">
        <v>42</v>
      </c>
      <c r="E66">
        <v>22</v>
      </c>
      <c r="F66">
        <v>656</v>
      </c>
      <c r="G66" t="s">
        <v>268</v>
      </c>
      <c r="H66" t="s">
        <v>52</v>
      </c>
      <c r="I66" t="s">
        <v>150</v>
      </c>
      <c r="J66" t="s">
        <v>151</v>
      </c>
      <c r="K66" t="s">
        <v>46</v>
      </c>
      <c r="L66" t="s">
        <v>76</v>
      </c>
      <c r="M66" t="s">
        <v>160</v>
      </c>
      <c r="N66" t="s">
        <v>79</v>
      </c>
      <c r="O66" t="s">
        <v>161</v>
      </c>
      <c r="P66">
        <v>2</v>
      </c>
      <c r="Q66" t="b">
        <v>1</v>
      </c>
      <c r="R66" s="1">
        <v>44920.386111111111</v>
      </c>
      <c r="S66" s="1">
        <v>44923.896527777775</v>
      </c>
      <c r="T66" t="s">
        <v>60</v>
      </c>
      <c r="U66" t="b">
        <v>0</v>
      </c>
      <c r="V66" s="2">
        <v>44920.386111111111</v>
      </c>
      <c r="W66">
        <v>12</v>
      </c>
      <c r="X66">
        <v>2022</v>
      </c>
      <c r="Y66" t="s">
        <v>52</v>
      </c>
      <c r="Z66">
        <v>2</v>
      </c>
    </row>
    <row r="67" spans="1:26" x14ac:dyDescent="0.45">
      <c r="A67">
        <v>2071</v>
      </c>
      <c r="B67">
        <v>1000</v>
      </c>
      <c r="C67" t="s">
        <v>83</v>
      </c>
      <c r="D67" t="s">
        <v>22</v>
      </c>
      <c r="E67">
        <v>74</v>
      </c>
      <c r="F67">
        <v>747</v>
      </c>
      <c r="G67" t="s">
        <v>84</v>
      </c>
      <c r="H67" t="s">
        <v>85</v>
      </c>
      <c r="I67" t="s">
        <v>86</v>
      </c>
      <c r="J67" t="s">
        <v>87</v>
      </c>
      <c r="K67" t="s">
        <v>66</v>
      </c>
      <c r="L67" t="s">
        <v>28</v>
      </c>
      <c r="M67" t="s">
        <v>29</v>
      </c>
      <c r="N67" t="s">
        <v>30</v>
      </c>
      <c r="O67" t="s">
        <v>31</v>
      </c>
      <c r="P67">
        <v>5</v>
      </c>
      <c r="Q67" t="b">
        <v>1</v>
      </c>
      <c r="R67" s="1">
        <v>44352.158333333333</v>
      </c>
      <c r="S67" s="1">
        <v>44356.193749999999</v>
      </c>
      <c r="T67" t="s">
        <v>40</v>
      </c>
      <c r="U67" t="b">
        <v>0</v>
      </c>
      <c r="V67" s="2">
        <v>44352.158333333333</v>
      </c>
      <c r="W67">
        <v>6</v>
      </c>
      <c r="X67">
        <v>2021</v>
      </c>
      <c r="Y67" t="s">
        <v>85</v>
      </c>
      <c r="Z67">
        <v>5</v>
      </c>
    </row>
    <row r="68" spans="1:26" x14ac:dyDescent="0.45">
      <c r="A68">
        <v>2072</v>
      </c>
      <c r="B68">
        <v>1243</v>
      </c>
      <c r="C68" t="s">
        <v>269</v>
      </c>
      <c r="D68" t="s">
        <v>42</v>
      </c>
      <c r="E68">
        <v>14</v>
      </c>
      <c r="H68" t="s">
        <v>73</v>
      </c>
      <c r="I68" t="s">
        <v>140</v>
      </c>
      <c r="J68" t="s">
        <v>213</v>
      </c>
      <c r="K68" t="s">
        <v>55</v>
      </c>
      <c r="L68" t="s">
        <v>96</v>
      </c>
      <c r="M68" t="s">
        <v>103</v>
      </c>
      <c r="N68" t="s">
        <v>31</v>
      </c>
      <c r="O68" t="s">
        <v>104</v>
      </c>
      <c r="P68">
        <v>2</v>
      </c>
      <c r="Q68" t="b">
        <v>1</v>
      </c>
      <c r="R68" s="1">
        <v>45086.745138888888</v>
      </c>
      <c r="S68" s="1">
        <v>45086.987500000003</v>
      </c>
      <c r="T68" t="s">
        <v>60</v>
      </c>
      <c r="U68" t="b">
        <v>0</v>
      </c>
      <c r="V68" s="2">
        <v>45086.745138888888</v>
      </c>
      <c r="W68">
        <v>6</v>
      </c>
      <c r="X68">
        <v>2023</v>
      </c>
      <c r="Y68" t="s">
        <v>73</v>
      </c>
      <c r="Z68">
        <v>2</v>
      </c>
    </row>
    <row r="69" spans="1:26" x14ac:dyDescent="0.45">
      <c r="A69">
        <v>2073</v>
      </c>
      <c r="B69">
        <v>1344</v>
      </c>
      <c r="C69" t="s">
        <v>270</v>
      </c>
      <c r="D69" t="s">
        <v>22</v>
      </c>
      <c r="E69">
        <v>63</v>
      </c>
      <c r="F69">
        <v>749</v>
      </c>
      <c r="G69" t="s">
        <v>271</v>
      </c>
      <c r="H69" t="s">
        <v>129</v>
      </c>
      <c r="I69" t="s">
        <v>130</v>
      </c>
      <c r="J69" t="s">
        <v>272</v>
      </c>
      <c r="K69" t="s">
        <v>37</v>
      </c>
      <c r="L69" t="s">
        <v>67</v>
      </c>
      <c r="M69" t="s">
        <v>165</v>
      </c>
      <c r="N69" t="s">
        <v>166</v>
      </c>
      <c r="O69" t="s">
        <v>167</v>
      </c>
      <c r="P69">
        <v>1</v>
      </c>
      <c r="Q69" t="b">
        <v>1</v>
      </c>
      <c r="R69" s="1">
        <v>44439.994444444441</v>
      </c>
      <c r="S69" s="1">
        <v>44443.836111111108</v>
      </c>
      <c r="T69" t="s">
        <v>32</v>
      </c>
      <c r="U69" t="b">
        <v>0</v>
      </c>
      <c r="V69" s="2">
        <v>44439.994444444441</v>
      </c>
      <c r="W69">
        <v>8</v>
      </c>
      <c r="X69">
        <v>2021</v>
      </c>
      <c r="Y69" t="s">
        <v>129</v>
      </c>
      <c r="Z69">
        <v>1</v>
      </c>
    </row>
    <row r="70" spans="1:26" x14ac:dyDescent="0.45">
      <c r="A70">
        <v>2074</v>
      </c>
      <c r="B70">
        <v>1435</v>
      </c>
      <c r="C70" t="s">
        <v>273</v>
      </c>
      <c r="D70" t="s">
        <v>22</v>
      </c>
      <c r="E70">
        <v>52</v>
      </c>
      <c r="F70">
        <v>715</v>
      </c>
      <c r="G70" t="s">
        <v>274</v>
      </c>
      <c r="H70" t="s">
        <v>172</v>
      </c>
      <c r="I70" t="s">
        <v>177</v>
      </c>
      <c r="J70" t="s">
        <v>178</v>
      </c>
      <c r="K70" t="s">
        <v>66</v>
      </c>
      <c r="L70" t="s">
        <v>96</v>
      </c>
      <c r="M70" t="s">
        <v>97</v>
      </c>
      <c r="N70" t="s">
        <v>98</v>
      </c>
      <c r="O70" t="s">
        <v>99</v>
      </c>
      <c r="P70">
        <v>4</v>
      </c>
      <c r="Q70" t="b">
        <v>1</v>
      </c>
      <c r="R70" s="1">
        <v>44413.131944444445</v>
      </c>
      <c r="S70" s="1">
        <v>44418.063194444447</v>
      </c>
      <c r="T70" t="s">
        <v>109</v>
      </c>
      <c r="U70" t="b">
        <v>0</v>
      </c>
      <c r="V70" s="2">
        <v>44413.131944444445</v>
      </c>
      <c r="W70">
        <v>8</v>
      </c>
      <c r="X70">
        <v>2021</v>
      </c>
      <c r="Y70" t="s">
        <v>172</v>
      </c>
      <c r="Z70">
        <v>4</v>
      </c>
    </row>
    <row r="71" spans="1:26" x14ac:dyDescent="0.45">
      <c r="A71">
        <v>2075</v>
      </c>
      <c r="B71">
        <v>1024</v>
      </c>
      <c r="C71" t="s">
        <v>275</v>
      </c>
      <c r="D71" t="s">
        <v>42</v>
      </c>
      <c r="E71">
        <v>53</v>
      </c>
      <c r="F71">
        <v>730</v>
      </c>
      <c r="G71" t="s">
        <v>207</v>
      </c>
      <c r="H71" t="s">
        <v>129</v>
      </c>
      <c r="I71" t="s">
        <v>130</v>
      </c>
      <c r="J71" t="s">
        <v>252</v>
      </c>
      <c r="K71" t="s">
        <v>46</v>
      </c>
      <c r="L71" t="s">
        <v>56</v>
      </c>
      <c r="M71" t="s">
        <v>57</v>
      </c>
      <c r="N71" t="s">
        <v>58</v>
      </c>
      <c r="O71" t="s">
        <v>59</v>
      </c>
      <c r="P71">
        <v>2</v>
      </c>
      <c r="Q71" t="b">
        <v>1</v>
      </c>
      <c r="R71" s="1">
        <v>44521.025694444441</v>
      </c>
      <c r="S71" s="1">
        <v>44523.740972222222</v>
      </c>
      <c r="T71" t="s">
        <v>40</v>
      </c>
      <c r="U71" t="b">
        <v>0</v>
      </c>
      <c r="V71" s="2">
        <v>44521.025694444441</v>
      </c>
      <c r="W71">
        <v>11</v>
      </c>
      <c r="X71">
        <v>2021</v>
      </c>
      <c r="Y71" t="s">
        <v>129</v>
      </c>
      <c r="Z71">
        <v>2</v>
      </c>
    </row>
    <row r="72" spans="1:26" x14ac:dyDescent="0.45">
      <c r="A72">
        <v>2076</v>
      </c>
      <c r="B72">
        <v>1104</v>
      </c>
      <c r="C72" t="s">
        <v>276</v>
      </c>
      <c r="D72" t="s">
        <v>42</v>
      </c>
      <c r="E72">
        <v>79</v>
      </c>
      <c r="F72">
        <v>760</v>
      </c>
      <c r="G72" t="s">
        <v>277</v>
      </c>
      <c r="H72" t="s">
        <v>129</v>
      </c>
      <c r="I72" t="s">
        <v>263</v>
      </c>
      <c r="J72" t="s">
        <v>278</v>
      </c>
      <c r="K72" t="s">
        <v>46</v>
      </c>
      <c r="L72" t="s">
        <v>96</v>
      </c>
      <c r="M72" t="s">
        <v>103</v>
      </c>
      <c r="N72" t="s">
        <v>31</v>
      </c>
      <c r="O72" t="s">
        <v>104</v>
      </c>
      <c r="P72">
        <v>3</v>
      </c>
      <c r="Q72" t="b">
        <v>1</v>
      </c>
      <c r="R72" s="1">
        <v>45065.543055555558</v>
      </c>
      <c r="S72" s="1">
        <v>45070.531944444447</v>
      </c>
      <c r="T72" t="s">
        <v>109</v>
      </c>
      <c r="U72" t="b">
        <v>0</v>
      </c>
      <c r="V72" s="2">
        <v>45065.543055555558</v>
      </c>
      <c r="W72">
        <v>5</v>
      </c>
      <c r="X72">
        <v>2023</v>
      </c>
      <c r="Y72" t="s">
        <v>129</v>
      </c>
      <c r="Z72">
        <v>3</v>
      </c>
    </row>
    <row r="73" spans="1:26" x14ac:dyDescent="0.45">
      <c r="A73">
        <v>2077</v>
      </c>
      <c r="B73">
        <v>1218</v>
      </c>
      <c r="C73" t="s">
        <v>152</v>
      </c>
      <c r="D73" t="s">
        <v>22</v>
      </c>
      <c r="E73">
        <v>71</v>
      </c>
      <c r="F73">
        <v>752</v>
      </c>
      <c r="G73" t="s">
        <v>153</v>
      </c>
      <c r="H73" t="s">
        <v>85</v>
      </c>
      <c r="I73" t="s">
        <v>116</v>
      </c>
      <c r="J73" t="s">
        <v>154</v>
      </c>
      <c r="K73" t="s">
        <v>46</v>
      </c>
      <c r="L73" t="s">
        <v>56</v>
      </c>
      <c r="M73" t="s">
        <v>57</v>
      </c>
      <c r="N73" t="s">
        <v>58</v>
      </c>
      <c r="O73" t="s">
        <v>59</v>
      </c>
      <c r="P73">
        <v>2</v>
      </c>
      <c r="Q73" t="b">
        <v>1</v>
      </c>
      <c r="R73" s="1">
        <v>44814.052777777775</v>
      </c>
      <c r="S73" s="1">
        <v>44814.690972222219</v>
      </c>
      <c r="T73" t="s">
        <v>32</v>
      </c>
      <c r="U73" t="b">
        <v>0</v>
      </c>
      <c r="V73" s="2">
        <v>44814.052777777775</v>
      </c>
      <c r="W73">
        <v>9</v>
      </c>
      <c r="X73">
        <v>2022</v>
      </c>
      <c r="Y73" t="s">
        <v>85</v>
      </c>
      <c r="Z73">
        <v>2</v>
      </c>
    </row>
    <row r="74" spans="1:26" x14ac:dyDescent="0.45">
      <c r="A74">
        <v>2078</v>
      </c>
      <c r="B74">
        <v>1051</v>
      </c>
      <c r="C74" t="s">
        <v>279</v>
      </c>
      <c r="D74" t="s">
        <v>42</v>
      </c>
      <c r="E74">
        <v>41</v>
      </c>
      <c r="F74">
        <v>697</v>
      </c>
      <c r="G74" t="s">
        <v>280</v>
      </c>
      <c r="H74" t="s">
        <v>63</v>
      </c>
      <c r="I74" t="s">
        <v>64</v>
      </c>
      <c r="J74" t="s">
        <v>281</v>
      </c>
      <c r="K74" t="s">
        <v>46</v>
      </c>
      <c r="L74" t="s">
        <v>96</v>
      </c>
      <c r="M74" t="s">
        <v>118</v>
      </c>
      <c r="N74" t="s">
        <v>90</v>
      </c>
      <c r="O74" t="s">
        <v>119</v>
      </c>
      <c r="P74">
        <v>5</v>
      </c>
      <c r="Q74" t="b">
        <v>0</v>
      </c>
      <c r="R74" s="1">
        <v>44888.011111111111</v>
      </c>
      <c r="V74" s="2">
        <v>44888.011111111111</v>
      </c>
      <c r="W74">
        <v>11</v>
      </c>
      <c r="X74">
        <v>2022</v>
      </c>
      <c r="Y74" t="s">
        <v>63</v>
      </c>
      <c r="Z74">
        <v>5</v>
      </c>
    </row>
    <row r="75" spans="1:26" x14ac:dyDescent="0.45">
      <c r="A75">
        <v>2079</v>
      </c>
      <c r="B75">
        <v>1025</v>
      </c>
      <c r="C75" t="s">
        <v>282</v>
      </c>
      <c r="D75" t="s">
        <v>42</v>
      </c>
      <c r="E75">
        <v>76</v>
      </c>
      <c r="F75">
        <v>742</v>
      </c>
      <c r="G75" t="s">
        <v>283</v>
      </c>
      <c r="H75" t="s">
        <v>52</v>
      </c>
      <c r="I75" t="s">
        <v>53</v>
      </c>
      <c r="J75" t="s">
        <v>284</v>
      </c>
      <c r="K75" t="s">
        <v>55</v>
      </c>
      <c r="L75" t="s">
        <v>28</v>
      </c>
      <c r="M75" t="s">
        <v>142</v>
      </c>
      <c r="N75" t="s">
        <v>143</v>
      </c>
      <c r="O75" t="s">
        <v>144</v>
      </c>
      <c r="P75">
        <v>2</v>
      </c>
      <c r="Q75" t="b">
        <v>0</v>
      </c>
      <c r="R75" s="1">
        <v>44114.123611111114</v>
      </c>
      <c r="V75" s="2">
        <v>44114.123611111114</v>
      </c>
      <c r="W75">
        <v>10</v>
      </c>
      <c r="X75">
        <v>2020</v>
      </c>
      <c r="Y75" t="s">
        <v>52</v>
      </c>
      <c r="Z75">
        <v>2</v>
      </c>
    </row>
    <row r="76" spans="1:26" x14ac:dyDescent="0.45">
      <c r="A76">
        <v>2080</v>
      </c>
      <c r="B76">
        <v>1278</v>
      </c>
      <c r="C76" t="s">
        <v>61</v>
      </c>
      <c r="D76" t="s">
        <v>42</v>
      </c>
      <c r="E76">
        <v>18</v>
      </c>
      <c r="F76">
        <v>607</v>
      </c>
      <c r="G76" t="s">
        <v>62</v>
      </c>
      <c r="H76" t="s">
        <v>63</v>
      </c>
      <c r="I76" t="s">
        <v>64</v>
      </c>
      <c r="J76" t="s">
        <v>65</v>
      </c>
      <c r="K76" t="s">
        <v>46</v>
      </c>
      <c r="L76" t="s">
        <v>56</v>
      </c>
      <c r="M76" t="s">
        <v>197</v>
      </c>
      <c r="N76" t="s">
        <v>198</v>
      </c>
      <c r="O76" t="s">
        <v>199</v>
      </c>
      <c r="P76">
        <v>2</v>
      </c>
      <c r="Q76" t="b">
        <v>1</v>
      </c>
      <c r="R76" s="1">
        <v>44648.000694444447</v>
      </c>
      <c r="S76" s="1">
        <v>44654.580555555556</v>
      </c>
      <c r="T76" t="s">
        <v>60</v>
      </c>
      <c r="U76" t="b">
        <v>0</v>
      </c>
      <c r="V76" s="2">
        <v>44648.000694444447</v>
      </c>
      <c r="W76">
        <v>3</v>
      </c>
      <c r="X76">
        <v>2022</v>
      </c>
      <c r="Y76" t="s">
        <v>63</v>
      </c>
      <c r="Z76">
        <v>2</v>
      </c>
    </row>
    <row r="77" spans="1:26" x14ac:dyDescent="0.45">
      <c r="A77">
        <v>2081</v>
      </c>
      <c r="B77">
        <v>1418</v>
      </c>
      <c r="C77" t="s">
        <v>285</v>
      </c>
      <c r="D77" t="s">
        <v>22</v>
      </c>
      <c r="E77">
        <v>28</v>
      </c>
      <c r="F77">
        <v>682</v>
      </c>
      <c r="G77" t="s">
        <v>286</v>
      </c>
      <c r="H77" t="s">
        <v>35</v>
      </c>
      <c r="I77" t="s">
        <v>122</v>
      </c>
      <c r="J77" t="s">
        <v>135</v>
      </c>
      <c r="K77" t="s">
        <v>102</v>
      </c>
      <c r="L77" t="s">
        <v>96</v>
      </c>
      <c r="M77" t="s">
        <v>136</v>
      </c>
      <c r="N77" t="s">
        <v>30</v>
      </c>
      <c r="O77" t="s">
        <v>137</v>
      </c>
      <c r="P77">
        <v>4</v>
      </c>
      <c r="Q77" t="b">
        <v>0</v>
      </c>
      <c r="R77" s="1">
        <v>44599.79791666667</v>
      </c>
      <c r="V77" s="2">
        <v>44599.79791666667</v>
      </c>
      <c r="W77">
        <v>2</v>
      </c>
      <c r="X77">
        <v>2022</v>
      </c>
      <c r="Y77" t="s">
        <v>35</v>
      </c>
      <c r="Z77">
        <v>4</v>
      </c>
    </row>
    <row r="78" spans="1:26" x14ac:dyDescent="0.45">
      <c r="A78">
        <v>2082</v>
      </c>
      <c r="B78">
        <v>1453</v>
      </c>
      <c r="C78" t="s">
        <v>287</v>
      </c>
      <c r="D78" t="s">
        <v>22</v>
      </c>
      <c r="E78">
        <v>15</v>
      </c>
      <c r="H78" t="s">
        <v>52</v>
      </c>
      <c r="I78" t="s">
        <v>53</v>
      </c>
      <c r="J78" t="s">
        <v>54</v>
      </c>
      <c r="K78" t="s">
        <v>102</v>
      </c>
      <c r="L78" t="s">
        <v>67</v>
      </c>
      <c r="M78" t="s">
        <v>108</v>
      </c>
      <c r="N78" t="s">
        <v>99</v>
      </c>
      <c r="O78" t="s">
        <v>30</v>
      </c>
      <c r="P78">
        <v>1</v>
      </c>
      <c r="Q78" t="b">
        <v>1</v>
      </c>
      <c r="R78" s="1">
        <v>44731.997916666667</v>
      </c>
      <c r="S78" s="1">
        <v>44732.817361111112</v>
      </c>
      <c r="T78" t="s">
        <v>60</v>
      </c>
      <c r="U78" t="b">
        <v>0</v>
      </c>
      <c r="V78" s="2">
        <v>44731.997916666667</v>
      </c>
      <c r="W78">
        <v>6</v>
      </c>
      <c r="X78">
        <v>2022</v>
      </c>
      <c r="Y78" t="s">
        <v>52</v>
      </c>
      <c r="Z78">
        <v>1</v>
      </c>
    </row>
    <row r="79" spans="1:26" x14ac:dyDescent="0.45">
      <c r="A79">
        <v>2083</v>
      </c>
      <c r="B79">
        <v>1481</v>
      </c>
      <c r="C79" t="s">
        <v>288</v>
      </c>
      <c r="D79" t="s">
        <v>42</v>
      </c>
      <c r="E79">
        <v>34</v>
      </c>
      <c r="F79">
        <v>697</v>
      </c>
      <c r="G79" t="s">
        <v>289</v>
      </c>
      <c r="H79" t="s">
        <v>35</v>
      </c>
      <c r="I79" t="s">
        <v>36</v>
      </c>
      <c r="J79" t="s">
        <v>123</v>
      </c>
      <c r="K79" t="s">
        <v>27</v>
      </c>
      <c r="L79" t="s">
        <v>96</v>
      </c>
      <c r="M79" t="s">
        <v>97</v>
      </c>
      <c r="N79" t="s">
        <v>98</v>
      </c>
      <c r="O79" t="s">
        <v>99</v>
      </c>
      <c r="P79">
        <v>3</v>
      </c>
      <c r="Q79" t="b">
        <v>0</v>
      </c>
      <c r="R79" s="1">
        <v>44721.075694444444</v>
      </c>
      <c r="V79" s="2">
        <v>44721.075694444444</v>
      </c>
      <c r="W79">
        <v>6</v>
      </c>
      <c r="X79">
        <v>2022</v>
      </c>
      <c r="Y79" t="s">
        <v>35</v>
      </c>
      <c r="Z79">
        <v>3</v>
      </c>
    </row>
    <row r="80" spans="1:26" x14ac:dyDescent="0.45">
      <c r="A80">
        <v>2084</v>
      </c>
      <c r="B80">
        <v>1373</v>
      </c>
      <c r="C80" t="s">
        <v>206</v>
      </c>
      <c r="D80" t="s">
        <v>42</v>
      </c>
      <c r="E80">
        <v>55</v>
      </c>
      <c r="F80">
        <v>707</v>
      </c>
      <c r="G80" t="s">
        <v>207</v>
      </c>
      <c r="H80" t="s">
        <v>24</v>
      </c>
      <c r="I80" t="s">
        <v>44</v>
      </c>
      <c r="J80" t="s">
        <v>208</v>
      </c>
      <c r="K80" t="s">
        <v>27</v>
      </c>
      <c r="L80" t="s">
        <v>76</v>
      </c>
      <c r="M80" t="s">
        <v>126</v>
      </c>
      <c r="N80" t="s">
        <v>98</v>
      </c>
      <c r="O80" t="s">
        <v>99</v>
      </c>
      <c r="P80">
        <v>3</v>
      </c>
      <c r="Q80" t="b">
        <v>0</v>
      </c>
      <c r="R80" s="1">
        <v>44537.133333333331</v>
      </c>
      <c r="V80" s="2">
        <v>44537.133333333331</v>
      </c>
      <c r="W80">
        <v>12</v>
      </c>
      <c r="X80">
        <v>2021</v>
      </c>
      <c r="Y80" t="s">
        <v>24</v>
      </c>
      <c r="Z80">
        <v>3</v>
      </c>
    </row>
    <row r="81" spans="1:26" x14ac:dyDescent="0.45">
      <c r="A81">
        <v>2085</v>
      </c>
      <c r="B81">
        <v>1048</v>
      </c>
      <c r="C81" t="s">
        <v>290</v>
      </c>
      <c r="D81" t="s">
        <v>42</v>
      </c>
      <c r="E81">
        <v>28</v>
      </c>
      <c r="F81">
        <v>692</v>
      </c>
      <c r="G81" t="s">
        <v>291</v>
      </c>
      <c r="H81" t="s">
        <v>172</v>
      </c>
      <c r="I81" t="s">
        <v>177</v>
      </c>
      <c r="J81" t="s">
        <v>178</v>
      </c>
      <c r="K81" t="s">
        <v>66</v>
      </c>
      <c r="L81" t="s">
        <v>56</v>
      </c>
      <c r="M81" t="s">
        <v>57</v>
      </c>
      <c r="N81" t="s">
        <v>58</v>
      </c>
      <c r="O81" t="s">
        <v>59</v>
      </c>
      <c r="P81">
        <v>2</v>
      </c>
      <c r="Q81" t="b">
        <v>1</v>
      </c>
      <c r="R81" s="1">
        <v>44628.536111111112</v>
      </c>
      <c r="S81" s="1">
        <v>44631.37777777778</v>
      </c>
      <c r="T81" t="s">
        <v>40</v>
      </c>
      <c r="U81" t="b">
        <v>0</v>
      </c>
      <c r="V81" s="2">
        <v>44628.536111111112</v>
      </c>
      <c r="W81">
        <v>3</v>
      </c>
      <c r="X81">
        <v>2022</v>
      </c>
      <c r="Y81" t="s">
        <v>172</v>
      </c>
      <c r="Z81">
        <v>2</v>
      </c>
    </row>
    <row r="82" spans="1:26" x14ac:dyDescent="0.45">
      <c r="A82">
        <v>2086</v>
      </c>
      <c r="B82">
        <v>1226</v>
      </c>
      <c r="C82" t="s">
        <v>267</v>
      </c>
      <c r="D82" t="s">
        <v>42</v>
      </c>
      <c r="E82">
        <v>22</v>
      </c>
      <c r="F82">
        <v>656</v>
      </c>
      <c r="G82" t="s">
        <v>268</v>
      </c>
      <c r="H82" t="s">
        <v>52</v>
      </c>
      <c r="I82" t="s">
        <v>150</v>
      </c>
      <c r="J82" t="s">
        <v>151</v>
      </c>
      <c r="K82" t="s">
        <v>46</v>
      </c>
      <c r="L82" t="s">
        <v>76</v>
      </c>
      <c r="M82" t="s">
        <v>77</v>
      </c>
      <c r="N82" t="s">
        <v>78</v>
      </c>
      <c r="O82" t="s">
        <v>79</v>
      </c>
      <c r="P82">
        <v>2</v>
      </c>
      <c r="Q82" t="b">
        <v>1</v>
      </c>
      <c r="R82" s="1">
        <v>45269.830555555556</v>
      </c>
      <c r="S82" s="1">
        <v>45274.684027777781</v>
      </c>
      <c r="T82" t="s">
        <v>60</v>
      </c>
      <c r="U82" t="b">
        <v>0</v>
      </c>
      <c r="V82" s="2">
        <v>45269.830555555556</v>
      </c>
      <c r="W82">
        <v>12</v>
      </c>
      <c r="X82">
        <v>2023</v>
      </c>
      <c r="Y82" t="s">
        <v>52</v>
      </c>
      <c r="Z82">
        <v>2</v>
      </c>
    </row>
    <row r="83" spans="1:26" x14ac:dyDescent="0.45">
      <c r="A83">
        <v>2087</v>
      </c>
      <c r="B83">
        <v>1243</v>
      </c>
      <c r="C83" t="s">
        <v>269</v>
      </c>
      <c r="D83" t="s">
        <v>42</v>
      </c>
      <c r="E83">
        <v>14</v>
      </c>
      <c r="H83" t="s">
        <v>73</v>
      </c>
      <c r="I83" t="s">
        <v>140</v>
      </c>
      <c r="J83" t="s">
        <v>213</v>
      </c>
      <c r="K83" t="s">
        <v>46</v>
      </c>
      <c r="L83" t="s">
        <v>96</v>
      </c>
      <c r="M83" t="s">
        <v>118</v>
      </c>
      <c r="N83" t="s">
        <v>90</v>
      </c>
      <c r="O83" t="s">
        <v>119</v>
      </c>
      <c r="P83">
        <v>3</v>
      </c>
      <c r="Q83" t="b">
        <v>1</v>
      </c>
      <c r="R83" s="1">
        <v>45141.306250000001</v>
      </c>
      <c r="S83" s="1">
        <v>45147.760416666664</v>
      </c>
      <c r="T83" t="s">
        <v>109</v>
      </c>
      <c r="U83" t="b">
        <v>0</v>
      </c>
      <c r="V83" s="2">
        <v>45141.306250000001</v>
      </c>
      <c r="W83">
        <v>8</v>
      </c>
      <c r="X83">
        <v>2023</v>
      </c>
      <c r="Y83" t="s">
        <v>73</v>
      </c>
      <c r="Z83">
        <v>3</v>
      </c>
    </row>
    <row r="84" spans="1:26" x14ac:dyDescent="0.45">
      <c r="A84">
        <v>2088</v>
      </c>
      <c r="B84">
        <v>1148</v>
      </c>
      <c r="C84" t="s">
        <v>292</v>
      </c>
      <c r="D84" t="s">
        <v>22</v>
      </c>
      <c r="E84">
        <v>38</v>
      </c>
      <c r="F84">
        <v>687</v>
      </c>
      <c r="G84" t="s">
        <v>293</v>
      </c>
      <c r="H84" t="s">
        <v>129</v>
      </c>
      <c r="I84" t="s">
        <v>130</v>
      </c>
      <c r="J84" t="s">
        <v>252</v>
      </c>
      <c r="K84" t="s">
        <v>66</v>
      </c>
      <c r="L84" t="s">
        <v>56</v>
      </c>
      <c r="M84" t="s">
        <v>197</v>
      </c>
      <c r="N84" t="s">
        <v>198</v>
      </c>
      <c r="O84" t="s">
        <v>199</v>
      </c>
      <c r="P84">
        <v>5</v>
      </c>
      <c r="Q84" t="b">
        <v>1</v>
      </c>
      <c r="R84" s="1">
        <v>44698.417361111111</v>
      </c>
      <c r="S84" s="1">
        <v>44703.537499999999</v>
      </c>
      <c r="T84" t="s">
        <v>60</v>
      </c>
      <c r="U84" t="b">
        <v>0</v>
      </c>
      <c r="V84" s="2">
        <v>44698.417361111111</v>
      </c>
      <c r="W84">
        <v>5</v>
      </c>
      <c r="X84">
        <v>2022</v>
      </c>
      <c r="Y84" t="s">
        <v>129</v>
      </c>
      <c r="Z84">
        <v>5</v>
      </c>
    </row>
    <row r="85" spans="1:26" x14ac:dyDescent="0.45">
      <c r="A85">
        <v>2089</v>
      </c>
      <c r="B85">
        <v>1093</v>
      </c>
      <c r="C85" t="s">
        <v>294</v>
      </c>
      <c r="D85" t="s">
        <v>42</v>
      </c>
      <c r="E85">
        <v>28</v>
      </c>
      <c r="F85">
        <v>699</v>
      </c>
      <c r="G85" t="s">
        <v>295</v>
      </c>
      <c r="H85" t="s">
        <v>85</v>
      </c>
      <c r="I85" t="s">
        <v>116</v>
      </c>
      <c r="J85" t="s">
        <v>117</v>
      </c>
      <c r="K85" t="s">
        <v>102</v>
      </c>
      <c r="L85" t="s">
        <v>67</v>
      </c>
      <c r="M85" t="s">
        <v>233</v>
      </c>
      <c r="N85" t="s">
        <v>89</v>
      </c>
      <c r="O85" t="s">
        <v>90</v>
      </c>
      <c r="P85">
        <v>4</v>
      </c>
      <c r="Q85" t="b">
        <v>1</v>
      </c>
      <c r="R85" s="1">
        <v>44594.459722222222</v>
      </c>
      <c r="S85" s="1">
        <v>44600.679166666669</v>
      </c>
      <c r="T85" t="s">
        <v>40</v>
      </c>
      <c r="U85" t="b">
        <v>0</v>
      </c>
      <c r="V85" s="2">
        <v>44594.459722222222</v>
      </c>
      <c r="W85">
        <v>2</v>
      </c>
      <c r="X85">
        <v>2022</v>
      </c>
      <c r="Y85" t="s">
        <v>85</v>
      </c>
      <c r="Z85">
        <v>4</v>
      </c>
    </row>
    <row r="86" spans="1:26" x14ac:dyDescent="0.45">
      <c r="A86">
        <v>2090</v>
      </c>
      <c r="B86">
        <v>1258</v>
      </c>
      <c r="C86" t="s">
        <v>296</v>
      </c>
      <c r="D86" t="s">
        <v>22</v>
      </c>
      <c r="E86">
        <v>65</v>
      </c>
      <c r="F86">
        <v>751</v>
      </c>
      <c r="G86" t="s">
        <v>297</v>
      </c>
      <c r="H86" t="s">
        <v>93</v>
      </c>
      <c r="I86" t="s">
        <v>112</v>
      </c>
      <c r="J86" t="s">
        <v>242</v>
      </c>
      <c r="K86" t="s">
        <v>27</v>
      </c>
      <c r="L86" t="s">
        <v>76</v>
      </c>
      <c r="M86" t="s">
        <v>126</v>
      </c>
      <c r="N86" t="s">
        <v>98</v>
      </c>
      <c r="O86" t="s">
        <v>99</v>
      </c>
      <c r="P86">
        <v>4</v>
      </c>
      <c r="Q86" t="b">
        <v>1</v>
      </c>
      <c r="R86" s="1">
        <v>43845.95416666667</v>
      </c>
      <c r="S86" s="1">
        <v>43850.536111111112</v>
      </c>
      <c r="T86" t="s">
        <v>109</v>
      </c>
      <c r="U86" t="b">
        <v>1</v>
      </c>
      <c r="V86" s="2">
        <v>43845.95416666667</v>
      </c>
      <c r="W86">
        <v>1</v>
      </c>
      <c r="X86">
        <v>2020</v>
      </c>
      <c r="Y86" t="s">
        <v>93</v>
      </c>
      <c r="Z86">
        <v>4</v>
      </c>
    </row>
    <row r="87" spans="1:26" x14ac:dyDescent="0.45">
      <c r="A87">
        <v>2091</v>
      </c>
      <c r="B87">
        <v>1180</v>
      </c>
      <c r="C87" t="s">
        <v>298</v>
      </c>
      <c r="D87" t="s">
        <v>42</v>
      </c>
      <c r="E87">
        <v>74</v>
      </c>
      <c r="F87">
        <v>757</v>
      </c>
      <c r="G87" t="s">
        <v>299</v>
      </c>
      <c r="H87" t="s">
        <v>63</v>
      </c>
      <c r="I87" t="s">
        <v>300</v>
      </c>
      <c r="J87" t="s">
        <v>301</v>
      </c>
      <c r="K87" t="s">
        <v>102</v>
      </c>
      <c r="L87" t="s">
        <v>56</v>
      </c>
      <c r="M87" t="s">
        <v>88</v>
      </c>
      <c r="N87" t="s">
        <v>89</v>
      </c>
      <c r="O87" t="s">
        <v>90</v>
      </c>
      <c r="P87">
        <v>5</v>
      </c>
      <c r="Q87" t="b">
        <v>1</v>
      </c>
      <c r="R87" s="1">
        <v>44039.063888888886</v>
      </c>
      <c r="S87" s="1">
        <v>44043.311111111114</v>
      </c>
      <c r="T87" t="s">
        <v>32</v>
      </c>
      <c r="U87" t="b">
        <v>0</v>
      </c>
      <c r="V87" s="2">
        <v>44039.063888888886</v>
      </c>
      <c r="W87">
        <v>7</v>
      </c>
      <c r="X87">
        <v>2020</v>
      </c>
      <c r="Y87" t="s">
        <v>63</v>
      </c>
      <c r="Z87">
        <v>5</v>
      </c>
    </row>
    <row r="88" spans="1:26" x14ac:dyDescent="0.45">
      <c r="A88">
        <v>2092</v>
      </c>
      <c r="B88">
        <v>1082</v>
      </c>
      <c r="C88" t="s">
        <v>302</v>
      </c>
      <c r="D88" t="s">
        <v>42</v>
      </c>
      <c r="E88">
        <v>24</v>
      </c>
      <c r="F88">
        <v>600</v>
      </c>
      <c r="G88" t="s">
        <v>303</v>
      </c>
      <c r="H88" t="s">
        <v>73</v>
      </c>
      <c r="I88" t="s">
        <v>140</v>
      </c>
      <c r="J88" t="s">
        <v>228</v>
      </c>
      <c r="K88" t="s">
        <v>37</v>
      </c>
      <c r="L88" t="s">
        <v>96</v>
      </c>
      <c r="M88" t="s">
        <v>118</v>
      </c>
      <c r="N88" t="s">
        <v>90</v>
      </c>
      <c r="O88" t="s">
        <v>119</v>
      </c>
      <c r="P88">
        <v>1</v>
      </c>
      <c r="Q88" t="b">
        <v>1</v>
      </c>
      <c r="R88" s="1">
        <v>45022.105555555558</v>
      </c>
      <c r="S88" s="1">
        <v>45026.783333333333</v>
      </c>
      <c r="T88" t="s">
        <v>109</v>
      </c>
      <c r="U88" t="b">
        <v>0</v>
      </c>
      <c r="V88" s="2">
        <v>45022.105555555558</v>
      </c>
      <c r="W88">
        <v>4</v>
      </c>
      <c r="X88">
        <v>2023</v>
      </c>
      <c r="Y88" t="s">
        <v>73</v>
      </c>
      <c r="Z88">
        <v>1</v>
      </c>
    </row>
    <row r="89" spans="1:26" x14ac:dyDescent="0.45">
      <c r="A89">
        <v>2093</v>
      </c>
      <c r="B89">
        <v>1207</v>
      </c>
      <c r="C89" t="s">
        <v>304</v>
      </c>
      <c r="D89" t="s">
        <v>42</v>
      </c>
      <c r="E89">
        <v>37</v>
      </c>
      <c r="F89">
        <v>691</v>
      </c>
      <c r="G89" t="s">
        <v>305</v>
      </c>
      <c r="H89" t="s">
        <v>52</v>
      </c>
      <c r="I89" t="s">
        <v>150</v>
      </c>
      <c r="J89" t="s">
        <v>306</v>
      </c>
      <c r="K89" t="s">
        <v>46</v>
      </c>
      <c r="L89" t="s">
        <v>67</v>
      </c>
      <c r="M89" t="s">
        <v>233</v>
      </c>
      <c r="N89" t="s">
        <v>89</v>
      </c>
      <c r="O89" t="s">
        <v>90</v>
      </c>
      <c r="P89">
        <v>2</v>
      </c>
      <c r="Q89" t="b">
        <v>0</v>
      </c>
      <c r="R89" s="1">
        <v>44494.786805555559</v>
      </c>
      <c r="V89" s="2">
        <v>44494.786805555559</v>
      </c>
      <c r="W89">
        <v>10</v>
      </c>
      <c r="X89">
        <v>2021</v>
      </c>
      <c r="Y89" t="s">
        <v>52</v>
      </c>
      <c r="Z89">
        <v>2</v>
      </c>
    </row>
    <row r="90" spans="1:26" x14ac:dyDescent="0.45">
      <c r="A90">
        <v>2094</v>
      </c>
      <c r="B90">
        <v>1288</v>
      </c>
      <c r="C90" t="s">
        <v>307</v>
      </c>
      <c r="D90" t="s">
        <v>42</v>
      </c>
      <c r="E90">
        <v>72</v>
      </c>
      <c r="F90">
        <v>756</v>
      </c>
      <c r="G90" t="s">
        <v>308</v>
      </c>
      <c r="H90" t="s">
        <v>35</v>
      </c>
      <c r="I90" t="s">
        <v>36</v>
      </c>
      <c r="J90" t="s">
        <v>36</v>
      </c>
      <c r="K90" t="s">
        <v>37</v>
      </c>
      <c r="L90" t="s">
        <v>76</v>
      </c>
      <c r="M90" t="s">
        <v>126</v>
      </c>
      <c r="N90" t="s">
        <v>98</v>
      </c>
      <c r="O90" t="s">
        <v>99</v>
      </c>
      <c r="P90">
        <v>2</v>
      </c>
      <c r="Q90" t="b">
        <v>1</v>
      </c>
      <c r="R90" s="1">
        <v>45263.507638888892</v>
      </c>
      <c r="S90" s="1">
        <v>45267.443055555559</v>
      </c>
      <c r="T90" t="s">
        <v>32</v>
      </c>
      <c r="U90" t="b">
        <v>0</v>
      </c>
      <c r="V90" s="2">
        <v>45263.507638888892</v>
      </c>
      <c r="W90">
        <v>12</v>
      </c>
      <c r="X90">
        <v>2023</v>
      </c>
      <c r="Y90" t="s">
        <v>35</v>
      </c>
      <c r="Z90">
        <v>2</v>
      </c>
    </row>
    <row r="91" spans="1:26" x14ac:dyDescent="0.45">
      <c r="A91">
        <v>2095</v>
      </c>
      <c r="B91">
        <v>1129</v>
      </c>
      <c r="C91" t="s">
        <v>309</v>
      </c>
      <c r="D91" t="s">
        <v>42</v>
      </c>
      <c r="E91">
        <v>14</v>
      </c>
      <c r="H91" t="s">
        <v>35</v>
      </c>
      <c r="I91" t="s">
        <v>36</v>
      </c>
      <c r="J91" t="s">
        <v>123</v>
      </c>
      <c r="K91" t="s">
        <v>37</v>
      </c>
      <c r="L91" t="s">
        <v>67</v>
      </c>
      <c r="M91" t="s">
        <v>108</v>
      </c>
      <c r="N91" t="s">
        <v>99</v>
      </c>
      <c r="O91" t="s">
        <v>30</v>
      </c>
      <c r="P91">
        <v>1</v>
      </c>
      <c r="Q91" t="b">
        <v>1</v>
      </c>
      <c r="R91" s="1">
        <v>44691.422222222223</v>
      </c>
      <c r="S91" s="1">
        <v>44694.868055555555</v>
      </c>
      <c r="T91" t="s">
        <v>109</v>
      </c>
      <c r="U91" t="b">
        <v>0</v>
      </c>
      <c r="V91" s="2">
        <v>44691.422222222223</v>
      </c>
      <c r="W91">
        <v>5</v>
      </c>
      <c r="X91">
        <v>2022</v>
      </c>
      <c r="Y91" t="s">
        <v>35</v>
      </c>
      <c r="Z91">
        <v>1</v>
      </c>
    </row>
    <row r="92" spans="1:26" x14ac:dyDescent="0.45">
      <c r="A92">
        <v>2096</v>
      </c>
      <c r="B92">
        <v>1076</v>
      </c>
      <c r="C92" t="s">
        <v>310</v>
      </c>
      <c r="D92" t="s">
        <v>22</v>
      </c>
      <c r="E92">
        <v>24</v>
      </c>
      <c r="F92">
        <v>632</v>
      </c>
      <c r="G92" t="s">
        <v>311</v>
      </c>
      <c r="H92" t="s">
        <v>52</v>
      </c>
      <c r="I92" t="s">
        <v>53</v>
      </c>
      <c r="J92" t="s">
        <v>54</v>
      </c>
      <c r="K92" t="s">
        <v>27</v>
      </c>
      <c r="L92" t="s">
        <v>96</v>
      </c>
      <c r="M92" t="s">
        <v>103</v>
      </c>
      <c r="N92" t="s">
        <v>31</v>
      </c>
      <c r="O92" t="s">
        <v>104</v>
      </c>
      <c r="P92">
        <v>1</v>
      </c>
      <c r="Q92" t="b">
        <v>1</v>
      </c>
      <c r="R92" s="1">
        <v>45120.280555555553</v>
      </c>
      <c r="S92" s="1">
        <v>45123.918749999997</v>
      </c>
      <c r="T92" t="s">
        <v>109</v>
      </c>
      <c r="U92" t="b">
        <v>0</v>
      </c>
      <c r="V92" s="2">
        <v>45120.280555555553</v>
      </c>
      <c r="W92">
        <v>7</v>
      </c>
      <c r="X92">
        <v>2023</v>
      </c>
      <c r="Y92" t="s">
        <v>52</v>
      </c>
      <c r="Z92">
        <v>1</v>
      </c>
    </row>
    <row r="93" spans="1:26" x14ac:dyDescent="0.45">
      <c r="A93">
        <v>2097</v>
      </c>
      <c r="B93">
        <v>1084</v>
      </c>
      <c r="C93" t="s">
        <v>312</v>
      </c>
      <c r="D93" t="s">
        <v>22</v>
      </c>
      <c r="E93">
        <v>46</v>
      </c>
      <c r="F93">
        <v>727</v>
      </c>
      <c r="G93" t="s">
        <v>313</v>
      </c>
      <c r="H93" t="s">
        <v>52</v>
      </c>
      <c r="I93" t="s">
        <v>53</v>
      </c>
      <c r="J93" t="s">
        <v>284</v>
      </c>
      <c r="K93" t="s">
        <v>37</v>
      </c>
      <c r="L93" t="s">
        <v>96</v>
      </c>
      <c r="M93" t="s">
        <v>136</v>
      </c>
      <c r="N93" t="s">
        <v>30</v>
      </c>
      <c r="O93" t="s">
        <v>137</v>
      </c>
      <c r="P93">
        <v>1</v>
      </c>
      <c r="Q93" t="b">
        <v>0</v>
      </c>
      <c r="R93" s="1">
        <v>45203.292361111111</v>
      </c>
      <c r="V93" s="2">
        <v>45203.292361111111</v>
      </c>
      <c r="W93">
        <v>10</v>
      </c>
      <c r="X93">
        <v>2023</v>
      </c>
      <c r="Y93" t="s">
        <v>52</v>
      </c>
      <c r="Z93">
        <v>1</v>
      </c>
    </row>
    <row r="94" spans="1:26" x14ac:dyDescent="0.45">
      <c r="A94">
        <v>2098</v>
      </c>
      <c r="B94">
        <v>1215</v>
      </c>
      <c r="C94" t="s">
        <v>314</v>
      </c>
      <c r="D94" t="s">
        <v>42</v>
      </c>
      <c r="E94">
        <v>44</v>
      </c>
      <c r="F94">
        <v>730</v>
      </c>
      <c r="G94" t="s">
        <v>315</v>
      </c>
      <c r="H94" t="s">
        <v>129</v>
      </c>
      <c r="I94" t="s">
        <v>263</v>
      </c>
      <c r="J94" t="s">
        <v>316</v>
      </c>
      <c r="K94" t="s">
        <v>27</v>
      </c>
      <c r="L94" t="s">
        <v>96</v>
      </c>
      <c r="M94" t="s">
        <v>103</v>
      </c>
      <c r="N94" t="s">
        <v>31</v>
      </c>
      <c r="O94" t="s">
        <v>104</v>
      </c>
      <c r="P94">
        <v>4</v>
      </c>
      <c r="Q94" t="b">
        <v>1</v>
      </c>
      <c r="R94" s="1">
        <v>44120.603472222225</v>
      </c>
      <c r="S94" s="1">
        <v>44121.436111111114</v>
      </c>
      <c r="T94" t="s">
        <v>60</v>
      </c>
      <c r="U94" t="b">
        <v>0</v>
      </c>
      <c r="V94" s="2">
        <v>44120.603472222225</v>
      </c>
      <c r="W94">
        <v>10</v>
      </c>
      <c r="X94">
        <v>2020</v>
      </c>
      <c r="Y94" t="s">
        <v>129</v>
      </c>
      <c r="Z94">
        <v>4</v>
      </c>
    </row>
    <row r="95" spans="1:26" x14ac:dyDescent="0.45">
      <c r="A95">
        <v>2099</v>
      </c>
      <c r="B95">
        <v>1095</v>
      </c>
      <c r="C95" t="s">
        <v>317</v>
      </c>
      <c r="D95" t="s">
        <v>42</v>
      </c>
      <c r="E95">
        <v>67</v>
      </c>
      <c r="F95">
        <v>743</v>
      </c>
      <c r="G95" t="s">
        <v>318</v>
      </c>
      <c r="H95" t="s">
        <v>172</v>
      </c>
      <c r="I95" t="s">
        <v>177</v>
      </c>
      <c r="J95" t="s">
        <v>178</v>
      </c>
      <c r="K95" t="s">
        <v>37</v>
      </c>
      <c r="L95" t="s">
        <v>28</v>
      </c>
      <c r="M95" t="s">
        <v>29</v>
      </c>
      <c r="N95" t="s">
        <v>30</v>
      </c>
      <c r="O95" t="s">
        <v>31</v>
      </c>
      <c r="P95">
        <v>5</v>
      </c>
      <c r="Q95" t="b">
        <v>1</v>
      </c>
      <c r="R95" s="1">
        <v>43988.760416666664</v>
      </c>
      <c r="S95" s="1">
        <v>43994.950694444444</v>
      </c>
      <c r="T95" t="s">
        <v>109</v>
      </c>
      <c r="U95" t="b">
        <v>0</v>
      </c>
      <c r="V95" s="2">
        <v>43988.760416666664</v>
      </c>
      <c r="W95">
        <v>6</v>
      </c>
      <c r="X95">
        <v>2020</v>
      </c>
      <c r="Y95" t="s">
        <v>172</v>
      </c>
      <c r="Z95">
        <v>5</v>
      </c>
    </row>
    <row r="96" spans="1:26" x14ac:dyDescent="0.45">
      <c r="A96">
        <v>2100</v>
      </c>
      <c r="B96">
        <v>1036</v>
      </c>
      <c r="C96" t="s">
        <v>319</v>
      </c>
      <c r="D96" t="s">
        <v>22</v>
      </c>
      <c r="E96">
        <v>45</v>
      </c>
      <c r="F96">
        <v>703</v>
      </c>
      <c r="G96" t="s">
        <v>320</v>
      </c>
      <c r="H96" t="s">
        <v>85</v>
      </c>
      <c r="I96" t="s">
        <v>86</v>
      </c>
      <c r="J96" t="s">
        <v>182</v>
      </c>
      <c r="K96" t="s">
        <v>102</v>
      </c>
      <c r="L96" t="s">
        <v>56</v>
      </c>
      <c r="M96" t="s">
        <v>197</v>
      </c>
      <c r="N96" t="s">
        <v>198</v>
      </c>
      <c r="O96" t="s">
        <v>199</v>
      </c>
      <c r="P96">
        <v>3</v>
      </c>
      <c r="Q96" t="b">
        <v>0</v>
      </c>
      <c r="R96" s="1">
        <v>44706.744444444441</v>
      </c>
      <c r="V96" s="2">
        <v>44706.744444444441</v>
      </c>
      <c r="W96">
        <v>5</v>
      </c>
      <c r="X96">
        <v>2022</v>
      </c>
      <c r="Y96" t="s">
        <v>85</v>
      </c>
      <c r="Z96">
        <v>3</v>
      </c>
    </row>
    <row r="97" spans="1:26" x14ac:dyDescent="0.45">
      <c r="A97">
        <v>2101</v>
      </c>
      <c r="B97">
        <v>1425</v>
      </c>
      <c r="C97" t="s">
        <v>321</v>
      </c>
      <c r="D97" t="s">
        <v>42</v>
      </c>
      <c r="E97">
        <v>23</v>
      </c>
      <c r="F97">
        <v>655</v>
      </c>
      <c r="G97" t="s">
        <v>322</v>
      </c>
      <c r="H97" t="s">
        <v>24</v>
      </c>
      <c r="I97" t="s">
        <v>25</v>
      </c>
      <c r="J97" t="s">
        <v>222</v>
      </c>
      <c r="K97" t="s">
        <v>102</v>
      </c>
      <c r="L97" t="s">
        <v>28</v>
      </c>
      <c r="M97" t="s">
        <v>142</v>
      </c>
      <c r="N97" t="s">
        <v>143</v>
      </c>
      <c r="O97" t="s">
        <v>144</v>
      </c>
      <c r="P97">
        <v>1</v>
      </c>
      <c r="Q97" t="b">
        <v>0</v>
      </c>
      <c r="R97" s="1">
        <v>44545.870138888888</v>
      </c>
      <c r="V97" s="2">
        <v>44545.870138888888</v>
      </c>
      <c r="W97">
        <v>12</v>
      </c>
      <c r="X97">
        <v>2021</v>
      </c>
      <c r="Y97" t="s">
        <v>24</v>
      </c>
      <c r="Z97">
        <v>1</v>
      </c>
    </row>
    <row r="98" spans="1:26" x14ac:dyDescent="0.45">
      <c r="A98">
        <v>2102</v>
      </c>
      <c r="B98">
        <v>1156</v>
      </c>
      <c r="C98" t="s">
        <v>323</v>
      </c>
      <c r="D98" t="s">
        <v>22</v>
      </c>
      <c r="E98">
        <v>51</v>
      </c>
      <c r="F98">
        <v>714</v>
      </c>
      <c r="G98" t="s">
        <v>274</v>
      </c>
      <c r="H98" t="s">
        <v>73</v>
      </c>
      <c r="I98" t="s">
        <v>140</v>
      </c>
      <c r="J98" t="s">
        <v>213</v>
      </c>
      <c r="K98" t="s">
        <v>27</v>
      </c>
      <c r="L98" t="s">
        <v>56</v>
      </c>
      <c r="M98" t="s">
        <v>88</v>
      </c>
      <c r="N98" t="s">
        <v>89</v>
      </c>
      <c r="O98" t="s">
        <v>90</v>
      </c>
      <c r="P98">
        <v>4</v>
      </c>
      <c r="Q98" t="b">
        <v>1</v>
      </c>
      <c r="R98" s="1">
        <v>44414.959722222222</v>
      </c>
      <c r="S98" s="1">
        <v>44416.840277777781</v>
      </c>
      <c r="T98" t="s">
        <v>60</v>
      </c>
      <c r="U98" t="b">
        <v>0</v>
      </c>
      <c r="V98" s="2">
        <v>44414.959722222222</v>
      </c>
      <c r="W98">
        <v>8</v>
      </c>
      <c r="X98">
        <v>2021</v>
      </c>
      <c r="Y98" t="s">
        <v>73</v>
      </c>
      <c r="Z98">
        <v>4</v>
      </c>
    </row>
    <row r="99" spans="1:26" x14ac:dyDescent="0.45">
      <c r="A99">
        <v>2104</v>
      </c>
      <c r="B99">
        <v>1261</v>
      </c>
      <c r="C99" t="s">
        <v>324</v>
      </c>
      <c r="D99" t="s">
        <v>22</v>
      </c>
      <c r="E99">
        <v>20</v>
      </c>
      <c r="F99">
        <v>645</v>
      </c>
      <c r="G99" t="s">
        <v>325</v>
      </c>
      <c r="H99" t="s">
        <v>85</v>
      </c>
      <c r="I99" t="s">
        <v>116</v>
      </c>
      <c r="J99" t="s">
        <v>154</v>
      </c>
      <c r="K99" t="s">
        <v>46</v>
      </c>
      <c r="L99" t="s">
        <v>28</v>
      </c>
      <c r="M99" t="s">
        <v>29</v>
      </c>
      <c r="N99" t="s">
        <v>30</v>
      </c>
      <c r="O99" t="s">
        <v>31</v>
      </c>
      <c r="P99">
        <v>2</v>
      </c>
      <c r="Q99" t="b">
        <v>1</v>
      </c>
      <c r="R99" s="1">
        <v>44139.147916666669</v>
      </c>
      <c r="S99" s="1">
        <v>44143.503472222219</v>
      </c>
      <c r="T99" t="s">
        <v>32</v>
      </c>
      <c r="U99" t="b">
        <v>0</v>
      </c>
      <c r="V99" s="2">
        <v>44139.147916666669</v>
      </c>
      <c r="W99">
        <v>11</v>
      </c>
      <c r="X99">
        <v>2020</v>
      </c>
      <c r="Y99" t="s">
        <v>85</v>
      </c>
      <c r="Z99">
        <v>2</v>
      </c>
    </row>
    <row r="100" spans="1:26" x14ac:dyDescent="0.45">
      <c r="A100">
        <v>2105</v>
      </c>
      <c r="B100">
        <v>1312</v>
      </c>
      <c r="C100" t="s">
        <v>326</v>
      </c>
      <c r="D100" t="s">
        <v>42</v>
      </c>
      <c r="E100">
        <v>62</v>
      </c>
      <c r="F100">
        <v>746</v>
      </c>
      <c r="G100" t="s">
        <v>327</v>
      </c>
      <c r="H100" t="s">
        <v>93</v>
      </c>
      <c r="I100" t="s">
        <v>112</v>
      </c>
      <c r="J100" t="s">
        <v>113</v>
      </c>
      <c r="K100" t="s">
        <v>66</v>
      </c>
      <c r="L100" t="s">
        <v>67</v>
      </c>
      <c r="M100" t="s">
        <v>68</v>
      </c>
      <c r="N100" t="s">
        <v>69</v>
      </c>
      <c r="O100" t="s">
        <v>70</v>
      </c>
      <c r="P100">
        <v>2</v>
      </c>
      <c r="Q100" t="b">
        <v>0</v>
      </c>
      <c r="R100" s="1">
        <v>45092.381944444445</v>
      </c>
      <c r="V100" s="2">
        <v>45092.381944444445</v>
      </c>
      <c r="W100">
        <v>6</v>
      </c>
      <c r="X100">
        <v>2023</v>
      </c>
      <c r="Y100" t="s">
        <v>93</v>
      </c>
      <c r="Z100">
        <v>2</v>
      </c>
    </row>
    <row r="101" spans="1:26" x14ac:dyDescent="0.45">
      <c r="A101">
        <v>2106</v>
      </c>
      <c r="B101">
        <v>1044</v>
      </c>
      <c r="C101" t="s">
        <v>328</v>
      </c>
      <c r="D101" t="s">
        <v>22</v>
      </c>
      <c r="E101">
        <v>28</v>
      </c>
      <c r="F101">
        <v>684</v>
      </c>
      <c r="G101" t="s">
        <v>329</v>
      </c>
      <c r="H101" t="s">
        <v>85</v>
      </c>
      <c r="I101" t="s">
        <v>116</v>
      </c>
      <c r="J101" t="s">
        <v>330</v>
      </c>
      <c r="K101" t="s">
        <v>27</v>
      </c>
      <c r="L101" t="s">
        <v>28</v>
      </c>
      <c r="M101" t="s">
        <v>142</v>
      </c>
      <c r="N101" t="s">
        <v>143</v>
      </c>
      <c r="O101" t="s">
        <v>144</v>
      </c>
      <c r="P101">
        <v>3</v>
      </c>
      <c r="Q101" t="b">
        <v>1</v>
      </c>
      <c r="R101" s="1">
        <v>44615.515972222223</v>
      </c>
      <c r="S101" s="1">
        <v>44616.73541666667</v>
      </c>
      <c r="T101" t="s">
        <v>109</v>
      </c>
      <c r="U101" t="b">
        <v>0</v>
      </c>
      <c r="V101" s="2">
        <v>44615.515972222223</v>
      </c>
      <c r="W101">
        <v>2</v>
      </c>
      <c r="X101">
        <v>2022</v>
      </c>
      <c r="Y101" t="s">
        <v>85</v>
      </c>
      <c r="Z101">
        <v>3</v>
      </c>
    </row>
    <row r="102" spans="1:26" x14ac:dyDescent="0.45">
      <c r="A102">
        <v>2107</v>
      </c>
      <c r="B102">
        <v>1324</v>
      </c>
      <c r="C102" t="s">
        <v>21</v>
      </c>
      <c r="D102" t="s">
        <v>22</v>
      </c>
      <c r="E102">
        <v>29</v>
      </c>
      <c r="F102">
        <v>698</v>
      </c>
      <c r="G102" t="s">
        <v>23</v>
      </c>
      <c r="H102" t="s">
        <v>24</v>
      </c>
      <c r="I102" t="s">
        <v>25</v>
      </c>
      <c r="J102" t="s">
        <v>26</v>
      </c>
      <c r="K102" t="s">
        <v>55</v>
      </c>
      <c r="L102" t="s">
        <v>67</v>
      </c>
      <c r="M102" t="s">
        <v>108</v>
      </c>
      <c r="N102" t="s">
        <v>99</v>
      </c>
      <c r="O102" t="s">
        <v>30</v>
      </c>
      <c r="P102">
        <v>2</v>
      </c>
      <c r="Q102" t="b">
        <v>1</v>
      </c>
      <c r="R102" s="1">
        <v>43978.368055555555</v>
      </c>
      <c r="S102" s="1">
        <v>43982.961805555555</v>
      </c>
      <c r="T102" t="s">
        <v>109</v>
      </c>
      <c r="U102" t="b">
        <v>0</v>
      </c>
      <c r="V102" s="2">
        <v>43978.368055555555</v>
      </c>
      <c r="W102">
        <v>5</v>
      </c>
      <c r="X102">
        <v>2020</v>
      </c>
      <c r="Y102" t="s">
        <v>24</v>
      </c>
      <c r="Z102">
        <v>2</v>
      </c>
    </row>
    <row r="103" spans="1:26" x14ac:dyDescent="0.45">
      <c r="A103">
        <v>2108</v>
      </c>
      <c r="B103">
        <v>1363</v>
      </c>
      <c r="C103" t="s">
        <v>33</v>
      </c>
      <c r="D103" t="s">
        <v>22</v>
      </c>
      <c r="E103">
        <v>62</v>
      </c>
      <c r="F103">
        <v>760</v>
      </c>
      <c r="G103" t="s">
        <v>34</v>
      </c>
      <c r="H103" t="s">
        <v>35</v>
      </c>
      <c r="I103" t="s">
        <v>36</v>
      </c>
      <c r="J103" t="s">
        <v>36</v>
      </c>
      <c r="K103" t="s">
        <v>37</v>
      </c>
      <c r="L103" t="s">
        <v>76</v>
      </c>
      <c r="M103" t="s">
        <v>160</v>
      </c>
      <c r="N103" t="s">
        <v>79</v>
      </c>
      <c r="O103" t="s">
        <v>161</v>
      </c>
      <c r="P103">
        <v>4</v>
      </c>
      <c r="Q103" t="b">
        <v>0</v>
      </c>
      <c r="R103" s="1">
        <v>44049.698611111111</v>
      </c>
      <c r="V103" s="2">
        <v>44049.698611111111</v>
      </c>
      <c r="W103">
        <v>8</v>
      </c>
      <c r="X103">
        <v>2020</v>
      </c>
      <c r="Y103" t="s">
        <v>35</v>
      </c>
      <c r="Z103">
        <v>4</v>
      </c>
    </row>
    <row r="104" spans="1:26" x14ac:dyDescent="0.45">
      <c r="A104">
        <v>2109</v>
      </c>
      <c r="B104">
        <v>1387</v>
      </c>
      <c r="C104" t="s">
        <v>41</v>
      </c>
      <c r="D104" t="s">
        <v>42</v>
      </c>
      <c r="E104">
        <v>50</v>
      </c>
      <c r="F104">
        <v>706</v>
      </c>
      <c r="G104" t="s">
        <v>43</v>
      </c>
      <c r="H104" t="s">
        <v>24</v>
      </c>
      <c r="I104" t="s">
        <v>44</v>
      </c>
      <c r="J104" t="s">
        <v>45</v>
      </c>
      <c r="K104" t="s">
        <v>102</v>
      </c>
      <c r="L104" t="s">
        <v>28</v>
      </c>
      <c r="M104" t="s">
        <v>38</v>
      </c>
      <c r="N104" t="s">
        <v>31</v>
      </c>
      <c r="O104" t="s">
        <v>39</v>
      </c>
      <c r="P104">
        <v>4</v>
      </c>
      <c r="Q104" t="b">
        <v>1</v>
      </c>
      <c r="R104" s="1">
        <v>44053.359027777777</v>
      </c>
      <c r="S104" s="1">
        <v>44054.708333333336</v>
      </c>
      <c r="T104" t="s">
        <v>109</v>
      </c>
      <c r="U104" t="b">
        <v>0</v>
      </c>
      <c r="V104" s="2">
        <v>44053.359027777777</v>
      </c>
      <c r="W104">
        <v>8</v>
      </c>
      <c r="X104">
        <v>2020</v>
      </c>
      <c r="Y104" t="s">
        <v>24</v>
      </c>
      <c r="Z104">
        <v>4</v>
      </c>
    </row>
    <row r="105" spans="1:26" x14ac:dyDescent="0.45">
      <c r="A105">
        <v>2110</v>
      </c>
      <c r="B105">
        <v>1310</v>
      </c>
      <c r="C105" t="s">
        <v>50</v>
      </c>
      <c r="D105" t="s">
        <v>42</v>
      </c>
      <c r="E105">
        <v>57</v>
      </c>
      <c r="F105">
        <v>709</v>
      </c>
      <c r="G105" t="s">
        <v>51</v>
      </c>
      <c r="H105" t="s">
        <v>52</v>
      </c>
      <c r="I105" t="s">
        <v>53</v>
      </c>
      <c r="J105" t="s">
        <v>54</v>
      </c>
      <c r="K105" t="s">
        <v>27</v>
      </c>
      <c r="L105" t="s">
        <v>76</v>
      </c>
      <c r="M105" t="s">
        <v>77</v>
      </c>
      <c r="N105" t="s">
        <v>78</v>
      </c>
      <c r="O105" t="s">
        <v>79</v>
      </c>
      <c r="P105">
        <v>1</v>
      </c>
      <c r="Q105" t="b">
        <v>1</v>
      </c>
      <c r="R105" s="1">
        <v>45039.083333333336</v>
      </c>
      <c r="S105" s="1">
        <v>45039.754861111112</v>
      </c>
      <c r="T105" t="s">
        <v>109</v>
      </c>
      <c r="U105" t="b">
        <v>0</v>
      </c>
      <c r="V105" s="2">
        <v>45039.083333333336</v>
      </c>
      <c r="W105">
        <v>4</v>
      </c>
      <c r="X105">
        <v>2023</v>
      </c>
      <c r="Y105" t="s">
        <v>52</v>
      </c>
      <c r="Z105">
        <v>1</v>
      </c>
    </row>
    <row r="106" spans="1:26" x14ac:dyDescent="0.45">
      <c r="A106">
        <v>2111</v>
      </c>
      <c r="B106">
        <v>1278</v>
      </c>
      <c r="C106" t="s">
        <v>61</v>
      </c>
      <c r="D106" t="s">
        <v>42</v>
      </c>
      <c r="E106">
        <v>18</v>
      </c>
      <c r="F106">
        <v>607</v>
      </c>
      <c r="G106" t="s">
        <v>62</v>
      </c>
      <c r="H106" t="s">
        <v>63</v>
      </c>
      <c r="I106" t="s">
        <v>64</v>
      </c>
      <c r="J106" t="s">
        <v>65</v>
      </c>
      <c r="K106" t="s">
        <v>102</v>
      </c>
      <c r="L106" t="s">
        <v>56</v>
      </c>
      <c r="M106" t="s">
        <v>179</v>
      </c>
      <c r="N106" t="s">
        <v>79</v>
      </c>
      <c r="O106" t="s">
        <v>161</v>
      </c>
      <c r="P106">
        <v>4</v>
      </c>
      <c r="Q106" t="b">
        <v>1</v>
      </c>
      <c r="R106" s="1">
        <v>44203.223611111112</v>
      </c>
      <c r="S106" s="1">
        <v>44204.570833333331</v>
      </c>
      <c r="T106" t="s">
        <v>40</v>
      </c>
      <c r="U106" t="b">
        <v>1</v>
      </c>
      <c r="V106" s="2">
        <v>44203.223611111112</v>
      </c>
      <c r="W106">
        <v>1</v>
      </c>
      <c r="X106">
        <v>2021</v>
      </c>
      <c r="Y106" t="s">
        <v>63</v>
      </c>
      <c r="Z106">
        <v>4</v>
      </c>
    </row>
    <row r="107" spans="1:26" x14ac:dyDescent="0.45">
      <c r="A107">
        <v>2112</v>
      </c>
      <c r="B107">
        <v>1098</v>
      </c>
      <c r="C107" t="s">
        <v>71</v>
      </c>
      <c r="D107" t="s">
        <v>22</v>
      </c>
      <c r="E107">
        <v>22</v>
      </c>
      <c r="F107">
        <v>628</v>
      </c>
      <c r="G107" t="s">
        <v>72</v>
      </c>
      <c r="H107" t="s">
        <v>73</v>
      </c>
      <c r="I107" t="s">
        <v>74</v>
      </c>
      <c r="J107" t="s">
        <v>75</v>
      </c>
      <c r="K107" t="s">
        <v>55</v>
      </c>
      <c r="L107" t="s">
        <v>67</v>
      </c>
      <c r="M107" t="s">
        <v>165</v>
      </c>
      <c r="N107" t="s">
        <v>166</v>
      </c>
      <c r="O107" t="s">
        <v>167</v>
      </c>
      <c r="P107">
        <v>1</v>
      </c>
      <c r="Q107" t="b">
        <v>1</v>
      </c>
      <c r="R107" s="1">
        <v>44307.277777777781</v>
      </c>
      <c r="S107" s="1">
        <v>44310.553472222222</v>
      </c>
      <c r="T107" t="s">
        <v>40</v>
      </c>
      <c r="U107" t="b">
        <v>0</v>
      </c>
      <c r="V107" s="2">
        <v>44307.277777777781</v>
      </c>
      <c r="W107">
        <v>4</v>
      </c>
      <c r="X107">
        <v>2021</v>
      </c>
      <c r="Y107" t="s">
        <v>73</v>
      </c>
      <c r="Z107">
        <v>1</v>
      </c>
    </row>
    <row r="108" spans="1:26" x14ac:dyDescent="0.45">
      <c r="A108">
        <v>2113</v>
      </c>
      <c r="B108">
        <v>1237</v>
      </c>
      <c r="C108" t="s">
        <v>80</v>
      </c>
      <c r="D108" t="s">
        <v>42</v>
      </c>
      <c r="E108">
        <v>18</v>
      </c>
      <c r="F108">
        <v>637</v>
      </c>
      <c r="G108" t="s">
        <v>81</v>
      </c>
      <c r="H108" t="s">
        <v>35</v>
      </c>
      <c r="I108" t="s">
        <v>36</v>
      </c>
      <c r="J108" t="s">
        <v>82</v>
      </c>
      <c r="K108" t="s">
        <v>37</v>
      </c>
      <c r="L108" t="s">
        <v>56</v>
      </c>
      <c r="M108" t="s">
        <v>197</v>
      </c>
      <c r="N108" t="s">
        <v>198</v>
      </c>
      <c r="O108" t="s">
        <v>199</v>
      </c>
      <c r="P108">
        <v>3</v>
      </c>
      <c r="Q108" t="b">
        <v>1</v>
      </c>
      <c r="R108" s="1">
        <v>44839.825694444444</v>
      </c>
      <c r="S108" s="1">
        <v>44844.571527777778</v>
      </c>
      <c r="T108" t="s">
        <v>60</v>
      </c>
      <c r="U108" t="b">
        <v>0</v>
      </c>
      <c r="V108" s="2">
        <v>44839.825694444444</v>
      </c>
      <c r="W108">
        <v>10</v>
      </c>
      <c r="X108">
        <v>2022</v>
      </c>
      <c r="Y108" t="s">
        <v>35</v>
      </c>
      <c r="Z108">
        <v>3</v>
      </c>
    </row>
    <row r="109" spans="1:26" x14ac:dyDescent="0.45">
      <c r="A109">
        <v>2114</v>
      </c>
      <c r="B109">
        <v>1000</v>
      </c>
      <c r="C109" t="s">
        <v>83</v>
      </c>
      <c r="D109" t="s">
        <v>22</v>
      </c>
      <c r="E109">
        <v>74</v>
      </c>
      <c r="F109">
        <v>747</v>
      </c>
      <c r="G109" t="s">
        <v>84</v>
      </c>
      <c r="H109" t="s">
        <v>85</v>
      </c>
      <c r="I109" t="s">
        <v>86</v>
      </c>
      <c r="J109" t="s">
        <v>87</v>
      </c>
      <c r="K109" t="s">
        <v>66</v>
      </c>
      <c r="L109" t="s">
        <v>67</v>
      </c>
      <c r="M109" t="s">
        <v>165</v>
      </c>
      <c r="N109" t="s">
        <v>166</v>
      </c>
      <c r="O109" t="s">
        <v>167</v>
      </c>
      <c r="P109">
        <v>4</v>
      </c>
      <c r="Q109" t="b">
        <v>1</v>
      </c>
      <c r="R109" s="1">
        <v>44443.904166666667</v>
      </c>
      <c r="S109" s="1">
        <v>44446.879861111112</v>
      </c>
      <c r="T109" t="s">
        <v>32</v>
      </c>
      <c r="U109" t="b">
        <v>1</v>
      </c>
      <c r="V109" s="2">
        <v>44443.904166666667</v>
      </c>
      <c r="W109">
        <v>9</v>
      </c>
      <c r="X109">
        <v>2021</v>
      </c>
      <c r="Y109" t="s">
        <v>85</v>
      </c>
      <c r="Z109">
        <v>4</v>
      </c>
    </row>
    <row r="110" spans="1:26" x14ac:dyDescent="0.45">
      <c r="A110">
        <v>2115</v>
      </c>
      <c r="B110">
        <v>1300</v>
      </c>
      <c r="C110" t="s">
        <v>91</v>
      </c>
      <c r="D110" t="s">
        <v>22</v>
      </c>
      <c r="E110">
        <v>41</v>
      </c>
      <c r="F110">
        <v>682</v>
      </c>
      <c r="G110" t="s">
        <v>92</v>
      </c>
      <c r="H110" t="s">
        <v>93</v>
      </c>
      <c r="I110" t="s">
        <v>94</v>
      </c>
      <c r="J110" t="s">
        <v>95</v>
      </c>
      <c r="K110" t="s">
        <v>27</v>
      </c>
      <c r="L110" t="s">
        <v>28</v>
      </c>
      <c r="M110" t="s">
        <v>142</v>
      </c>
      <c r="N110" t="s">
        <v>143</v>
      </c>
      <c r="O110" t="s">
        <v>144</v>
      </c>
      <c r="P110">
        <v>2</v>
      </c>
      <c r="Q110" t="b">
        <v>1</v>
      </c>
      <c r="R110" s="1">
        <v>44844.279861111114</v>
      </c>
      <c r="S110" s="1">
        <v>44846.600694444445</v>
      </c>
      <c r="T110" t="s">
        <v>40</v>
      </c>
      <c r="U110" t="b">
        <v>0</v>
      </c>
      <c r="V110" s="2">
        <v>44844.279861111114</v>
      </c>
      <c r="W110">
        <v>10</v>
      </c>
      <c r="X110">
        <v>2022</v>
      </c>
      <c r="Y110" t="s">
        <v>93</v>
      </c>
      <c r="Z110">
        <v>2</v>
      </c>
    </row>
    <row r="111" spans="1:26" x14ac:dyDescent="0.45">
      <c r="A111">
        <v>2116</v>
      </c>
      <c r="B111">
        <v>1110</v>
      </c>
      <c r="C111" t="s">
        <v>100</v>
      </c>
      <c r="D111" t="s">
        <v>42</v>
      </c>
      <c r="E111">
        <v>19</v>
      </c>
      <c r="F111">
        <v>672</v>
      </c>
      <c r="G111" t="s">
        <v>101</v>
      </c>
      <c r="H111" t="s">
        <v>35</v>
      </c>
      <c r="I111" t="s">
        <v>36</v>
      </c>
      <c r="J111" t="s">
        <v>36</v>
      </c>
      <c r="K111" t="s">
        <v>46</v>
      </c>
      <c r="L111" t="s">
        <v>28</v>
      </c>
      <c r="M111" t="s">
        <v>38</v>
      </c>
      <c r="N111" t="s">
        <v>31</v>
      </c>
      <c r="O111" t="s">
        <v>39</v>
      </c>
      <c r="P111">
        <v>4</v>
      </c>
      <c r="Q111" t="b">
        <v>1</v>
      </c>
      <c r="R111" s="1">
        <v>44330.152083333334</v>
      </c>
      <c r="S111" s="1">
        <v>44333.811805555553</v>
      </c>
      <c r="T111" t="s">
        <v>40</v>
      </c>
      <c r="U111" t="b">
        <v>1</v>
      </c>
      <c r="V111" s="2">
        <v>44330.152083333334</v>
      </c>
      <c r="W111">
        <v>5</v>
      </c>
      <c r="X111">
        <v>2021</v>
      </c>
      <c r="Y111" t="s">
        <v>35</v>
      </c>
      <c r="Z111">
        <v>4</v>
      </c>
    </row>
    <row r="112" spans="1:26" x14ac:dyDescent="0.45">
      <c r="A112">
        <v>2117</v>
      </c>
      <c r="B112">
        <v>1331</v>
      </c>
      <c r="C112" t="s">
        <v>105</v>
      </c>
      <c r="D112" t="s">
        <v>22</v>
      </c>
      <c r="E112">
        <v>18</v>
      </c>
      <c r="F112">
        <v>623</v>
      </c>
      <c r="G112" t="s">
        <v>106</v>
      </c>
      <c r="H112" t="s">
        <v>93</v>
      </c>
      <c r="I112" t="s">
        <v>94</v>
      </c>
      <c r="J112" t="s">
        <v>107</v>
      </c>
      <c r="K112" t="s">
        <v>37</v>
      </c>
      <c r="L112" t="s">
        <v>67</v>
      </c>
      <c r="M112" t="s">
        <v>108</v>
      </c>
      <c r="N112" t="s">
        <v>99</v>
      </c>
      <c r="O112" t="s">
        <v>30</v>
      </c>
      <c r="P112">
        <v>1</v>
      </c>
      <c r="Q112" t="b">
        <v>1</v>
      </c>
      <c r="R112" s="1">
        <v>45264.136111111111</v>
      </c>
      <c r="S112" s="1">
        <v>45267.795138888891</v>
      </c>
      <c r="T112" t="s">
        <v>60</v>
      </c>
      <c r="U112" t="b">
        <v>0</v>
      </c>
      <c r="V112" s="2">
        <v>45264.136111111111</v>
      </c>
      <c r="W112">
        <v>12</v>
      </c>
      <c r="X112">
        <v>2023</v>
      </c>
      <c r="Y112" t="s">
        <v>93</v>
      </c>
      <c r="Z112">
        <v>1</v>
      </c>
    </row>
    <row r="113" spans="1:26" x14ac:dyDescent="0.45">
      <c r="A113">
        <v>2118</v>
      </c>
      <c r="B113">
        <v>1146</v>
      </c>
      <c r="C113" t="s">
        <v>110</v>
      </c>
      <c r="D113" t="s">
        <v>22</v>
      </c>
      <c r="E113">
        <v>71</v>
      </c>
      <c r="F113">
        <v>749</v>
      </c>
      <c r="G113" t="s">
        <v>111</v>
      </c>
      <c r="H113" t="s">
        <v>93</v>
      </c>
      <c r="I113" t="s">
        <v>112</v>
      </c>
      <c r="J113" t="s">
        <v>113</v>
      </c>
      <c r="K113" t="s">
        <v>55</v>
      </c>
      <c r="L113" t="s">
        <v>76</v>
      </c>
      <c r="M113" t="s">
        <v>77</v>
      </c>
      <c r="N113" t="s">
        <v>78</v>
      </c>
      <c r="O113" t="s">
        <v>79</v>
      </c>
      <c r="P113">
        <v>1</v>
      </c>
      <c r="Q113" t="b">
        <v>0</v>
      </c>
      <c r="R113" s="1">
        <v>44634.896527777775</v>
      </c>
      <c r="V113" s="2">
        <v>44634.896527777775</v>
      </c>
      <c r="W113">
        <v>3</v>
      </c>
      <c r="X113">
        <v>2022</v>
      </c>
      <c r="Y113" t="s">
        <v>93</v>
      </c>
      <c r="Z113">
        <v>1</v>
      </c>
    </row>
    <row r="114" spans="1:26" x14ac:dyDescent="0.45">
      <c r="A114">
        <v>2119</v>
      </c>
      <c r="B114">
        <v>1070</v>
      </c>
      <c r="C114" t="s">
        <v>114</v>
      </c>
      <c r="D114" t="s">
        <v>22</v>
      </c>
      <c r="E114">
        <v>21</v>
      </c>
      <c r="F114">
        <v>609</v>
      </c>
      <c r="G114" t="s">
        <v>115</v>
      </c>
      <c r="H114" t="s">
        <v>85</v>
      </c>
      <c r="I114" t="s">
        <v>116</v>
      </c>
      <c r="J114" t="s">
        <v>117</v>
      </c>
      <c r="K114" t="s">
        <v>66</v>
      </c>
      <c r="L114" t="s">
        <v>96</v>
      </c>
      <c r="M114" t="s">
        <v>118</v>
      </c>
      <c r="N114" t="s">
        <v>90</v>
      </c>
      <c r="O114" t="s">
        <v>119</v>
      </c>
      <c r="P114">
        <v>3</v>
      </c>
      <c r="Q114" t="b">
        <v>1</v>
      </c>
      <c r="R114" s="1">
        <v>45214.740972222222</v>
      </c>
      <c r="S114" s="1">
        <v>45217.440972222219</v>
      </c>
      <c r="T114" t="s">
        <v>32</v>
      </c>
      <c r="U114" t="b">
        <v>0</v>
      </c>
      <c r="V114" s="2">
        <v>45214.740972222222</v>
      </c>
      <c r="W114">
        <v>10</v>
      </c>
      <c r="X114">
        <v>2023</v>
      </c>
      <c r="Y114" t="s">
        <v>85</v>
      </c>
      <c r="Z114">
        <v>3</v>
      </c>
    </row>
    <row r="115" spans="1:26" x14ac:dyDescent="0.45">
      <c r="A115">
        <v>2120</v>
      </c>
      <c r="B115">
        <v>1216</v>
      </c>
      <c r="C115" t="s">
        <v>120</v>
      </c>
      <c r="D115" t="s">
        <v>22</v>
      </c>
      <c r="E115">
        <v>68</v>
      </c>
      <c r="F115">
        <v>747</v>
      </c>
      <c r="G115" t="s">
        <v>121</v>
      </c>
      <c r="H115" t="s">
        <v>35</v>
      </c>
      <c r="I115" t="s">
        <v>122</v>
      </c>
      <c r="J115" t="s">
        <v>123</v>
      </c>
      <c r="K115" t="s">
        <v>102</v>
      </c>
      <c r="L115" t="s">
        <v>76</v>
      </c>
      <c r="M115" t="s">
        <v>160</v>
      </c>
      <c r="N115" t="s">
        <v>79</v>
      </c>
      <c r="O115" t="s">
        <v>161</v>
      </c>
      <c r="P115">
        <v>2</v>
      </c>
      <c r="Q115" t="b">
        <v>1</v>
      </c>
      <c r="R115" s="1">
        <v>44227.209722222222</v>
      </c>
      <c r="S115" s="1">
        <v>44230.920138888891</v>
      </c>
      <c r="T115" t="s">
        <v>60</v>
      </c>
      <c r="U115" t="b">
        <v>0</v>
      </c>
      <c r="V115" s="2">
        <v>44227.209722222222</v>
      </c>
      <c r="W115">
        <v>1</v>
      </c>
      <c r="X115">
        <v>2021</v>
      </c>
      <c r="Y115" t="s">
        <v>35</v>
      </c>
      <c r="Z115">
        <v>2</v>
      </c>
    </row>
    <row r="116" spans="1:26" x14ac:dyDescent="0.45">
      <c r="A116">
        <v>2121</v>
      </c>
      <c r="B116">
        <v>1152</v>
      </c>
      <c r="C116" t="s">
        <v>124</v>
      </c>
      <c r="D116" t="s">
        <v>22</v>
      </c>
      <c r="E116">
        <v>38</v>
      </c>
      <c r="F116">
        <v>698</v>
      </c>
      <c r="G116" t="s">
        <v>125</v>
      </c>
      <c r="H116" t="s">
        <v>85</v>
      </c>
      <c r="I116" t="s">
        <v>86</v>
      </c>
      <c r="J116" t="s">
        <v>87</v>
      </c>
      <c r="K116" t="s">
        <v>102</v>
      </c>
      <c r="L116" t="s">
        <v>96</v>
      </c>
      <c r="M116" t="s">
        <v>97</v>
      </c>
      <c r="N116" t="s">
        <v>98</v>
      </c>
      <c r="O116" t="s">
        <v>99</v>
      </c>
      <c r="P116">
        <v>4</v>
      </c>
      <c r="Q116" t="b">
        <v>1</v>
      </c>
      <c r="R116" s="1">
        <v>44842.094444444447</v>
      </c>
      <c r="S116" s="1">
        <v>44844.379166666666</v>
      </c>
      <c r="T116" t="s">
        <v>60</v>
      </c>
      <c r="U116" t="b">
        <v>0</v>
      </c>
      <c r="V116" s="2">
        <v>44842.094444444447</v>
      </c>
      <c r="W116">
        <v>10</v>
      </c>
      <c r="X116">
        <v>2022</v>
      </c>
      <c r="Y116" t="s">
        <v>85</v>
      </c>
      <c r="Z116">
        <v>4</v>
      </c>
    </row>
    <row r="117" spans="1:26" x14ac:dyDescent="0.45">
      <c r="A117">
        <v>2122</v>
      </c>
      <c r="B117">
        <v>1045</v>
      </c>
      <c r="C117" t="s">
        <v>127</v>
      </c>
      <c r="D117" t="s">
        <v>42</v>
      </c>
      <c r="E117">
        <v>26</v>
      </c>
      <c r="F117">
        <v>616</v>
      </c>
      <c r="G117" t="s">
        <v>128</v>
      </c>
      <c r="H117" t="s">
        <v>129</v>
      </c>
      <c r="I117" t="s">
        <v>130</v>
      </c>
      <c r="J117" t="s">
        <v>131</v>
      </c>
      <c r="K117" t="s">
        <v>46</v>
      </c>
      <c r="L117" t="s">
        <v>67</v>
      </c>
      <c r="M117" t="s">
        <v>165</v>
      </c>
      <c r="N117" t="s">
        <v>166</v>
      </c>
      <c r="O117" t="s">
        <v>167</v>
      </c>
      <c r="P117">
        <v>3</v>
      </c>
      <c r="Q117" t="b">
        <v>1</v>
      </c>
      <c r="R117" s="1">
        <v>45011.057638888888</v>
      </c>
      <c r="S117" s="1">
        <v>45012.792361111111</v>
      </c>
      <c r="T117" t="s">
        <v>32</v>
      </c>
      <c r="U117" t="b">
        <v>0</v>
      </c>
      <c r="V117" s="2">
        <v>45011.057638888888</v>
      </c>
      <c r="W117">
        <v>3</v>
      </c>
      <c r="X117">
        <v>2023</v>
      </c>
      <c r="Y117" t="s">
        <v>129</v>
      </c>
      <c r="Z117">
        <v>3</v>
      </c>
    </row>
    <row r="118" spans="1:26" x14ac:dyDescent="0.45">
      <c r="A118">
        <v>2123</v>
      </c>
      <c r="B118">
        <v>1454</v>
      </c>
      <c r="C118" t="s">
        <v>133</v>
      </c>
      <c r="D118" t="s">
        <v>42</v>
      </c>
      <c r="E118">
        <v>79</v>
      </c>
      <c r="F118">
        <v>745</v>
      </c>
      <c r="G118" t="s">
        <v>134</v>
      </c>
      <c r="H118" t="s">
        <v>35</v>
      </c>
      <c r="I118" t="s">
        <v>122</v>
      </c>
      <c r="J118" t="s">
        <v>135</v>
      </c>
      <c r="K118" t="s">
        <v>37</v>
      </c>
      <c r="L118" t="s">
        <v>67</v>
      </c>
      <c r="M118" t="s">
        <v>233</v>
      </c>
      <c r="N118" t="s">
        <v>89</v>
      </c>
      <c r="O118" t="s">
        <v>90</v>
      </c>
      <c r="P118">
        <v>2</v>
      </c>
      <c r="Q118" t="b">
        <v>1</v>
      </c>
      <c r="R118" s="1">
        <v>44919.691666666666</v>
      </c>
      <c r="S118" s="1">
        <v>44922.394444444442</v>
      </c>
      <c r="T118" t="s">
        <v>40</v>
      </c>
      <c r="U118" t="b">
        <v>0</v>
      </c>
      <c r="V118" s="2">
        <v>44919.691666666666</v>
      </c>
      <c r="W118">
        <v>12</v>
      </c>
      <c r="X118">
        <v>2022</v>
      </c>
      <c r="Y118" t="s">
        <v>35</v>
      </c>
      <c r="Z118">
        <v>2</v>
      </c>
    </row>
    <row r="119" spans="1:26" x14ac:dyDescent="0.45">
      <c r="A119">
        <v>2124</v>
      </c>
      <c r="B119">
        <v>1352</v>
      </c>
      <c r="C119" t="s">
        <v>138</v>
      </c>
      <c r="D119" t="s">
        <v>22</v>
      </c>
      <c r="E119">
        <v>28</v>
      </c>
      <c r="F119">
        <v>699</v>
      </c>
      <c r="G119" t="s">
        <v>139</v>
      </c>
      <c r="H119" t="s">
        <v>73</v>
      </c>
      <c r="I119" t="s">
        <v>140</v>
      </c>
      <c r="J119" t="s">
        <v>141</v>
      </c>
      <c r="K119" t="s">
        <v>66</v>
      </c>
      <c r="L119" t="s">
        <v>56</v>
      </c>
      <c r="M119" t="s">
        <v>197</v>
      </c>
      <c r="N119" t="s">
        <v>198</v>
      </c>
      <c r="O119" t="s">
        <v>199</v>
      </c>
      <c r="P119">
        <v>4</v>
      </c>
      <c r="Q119" t="b">
        <v>1</v>
      </c>
      <c r="R119" s="1">
        <v>45055.060416666667</v>
      </c>
      <c r="S119" s="1">
        <v>45057.067361111112</v>
      </c>
      <c r="T119" t="s">
        <v>32</v>
      </c>
      <c r="U119" t="b">
        <v>0</v>
      </c>
      <c r="V119" s="2">
        <v>45055.060416666667</v>
      </c>
      <c r="W119">
        <v>5</v>
      </c>
      <c r="X119">
        <v>2023</v>
      </c>
      <c r="Y119" t="s">
        <v>73</v>
      </c>
      <c r="Z119">
        <v>4</v>
      </c>
    </row>
    <row r="120" spans="1:26" x14ac:dyDescent="0.45">
      <c r="A120">
        <v>2125</v>
      </c>
      <c r="B120">
        <v>1452</v>
      </c>
      <c r="C120" t="s">
        <v>145</v>
      </c>
      <c r="D120" t="s">
        <v>42</v>
      </c>
      <c r="E120">
        <v>48</v>
      </c>
      <c r="F120">
        <v>725</v>
      </c>
      <c r="G120" t="s">
        <v>146</v>
      </c>
      <c r="H120" t="s">
        <v>93</v>
      </c>
      <c r="I120" t="s">
        <v>112</v>
      </c>
      <c r="J120" t="s">
        <v>147</v>
      </c>
      <c r="K120" t="s">
        <v>66</v>
      </c>
      <c r="L120" t="s">
        <v>56</v>
      </c>
      <c r="M120" t="s">
        <v>179</v>
      </c>
      <c r="N120" t="s">
        <v>79</v>
      </c>
      <c r="O120" t="s">
        <v>161</v>
      </c>
      <c r="P120">
        <v>5</v>
      </c>
      <c r="Q120" t="b">
        <v>0</v>
      </c>
      <c r="R120" s="1">
        <v>45163.823611111111</v>
      </c>
      <c r="V120" s="2">
        <v>45163.823611111111</v>
      </c>
      <c r="W120">
        <v>8</v>
      </c>
      <c r="X120">
        <v>2023</v>
      </c>
      <c r="Y120" t="s">
        <v>93</v>
      </c>
      <c r="Z120">
        <v>5</v>
      </c>
    </row>
    <row r="121" spans="1:26" x14ac:dyDescent="0.45">
      <c r="A121">
        <v>2126</v>
      </c>
      <c r="B121">
        <v>1144</v>
      </c>
      <c r="C121" t="s">
        <v>148</v>
      </c>
      <c r="D121" t="s">
        <v>42</v>
      </c>
      <c r="E121">
        <v>69</v>
      </c>
      <c r="F121">
        <v>743</v>
      </c>
      <c r="G121" t="s">
        <v>149</v>
      </c>
      <c r="H121" t="s">
        <v>52</v>
      </c>
      <c r="I121" t="s">
        <v>150</v>
      </c>
      <c r="J121" t="s">
        <v>151</v>
      </c>
      <c r="K121" t="s">
        <v>27</v>
      </c>
      <c r="L121" t="s">
        <v>96</v>
      </c>
      <c r="M121" t="s">
        <v>103</v>
      </c>
      <c r="N121" t="s">
        <v>31</v>
      </c>
      <c r="O121" t="s">
        <v>104</v>
      </c>
      <c r="P121">
        <v>2</v>
      </c>
      <c r="Q121" t="b">
        <v>1</v>
      </c>
      <c r="R121" s="1">
        <v>45279.324305555558</v>
      </c>
      <c r="S121" s="1">
        <v>45285.551388888889</v>
      </c>
      <c r="T121" t="s">
        <v>40</v>
      </c>
      <c r="U121" t="b">
        <v>0</v>
      </c>
      <c r="V121" s="2">
        <v>45279.324305555558</v>
      </c>
      <c r="W121">
        <v>12</v>
      </c>
      <c r="X121">
        <v>2023</v>
      </c>
      <c r="Y121" t="s">
        <v>52</v>
      </c>
      <c r="Z121">
        <v>2</v>
      </c>
    </row>
    <row r="122" spans="1:26" x14ac:dyDescent="0.45">
      <c r="A122">
        <v>2127</v>
      </c>
      <c r="B122">
        <v>1218</v>
      </c>
      <c r="C122" t="s">
        <v>152</v>
      </c>
      <c r="D122" t="s">
        <v>22</v>
      </c>
      <c r="E122">
        <v>71</v>
      </c>
      <c r="F122">
        <v>752</v>
      </c>
      <c r="G122" t="s">
        <v>153</v>
      </c>
      <c r="H122" t="s">
        <v>85</v>
      </c>
      <c r="I122" t="s">
        <v>116</v>
      </c>
      <c r="J122" t="s">
        <v>154</v>
      </c>
      <c r="K122" t="s">
        <v>27</v>
      </c>
      <c r="L122" t="s">
        <v>28</v>
      </c>
      <c r="M122" t="s">
        <v>47</v>
      </c>
      <c r="N122" t="s">
        <v>48</v>
      </c>
      <c r="O122" t="s">
        <v>49</v>
      </c>
      <c r="P122">
        <v>3</v>
      </c>
      <c r="Q122" t="b">
        <v>0</v>
      </c>
      <c r="R122" s="1">
        <v>43984.922222222223</v>
      </c>
      <c r="V122" s="2">
        <v>43984.922222222223</v>
      </c>
      <c r="W122">
        <v>6</v>
      </c>
      <c r="X122">
        <v>2020</v>
      </c>
      <c r="Y122" t="s">
        <v>85</v>
      </c>
      <c r="Z122">
        <v>3</v>
      </c>
    </row>
    <row r="123" spans="1:26" x14ac:dyDescent="0.45">
      <c r="A123">
        <v>2128</v>
      </c>
      <c r="B123">
        <v>1029</v>
      </c>
      <c r="C123" t="s">
        <v>155</v>
      </c>
      <c r="D123" t="s">
        <v>42</v>
      </c>
      <c r="E123">
        <v>60</v>
      </c>
      <c r="F123">
        <v>757</v>
      </c>
      <c r="G123" t="s">
        <v>156</v>
      </c>
      <c r="H123" t="s">
        <v>73</v>
      </c>
      <c r="I123" t="s">
        <v>74</v>
      </c>
      <c r="J123" t="s">
        <v>157</v>
      </c>
      <c r="K123" t="s">
        <v>46</v>
      </c>
      <c r="L123" t="s">
        <v>96</v>
      </c>
      <c r="M123" t="s">
        <v>118</v>
      </c>
      <c r="N123" t="s">
        <v>90</v>
      </c>
      <c r="O123" t="s">
        <v>119</v>
      </c>
      <c r="P123">
        <v>3</v>
      </c>
      <c r="Q123" t="b">
        <v>0</v>
      </c>
      <c r="R123" s="1">
        <v>44036.155555555553</v>
      </c>
      <c r="V123" s="2">
        <v>44036.155555555553</v>
      </c>
      <c r="W123">
        <v>7</v>
      </c>
      <c r="X123">
        <v>2020</v>
      </c>
      <c r="Y123" t="s">
        <v>73</v>
      </c>
      <c r="Z123">
        <v>3</v>
      </c>
    </row>
    <row r="124" spans="1:26" x14ac:dyDescent="0.45">
      <c r="A124">
        <v>2129</v>
      </c>
      <c r="B124">
        <v>1171</v>
      </c>
      <c r="C124" t="s">
        <v>158</v>
      </c>
      <c r="D124" t="s">
        <v>42</v>
      </c>
      <c r="E124">
        <v>65</v>
      </c>
      <c r="F124">
        <v>746</v>
      </c>
      <c r="G124" t="s">
        <v>159</v>
      </c>
      <c r="H124" t="s">
        <v>52</v>
      </c>
      <c r="I124" t="s">
        <v>150</v>
      </c>
      <c r="J124" t="s">
        <v>151</v>
      </c>
      <c r="K124" t="s">
        <v>66</v>
      </c>
      <c r="L124" t="s">
        <v>96</v>
      </c>
      <c r="M124" t="s">
        <v>118</v>
      </c>
      <c r="N124" t="s">
        <v>90</v>
      </c>
      <c r="O124" t="s">
        <v>119</v>
      </c>
      <c r="P124">
        <v>4</v>
      </c>
      <c r="Q124" t="b">
        <v>1</v>
      </c>
      <c r="R124" s="1">
        <v>44874.452777777777</v>
      </c>
      <c r="S124" s="1">
        <v>44877.671527777777</v>
      </c>
      <c r="T124" t="s">
        <v>32</v>
      </c>
      <c r="U124" t="b">
        <v>0</v>
      </c>
      <c r="V124" s="2">
        <v>44874.452777777777</v>
      </c>
      <c r="W124">
        <v>11</v>
      </c>
      <c r="X124">
        <v>2022</v>
      </c>
      <c r="Y124" t="s">
        <v>52</v>
      </c>
      <c r="Z124">
        <v>4</v>
      </c>
    </row>
    <row r="125" spans="1:26" x14ac:dyDescent="0.45">
      <c r="A125">
        <v>2130</v>
      </c>
      <c r="B125">
        <v>1101</v>
      </c>
      <c r="C125" t="s">
        <v>162</v>
      </c>
      <c r="D125" t="s">
        <v>42</v>
      </c>
      <c r="E125">
        <v>60</v>
      </c>
      <c r="F125">
        <v>755</v>
      </c>
      <c r="G125" t="s">
        <v>163</v>
      </c>
      <c r="H125" t="s">
        <v>63</v>
      </c>
      <c r="I125" t="s">
        <v>64</v>
      </c>
      <c r="J125" t="s">
        <v>164</v>
      </c>
      <c r="K125" t="s">
        <v>66</v>
      </c>
      <c r="L125" t="s">
        <v>67</v>
      </c>
      <c r="M125" t="s">
        <v>233</v>
      </c>
      <c r="N125" t="s">
        <v>89</v>
      </c>
      <c r="O125" t="s">
        <v>90</v>
      </c>
      <c r="P125">
        <v>2</v>
      </c>
      <c r="Q125" t="b">
        <v>1</v>
      </c>
      <c r="R125" s="1">
        <v>45211.911805555559</v>
      </c>
      <c r="S125" s="1">
        <v>45217.404166666667</v>
      </c>
      <c r="T125" t="s">
        <v>60</v>
      </c>
      <c r="U125" t="b">
        <v>0</v>
      </c>
      <c r="V125" s="2">
        <v>45211.911805555559</v>
      </c>
      <c r="W125">
        <v>10</v>
      </c>
      <c r="X125">
        <v>2023</v>
      </c>
      <c r="Y125" t="s">
        <v>63</v>
      </c>
      <c r="Z125">
        <v>2</v>
      </c>
    </row>
    <row r="126" spans="1:26" x14ac:dyDescent="0.45">
      <c r="A126">
        <v>2131</v>
      </c>
      <c r="B126">
        <v>1018</v>
      </c>
      <c r="C126" t="s">
        <v>168</v>
      </c>
      <c r="D126" t="s">
        <v>42</v>
      </c>
      <c r="E126">
        <v>49</v>
      </c>
      <c r="F126">
        <v>726</v>
      </c>
      <c r="G126" t="s">
        <v>169</v>
      </c>
      <c r="H126" t="s">
        <v>63</v>
      </c>
      <c r="I126" t="s">
        <v>64</v>
      </c>
      <c r="J126" t="s">
        <v>65</v>
      </c>
      <c r="K126" t="s">
        <v>55</v>
      </c>
      <c r="L126" t="s">
        <v>28</v>
      </c>
      <c r="M126" t="s">
        <v>47</v>
      </c>
      <c r="N126" t="s">
        <v>48</v>
      </c>
      <c r="O126" t="s">
        <v>49</v>
      </c>
      <c r="P126">
        <v>4</v>
      </c>
      <c r="Q126" t="b">
        <v>0</v>
      </c>
      <c r="R126" s="1">
        <v>44251.102777777778</v>
      </c>
      <c r="V126" s="2">
        <v>44251.102777777778</v>
      </c>
      <c r="W126">
        <v>2</v>
      </c>
      <c r="X126">
        <v>2021</v>
      </c>
      <c r="Y126" t="s">
        <v>63</v>
      </c>
      <c r="Z126">
        <v>4</v>
      </c>
    </row>
    <row r="127" spans="1:26" x14ac:dyDescent="0.45">
      <c r="A127">
        <v>2132</v>
      </c>
      <c r="B127">
        <v>1240</v>
      </c>
      <c r="C127" t="s">
        <v>170</v>
      </c>
      <c r="D127" t="s">
        <v>42</v>
      </c>
      <c r="E127">
        <v>54</v>
      </c>
      <c r="F127">
        <v>739</v>
      </c>
      <c r="G127" t="s">
        <v>171</v>
      </c>
      <c r="H127" t="s">
        <v>172</v>
      </c>
      <c r="I127" t="s">
        <v>173</v>
      </c>
      <c r="J127" t="s">
        <v>174</v>
      </c>
      <c r="K127" t="s">
        <v>27</v>
      </c>
      <c r="L127" t="s">
        <v>76</v>
      </c>
      <c r="M127" t="s">
        <v>160</v>
      </c>
      <c r="N127" t="s">
        <v>79</v>
      </c>
      <c r="O127" t="s">
        <v>161</v>
      </c>
      <c r="P127">
        <v>3</v>
      </c>
      <c r="Q127" t="b">
        <v>1</v>
      </c>
      <c r="R127" s="1">
        <v>44181.154166666667</v>
      </c>
      <c r="S127" s="1">
        <v>44186.289583333331</v>
      </c>
      <c r="T127" t="s">
        <v>40</v>
      </c>
      <c r="U127" t="b">
        <v>0</v>
      </c>
      <c r="V127" s="2">
        <v>44181.154166666667</v>
      </c>
      <c r="W127">
        <v>12</v>
      </c>
      <c r="X127">
        <v>2020</v>
      </c>
      <c r="Y127" t="s">
        <v>172</v>
      </c>
      <c r="Z127">
        <v>3</v>
      </c>
    </row>
    <row r="128" spans="1:26" x14ac:dyDescent="0.45">
      <c r="A128">
        <v>2133</v>
      </c>
      <c r="B128">
        <v>1338</v>
      </c>
      <c r="C128" t="s">
        <v>175</v>
      </c>
      <c r="D128" t="s">
        <v>22</v>
      </c>
      <c r="E128">
        <v>35</v>
      </c>
      <c r="F128">
        <v>684</v>
      </c>
      <c r="G128" t="s">
        <v>176</v>
      </c>
      <c r="H128" t="s">
        <v>172</v>
      </c>
      <c r="I128" t="s">
        <v>177</v>
      </c>
      <c r="J128" t="s">
        <v>178</v>
      </c>
      <c r="K128" t="s">
        <v>46</v>
      </c>
      <c r="L128" t="s">
        <v>28</v>
      </c>
      <c r="M128" t="s">
        <v>142</v>
      </c>
      <c r="N128" t="s">
        <v>143</v>
      </c>
      <c r="O128" t="s">
        <v>144</v>
      </c>
      <c r="P128">
        <v>2</v>
      </c>
      <c r="Q128" t="b">
        <v>1</v>
      </c>
      <c r="R128" s="1">
        <v>44915.13958333333</v>
      </c>
      <c r="S128" s="1">
        <v>44918.120138888888</v>
      </c>
      <c r="T128" t="s">
        <v>109</v>
      </c>
      <c r="U128" t="b">
        <v>0</v>
      </c>
      <c r="V128" s="2">
        <v>44915.13958333333</v>
      </c>
      <c r="W128">
        <v>12</v>
      </c>
      <c r="X128">
        <v>2022</v>
      </c>
      <c r="Y128" t="s">
        <v>172</v>
      </c>
      <c r="Z128">
        <v>2</v>
      </c>
    </row>
    <row r="129" spans="1:26" x14ac:dyDescent="0.45">
      <c r="A129">
        <v>2134</v>
      </c>
      <c r="B129">
        <v>1385</v>
      </c>
      <c r="C129" t="s">
        <v>180</v>
      </c>
      <c r="D129" t="s">
        <v>22</v>
      </c>
      <c r="E129">
        <v>57</v>
      </c>
      <c r="F129">
        <v>732</v>
      </c>
      <c r="G129" t="s">
        <v>181</v>
      </c>
      <c r="H129" t="s">
        <v>85</v>
      </c>
      <c r="I129" t="s">
        <v>86</v>
      </c>
      <c r="J129" t="s">
        <v>182</v>
      </c>
      <c r="K129" t="s">
        <v>46</v>
      </c>
      <c r="L129" t="s">
        <v>28</v>
      </c>
      <c r="M129" t="s">
        <v>38</v>
      </c>
      <c r="N129" t="s">
        <v>31</v>
      </c>
      <c r="O129" t="s">
        <v>39</v>
      </c>
      <c r="P129">
        <v>1</v>
      </c>
      <c r="Q129" t="b">
        <v>1</v>
      </c>
      <c r="R129" s="1">
        <v>44704.826388888891</v>
      </c>
      <c r="S129" s="1">
        <v>44709.831944444442</v>
      </c>
      <c r="T129" t="s">
        <v>60</v>
      </c>
      <c r="U129" t="b">
        <v>0</v>
      </c>
      <c r="V129" s="2">
        <v>44704.826388888891</v>
      </c>
      <c r="W129">
        <v>5</v>
      </c>
      <c r="X129">
        <v>2022</v>
      </c>
      <c r="Y129" t="s">
        <v>85</v>
      </c>
      <c r="Z129">
        <v>1</v>
      </c>
    </row>
    <row r="130" spans="1:26" x14ac:dyDescent="0.45">
      <c r="A130">
        <v>2135</v>
      </c>
      <c r="B130">
        <v>1065</v>
      </c>
      <c r="C130" t="s">
        <v>183</v>
      </c>
      <c r="D130" t="s">
        <v>42</v>
      </c>
      <c r="E130">
        <v>23</v>
      </c>
      <c r="F130">
        <v>639</v>
      </c>
      <c r="G130" t="s">
        <v>184</v>
      </c>
      <c r="H130" t="s">
        <v>24</v>
      </c>
      <c r="I130" t="s">
        <v>44</v>
      </c>
      <c r="J130" t="s">
        <v>45</v>
      </c>
      <c r="K130" t="s">
        <v>66</v>
      </c>
      <c r="L130" t="s">
        <v>76</v>
      </c>
      <c r="M130" t="s">
        <v>132</v>
      </c>
      <c r="N130" t="s">
        <v>59</v>
      </c>
      <c r="O130" t="s">
        <v>98</v>
      </c>
      <c r="P130">
        <v>2</v>
      </c>
      <c r="Q130" t="b">
        <v>0</v>
      </c>
      <c r="R130" s="1">
        <v>44754.09652777778</v>
      </c>
      <c r="V130" s="2">
        <v>44754.09652777778</v>
      </c>
      <c r="W130">
        <v>7</v>
      </c>
      <c r="X130">
        <v>2022</v>
      </c>
      <c r="Y130" t="s">
        <v>24</v>
      </c>
      <c r="Z130">
        <v>2</v>
      </c>
    </row>
    <row r="131" spans="1:26" x14ac:dyDescent="0.45">
      <c r="A131">
        <v>2137</v>
      </c>
      <c r="B131">
        <v>1445</v>
      </c>
      <c r="C131" t="s">
        <v>185</v>
      </c>
      <c r="D131" t="s">
        <v>22</v>
      </c>
      <c r="E131">
        <v>17</v>
      </c>
      <c r="H131" t="s">
        <v>85</v>
      </c>
      <c r="I131" t="s">
        <v>116</v>
      </c>
      <c r="J131" t="s">
        <v>117</v>
      </c>
      <c r="K131" t="s">
        <v>27</v>
      </c>
      <c r="L131" t="s">
        <v>67</v>
      </c>
      <c r="M131" t="s">
        <v>165</v>
      </c>
      <c r="N131" t="s">
        <v>166</v>
      </c>
      <c r="O131" t="s">
        <v>167</v>
      </c>
      <c r="P131">
        <v>4</v>
      </c>
      <c r="Q131" t="b">
        <v>0</v>
      </c>
      <c r="R131" s="1">
        <v>44576.911805555559</v>
      </c>
      <c r="V131" s="2">
        <v>44576.911805555559</v>
      </c>
      <c r="W131">
        <v>1</v>
      </c>
      <c r="X131">
        <v>2022</v>
      </c>
      <c r="Y131" t="s">
        <v>85</v>
      </c>
      <c r="Z131">
        <v>4</v>
      </c>
    </row>
    <row r="132" spans="1:26" x14ac:dyDescent="0.45">
      <c r="A132">
        <v>2138</v>
      </c>
      <c r="B132">
        <v>1113</v>
      </c>
      <c r="C132" t="s">
        <v>186</v>
      </c>
      <c r="D132" t="s">
        <v>22</v>
      </c>
      <c r="E132">
        <v>73</v>
      </c>
      <c r="F132">
        <v>743</v>
      </c>
      <c r="G132" t="s">
        <v>187</v>
      </c>
      <c r="H132" t="s">
        <v>24</v>
      </c>
      <c r="I132" t="s">
        <v>25</v>
      </c>
      <c r="J132" t="s">
        <v>188</v>
      </c>
      <c r="K132" t="s">
        <v>37</v>
      </c>
      <c r="L132" t="s">
        <v>28</v>
      </c>
      <c r="M132" t="s">
        <v>47</v>
      </c>
      <c r="N132" t="s">
        <v>48</v>
      </c>
      <c r="O132" t="s">
        <v>49</v>
      </c>
      <c r="P132">
        <v>3</v>
      </c>
      <c r="Q132" t="b">
        <v>0</v>
      </c>
      <c r="R132" s="1">
        <v>44934.759027777778</v>
      </c>
      <c r="V132" s="2">
        <v>44934.759027777778</v>
      </c>
      <c r="W132">
        <v>1</v>
      </c>
      <c r="X132">
        <v>2023</v>
      </c>
      <c r="Y132" t="s">
        <v>24</v>
      </c>
      <c r="Z132">
        <v>3</v>
      </c>
    </row>
    <row r="133" spans="1:26" x14ac:dyDescent="0.45">
      <c r="A133">
        <v>2139</v>
      </c>
      <c r="B133">
        <v>1267</v>
      </c>
      <c r="C133" t="s">
        <v>189</v>
      </c>
      <c r="D133" t="s">
        <v>22</v>
      </c>
      <c r="E133">
        <v>32</v>
      </c>
      <c r="F133">
        <v>687</v>
      </c>
      <c r="G133" t="s">
        <v>190</v>
      </c>
      <c r="H133" t="s">
        <v>63</v>
      </c>
      <c r="I133" t="s">
        <v>64</v>
      </c>
      <c r="J133" t="s">
        <v>164</v>
      </c>
      <c r="K133" t="s">
        <v>27</v>
      </c>
      <c r="L133" t="s">
        <v>56</v>
      </c>
      <c r="M133" t="s">
        <v>88</v>
      </c>
      <c r="N133" t="s">
        <v>89</v>
      </c>
      <c r="O133" t="s">
        <v>90</v>
      </c>
      <c r="P133">
        <v>2</v>
      </c>
      <c r="Q133" t="b">
        <v>1</v>
      </c>
      <c r="R133" s="1">
        <v>44298.042361111111</v>
      </c>
      <c r="S133" s="1">
        <v>44298.199305555558</v>
      </c>
      <c r="T133" t="s">
        <v>109</v>
      </c>
      <c r="U133" t="b">
        <v>0</v>
      </c>
      <c r="V133" s="2">
        <v>44298.042361111111</v>
      </c>
      <c r="W133">
        <v>4</v>
      </c>
      <c r="X133">
        <v>2021</v>
      </c>
      <c r="Y133" t="s">
        <v>63</v>
      </c>
      <c r="Z133">
        <v>2</v>
      </c>
    </row>
    <row r="134" spans="1:26" x14ac:dyDescent="0.45">
      <c r="A134">
        <v>2140</v>
      </c>
      <c r="B134">
        <v>1466</v>
      </c>
      <c r="C134" t="s">
        <v>191</v>
      </c>
      <c r="D134" t="s">
        <v>22</v>
      </c>
      <c r="E134">
        <v>73</v>
      </c>
      <c r="F134">
        <v>742</v>
      </c>
      <c r="G134" t="s">
        <v>192</v>
      </c>
      <c r="H134" t="s">
        <v>85</v>
      </c>
      <c r="I134" t="s">
        <v>116</v>
      </c>
      <c r="J134" t="s">
        <v>117</v>
      </c>
      <c r="K134" t="s">
        <v>37</v>
      </c>
      <c r="L134" t="s">
        <v>28</v>
      </c>
      <c r="M134" t="s">
        <v>47</v>
      </c>
      <c r="N134" t="s">
        <v>48</v>
      </c>
      <c r="O134" t="s">
        <v>49</v>
      </c>
      <c r="P134">
        <v>3</v>
      </c>
      <c r="Q134" t="b">
        <v>0</v>
      </c>
      <c r="R134" s="1">
        <v>44369.684027777781</v>
      </c>
      <c r="V134" s="2">
        <v>44369.684027777781</v>
      </c>
      <c r="W134">
        <v>6</v>
      </c>
      <c r="X134">
        <v>2021</v>
      </c>
      <c r="Y134" t="s">
        <v>85</v>
      </c>
      <c r="Z134">
        <v>3</v>
      </c>
    </row>
    <row r="135" spans="1:26" x14ac:dyDescent="0.45">
      <c r="A135">
        <v>2141</v>
      </c>
      <c r="B135">
        <v>1468</v>
      </c>
      <c r="C135" t="s">
        <v>193</v>
      </c>
      <c r="D135" t="s">
        <v>22</v>
      </c>
      <c r="E135">
        <v>62</v>
      </c>
      <c r="F135">
        <v>756</v>
      </c>
      <c r="G135" t="s">
        <v>194</v>
      </c>
      <c r="H135" t="s">
        <v>73</v>
      </c>
      <c r="I135" t="s">
        <v>74</v>
      </c>
      <c r="J135" t="s">
        <v>157</v>
      </c>
      <c r="K135" t="s">
        <v>27</v>
      </c>
      <c r="L135" t="s">
        <v>56</v>
      </c>
      <c r="M135" t="s">
        <v>179</v>
      </c>
      <c r="N135" t="s">
        <v>79</v>
      </c>
      <c r="O135" t="s">
        <v>161</v>
      </c>
      <c r="P135">
        <v>1</v>
      </c>
      <c r="Q135" t="b">
        <v>1</v>
      </c>
      <c r="R135" s="1">
        <v>45150.690972222219</v>
      </c>
      <c r="S135" s="1">
        <v>45154.597916666666</v>
      </c>
      <c r="T135" t="s">
        <v>32</v>
      </c>
      <c r="U135" t="b">
        <v>0</v>
      </c>
      <c r="V135" s="2">
        <v>45150.690972222219</v>
      </c>
      <c r="W135">
        <v>8</v>
      </c>
      <c r="X135">
        <v>2023</v>
      </c>
      <c r="Y135" t="s">
        <v>73</v>
      </c>
      <c r="Z135">
        <v>1</v>
      </c>
    </row>
    <row r="136" spans="1:26" x14ac:dyDescent="0.45">
      <c r="A136">
        <v>2142</v>
      </c>
      <c r="B136">
        <v>1498</v>
      </c>
      <c r="C136" t="s">
        <v>195</v>
      </c>
      <c r="D136" t="s">
        <v>42</v>
      </c>
      <c r="E136">
        <v>17</v>
      </c>
      <c r="H136" t="s">
        <v>52</v>
      </c>
      <c r="I136" t="s">
        <v>53</v>
      </c>
      <c r="J136" t="s">
        <v>196</v>
      </c>
      <c r="K136" t="s">
        <v>102</v>
      </c>
      <c r="L136" t="s">
        <v>96</v>
      </c>
      <c r="M136" t="s">
        <v>97</v>
      </c>
      <c r="N136" t="s">
        <v>98</v>
      </c>
      <c r="O136" t="s">
        <v>99</v>
      </c>
      <c r="P136">
        <v>3</v>
      </c>
      <c r="Q136" t="b">
        <v>1</v>
      </c>
      <c r="R136" s="1">
        <v>44356.439583333333</v>
      </c>
      <c r="S136" s="1">
        <v>44357.634027777778</v>
      </c>
      <c r="T136" t="s">
        <v>40</v>
      </c>
      <c r="U136" t="b">
        <v>0</v>
      </c>
      <c r="V136" s="2">
        <v>44356.439583333333</v>
      </c>
      <c r="W136">
        <v>6</v>
      </c>
      <c r="X136">
        <v>2021</v>
      </c>
      <c r="Y136" t="s">
        <v>52</v>
      </c>
      <c r="Z136">
        <v>3</v>
      </c>
    </row>
    <row r="137" spans="1:26" x14ac:dyDescent="0.45">
      <c r="A137">
        <v>2143</v>
      </c>
      <c r="B137">
        <v>1172</v>
      </c>
      <c r="C137" t="s">
        <v>200</v>
      </c>
      <c r="D137" t="s">
        <v>22</v>
      </c>
      <c r="E137">
        <v>18</v>
      </c>
      <c r="F137">
        <v>653</v>
      </c>
      <c r="G137" t="s">
        <v>201</v>
      </c>
      <c r="H137" t="s">
        <v>172</v>
      </c>
      <c r="I137" t="s">
        <v>177</v>
      </c>
      <c r="J137" t="s">
        <v>202</v>
      </c>
      <c r="K137" t="s">
        <v>55</v>
      </c>
      <c r="L137" t="s">
        <v>76</v>
      </c>
      <c r="M137" t="s">
        <v>132</v>
      </c>
      <c r="N137" t="s">
        <v>59</v>
      </c>
      <c r="O137" t="s">
        <v>98</v>
      </c>
      <c r="P137">
        <v>4</v>
      </c>
      <c r="Q137" t="b">
        <v>1</v>
      </c>
      <c r="R137" s="1">
        <v>44309.180555555555</v>
      </c>
      <c r="S137" s="1">
        <v>44312.710416666669</v>
      </c>
      <c r="T137" t="s">
        <v>60</v>
      </c>
      <c r="U137" t="b">
        <v>0</v>
      </c>
      <c r="V137" s="2">
        <v>44309.180555555555</v>
      </c>
      <c r="W137">
        <v>4</v>
      </c>
      <c r="X137">
        <v>2021</v>
      </c>
      <c r="Y137" t="s">
        <v>172</v>
      </c>
      <c r="Z137">
        <v>4</v>
      </c>
    </row>
    <row r="138" spans="1:26" x14ac:dyDescent="0.45">
      <c r="A138">
        <v>2144</v>
      </c>
      <c r="B138">
        <v>1404</v>
      </c>
      <c r="C138" t="s">
        <v>203</v>
      </c>
      <c r="D138" t="s">
        <v>42</v>
      </c>
      <c r="E138">
        <v>77</v>
      </c>
      <c r="F138">
        <v>758</v>
      </c>
      <c r="G138" t="s">
        <v>204</v>
      </c>
      <c r="H138" t="s">
        <v>52</v>
      </c>
      <c r="I138" t="s">
        <v>150</v>
      </c>
      <c r="J138" t="s">
        <v>205</v>
      </c>
      <c r="K138" t="s">
        <v>102</v>
      </c>
      <c r="L138" t="s">
        <v>67</v>
      </c>
      <c r="M138" t="s">
        <v>68</v>
      </c>
      <c r="N138" t="s">
        <v>69</v>
      </c>
      <c r="O138" t="s">
        <v>70</v>
      </c>
      <c r="P138">
        <v>2</v>
      </c>
      <c r="Q138" t="b">
        <v>0</v>
      </c>
      <c r="R138" s="1">
        <v>44729.40902777778</v>
      </c>
      <c r="V138" s="2">
        <v>44729.40902777778</v>
      </c>
      <c r="W138">
        <v>6</v>
      </c>
      <c r="X138">
        <v>2022</v>
      </c>
      <c r="Y138" t="s">
        <v>52</v>
      </c>
      <c r="Z138">
        <v>2</v>
      </c>
    </row>
    <row r="139" spans="1:26" x14ac:dyDescent="0.45">
      <c r="A139">
        <v>2145</v>
      </c>
      <c r="B139">
        <v>1373</v>
      </c>
      <c r="C139" t="s">
        <v>206</v>
      </c>
      <c r="D139" t="s">
        <v>42</v>
      </c>
      <c r="E139">
        <v>55</v>
      </c>
      <c r="F139">
        <v>707</v>
      </c>
      <c r="G139" t="s">
        <v>207</v>
      </c>
      <c r="H139" t="s">
        <v>24</v>
      </c>
      <c r="I139" t="s">
        <v>44</v>
      </c>
      <c r="J139" t="s">
        <v>208</v>
      </c>
      <c r="K139" t="s">
        <v>55</v>
      </c>
      <c r="L139" t="s">
        <v>28</v>
      </c>
      <c r="M139" t="s">
        <v>142</v>
      </c>
      <c r="N139" t="s">
        <v>143</v>
      </c>
      <c r="O139" t="s">
        <v>144</v>
      </c>
      <c r="P139">
        <v>1</v>
      </c>
      <c r="Q139" t="b">
        <v>1</v>
      </c>
      <c r="R139" s="1">
        <v>44562.518750000003</v>
      </c>
      <c r="S139" s="1">
        <v>44564.558333333334</v>
      </c>
      <c r="T139" t="s">
        <v>40</v>
      </c>
      <c r="U139" t="b">
        <v>0</v>
      </c>
      <c r="V139" s="2">
        <v>44562.518750000003</v>
      </c>
      <c r="W139">
        <v>1</v>
      </c>
      <c r="X139">
        <v>2022</v>
      </c>
      <c r="Y139" t="s">
        <v>24</v>
      </c>
      <c r="Z139">
        <v>1</v>
      </c>
    </row>
    <row r="140" spans="1:26" x14ac:dyDescent="0.45">
      <c r="A140">
        <v>2146</v>
      </c>
      <c r="B140">
        <v>1472</v>
      </c>
      <c r="C140" t="s">
        <v>209</v>
      </c>
      <c r="D140" t="s">
        <v>42</v>
      </c>
      <c r="E140">
        <v>46</v>
      </c>
      <c r="F140">
        <v>733</v>
      </c>
      <c r="G140" t="s">
        <v>210</v>
      </c>
      <c r="H140" t="s">
        <v>63</v>
      </c>
      <c r="I140" t="s">
        <v>64</v>
      </c>
      <c r="J140" t="s">
        <v>164</v>
      </c>
      <c r="K140" t="s">
        <v>37</v>
      </c>
      <c r="L140" t="s">
        <v>28</v>
      </c>
      <c r="M140" t="s">
        <v>29</v>
      </c>
      <c r="N140" t="s">
        <v>30</v>
      </c>
      <c r="O140" t="s">
        <v>31</v>
      </c>
      <c r="P140">
        <v>4</v>
      </c>
      <c r="Q140" t="b">
        <v>0</v>
      </c>
      <c r="R140" s="1">
        <v>44544.367361111108</v>
      </c>
      <c r="V140" s="2">
        <v>44544.367361111108</v>
      </c>
      <c r="W140">
        <v>12</v>
      </c>
      <c r="X140">
        <v>2021</v>
      </c>
      <c r="Y140" t="s">
        <v>63</v>
      </c>
      <c r="Z140">
        <v>4</v>
      </c>
    </row>
    <row r="141" spans="1:26" x14ac:dyDescent="0.45">
      <c r="A141">
        <v>2147</v>
      </c>
      <c r="B141">
        <v>1383</v>
      </c>
      <c r="C141" t="s">
        <v>211</v>
      </c>
      <c r="D141" t="s">
        <v>42</v>
      </c>
      <c r="E141">
        <v>44</v>
      </c>
      <c r="F141">
        <v>713</v>
      </c>
      <c r="G141" t="s">
        <v>212</v>
      </c>
      <c r="H141" t="s">
        <v>73</v>
      </c>
      <c r="I141" t="s">
        <v>140</v>
      </c>
      <c r="J141" t="s">
        <v>213</v>
      </c>
      <c r="K141" t="s">
        <v>102</v>
      </c>
      <c r="L141" t="s">
        <v>76</v>
      </c>
      <c r="M141" t="s">
        <v>77</v>
      </c>
      <c r="N141" t="s">
        <v>78</v>
      </c>
      <c r="O141" t="s">
        <v>79</v>
      </c>
      <c r="P141">
        <v>4</v>
      </c>
      <c r="Q141" t="b">
        <v>1</v>
      </c>
      <c r="R141" s="1">
        <v>44710.09652777778</v>
      </c>
      <c r="S141" s="1">
        <v>44711.196527777778</v>
      </c>
      <c r="T141" t="s">
        <v>32</v>
      </c>
      <c r="U141" t="b">
        <v>0</v>
      </c>
      <c r="V141" s="2">
        <v>44710.09652777778</v>
      </c>
      <c r="W141">
        <v>5</v>
      </c>
      <c r="X141">
        <v>2022</v>
      </c>
      <c r="Y141" t="s">
        <v>73</v>
      </c>
      <c r="Z141">
        <v>4</v>
      </c>
    </row>
    <row r="142" spans="1:26" x14ac:dyDescent="0.45">
      <c r="A142">
        <v>2148</v>
      </c>
      <c r="B142">
        <v>1202</v>
      </c>
      <c r="C142" t="s">
        <v>214</v>
      </c>
      <c r="D142" t="s">
        <v>22</v>
      </c>
      <c r="E142">
        <v>57</v>
      </c>
      <c r="F142">
        <v>716</v>
      </c>
      <c r="G142" t="s">
        <v>215</v>
      </c>
      <c r="H142" t="s">
        <v>63</v>
      </c>
      <c r="I142" t="s">
        <v>64</v>
      </c>
      <c r="J142" t="s">
        <v>164</v>
      </c>
      <c r="K142" t="s">
        <v>66</v>
      </c>
      <c r="L142" t="s">
        <v>76</v>
      </c>
      <c r="M142" t="s">
        <v>77</v>
      </c>
      <c r="N142" t="s">
        <v>78</v>
      </c>
      <c r="O142" t="s">
        <v>79</v>
      </c>
      <c r="P142">
        <v>4</v>
      </c>
      <c r="Q142" t="b">
        <v>0</v>
      </c>
      <c r="R142" s="1">
        <v>44439.10833333333</v>
      </c>
      <c r="V142" s="2">
        <v>44439.10833333333</v>
      </c>
      <c r="W142">
        <v>8</v>
      </c>
      <c r="X142">
        <v>2021</v>
      </c>
      <c r="Y142" t="s">
        <v>63</v>
      </c>
      <c r="Z142">
        <v>4</v>
      </c>
    </row>
    <row r="143" spans="1:26" x14ac:dyDescent="0.45">
      <c r="A143">
        <v>2149</v>
      </c>
      <c r="B143">
        <v>1424</v>
      </c>
      <c r="C143" t="s">
        <v>216</v>
      </c>
      <c r="D143" t="s">
        <v>42</v>
      </c>
      <c r="E143">
        <v>31</v>
      </c>
      <c r="F143">
        <v>689</v>
      </c>
      <c r="G143" t="s">
        <v>217</v>
      </c>
      <c r="H143" t="s">
        <v>85</v>
      </c>
      <c r="I143" t="s">
        <v>86</v>
      </c>
      <c r="J143" t="s">
        <v>182</v>
      </c>
      <c r="K143" t="s">
        <v>37</v>
      </c>
      <c r="L143" t="s">
        <v>28</v>
      </c>
      <c r="M143" t="s">
        <v>142</v>
      </c>
      <c r="N143" t="s">
        <v>143</v>
      </c>
      <c r="O143" t="s">
        <v>144</v>
      </c>
      <c r="P143">
        <v>3</v>
      </c>
      <c r="Q143" t="b">
        <v>1</v>
      </c>
      <c r="R143" s="1">
        <v>44995.707638888889</v>
      </c>
      <c r="S143" s="1">
        <v>44999.236805555556</v>
      </c>
      <c r="T143" t="s">
        <v>40</v>
      </c>
      <c r="U143" t="b">
        <v>0</v>
      </c>
      <c r="V143" s="2">
        <v>44995.707638888889</v>
      </c>
      <c r="W143">
        <v>3</v>
      </c>
      <c r="X143">
        <v>2023</v>
      </c>
      <c r="Y143" t="s">
        <v>85</v>
      </c>
      <c r="Z143">
        <v>3</v>
      </c>
    </row>
    <row r="144" spans="1:26" x14ac:dyDescent="0.45">
      <c r="A144">
        <v>2150</v>
      </c>
      <c r="B144">
        <v>1281</v>
      </c>
      <c r="C144" t="s">
        <v>218</v>
      </c>
      <c r="D144" t="s">
        <v>42</v>
      </c>
      <c r="E144">
        <v>77</v>
      </c>
      <c r="F144">
        <v>749</v>
      </c>
      <c r="G144" t="s">
        <v>219</v>
      </c>
      <c r="H144" t="s">
        <v>73</v>
      </c>
      <c r="I144" t="s">
        <v>74</v>
      </c>
      <c r="J144" t="s">
        <v>157</v>
      </c>
      <c r="K144" t="s">
        <v>37</v>
      </c>
      <c r="L144" t="s">
        <v>28</v>
      </c>
      <c r="M144" t="s">
        <v>142</v>
      </c>
      <c r="N144" t="s">
        <v>143</v>
      </c>
      <c r="O144" t="s">
        <v>144</v>
      </c>
      <c r="P144">
        <v>4</v>
      </c>
      <c r="Q144" t="b">
        <v>0</v>
      </c>
      <c r="R144" s="1">
        <v>45036.11041666667</v>
      </c>
      <c r="V144" s="2">
        <v>45036.11041666667</v>
      </c>
      <c r="W144">
        <v>4</v>
      </c>
      <c r="X144">
        <v>2023</v>
      </c>
      <c r="Y144" t="s">
        <v>73</v>
      </c>
      <c r="Z144">
        <v>4</v>
      </c>
    </row>
    <row r="145" spans="1:26" x14ac:dyDescent="0.45">
      <c r="A145">
        <v>2151</v>
      </c>
      <c r="B145">
        <v>1004</v>
      </c>
      <c r="C145" t="s">
        <v>220</v>
      </c>
      <c r="D145" t="s">
        <v>22</v>
      </c>
      <c r="E145">
        <v>33</v>
      </c>
      <c r="F145">
        <v>695</v>
      </c>
      <c r="G145" t="s">
        <v>221</v>
      </c>
      <c r="H145" t="s">
        <v>24</v>
      </c>
      <c r="I145" t="s">
        <v>25</v>
      </c>
      <c r="J145" t="s">
        <v>222</v>
      </c>
      <c r="K145" t="s">
        <v>55</v>
      </c>
      <c r="L145" t="s">
        <v>96</v>
      </c>
      <c r="M145" t="s">
        <v>103</v>
      </c>
      <c r="N145" t="s">
        <v>31</v>
      </c>
      <c r="O145" t="s">
        <v>104</v>
      </c>
      <c r="P145">
        <v>4</v>
      </c>
      <c r="Q145" t="b">
        <v>1</v>
      </c>
      <c r="R145" s="1">
        <v>44725.383333333331</v>
      </c>
      <c r="S145" s="1">
        <v>44731.535416666666</v>
      </c>
      <c r="T145" t="s">
        <v>60</v>
      </c>
      <c r="U145" t="b">
        <v>0</v>
      </c>
      <c r="V145" s="2">
        <v>44725.383333333331</v>
      </c>
      <c r="W145">
        <v>6</v>
      </c>
      <c r="X145">
        <v>2022</v>
      </c>
      <c r="Y145" t="s">
        <v>24</v>
      </c>
      <c r="Z145">
        <v>4</v>
      </c>
    </row>
    <row r="146" spans="1:26" x14ac:dyDescent="0.45">
      <c r="A146">
        <v>2152</v>
      </c>
      <c r="B146">
        <v>1059</v>
      </c>
      <c r="C146" t="s">
        <v>223</v>
      </c>
      <c r="D146" t="s">
        <v>22</v>
      </c>
      <c r="E146">
        <v>37</v>
      </c>
      <c r="F146">
        <v>696</v>
      </c>
      <c r="G146" t="s">
        <v>224</v>
      </c>
      <c r="H146" t="s">
        <v>24</v>
      </c>
      <c r="I146" t="s">
        <v>44</v>
      </c>
      <c r="J146" t="s">
        <v>225</v>
      </c>
      <c r="K146" t="s">
        <v>102</v>
      </c>
      <c r="L146" t="s">
        <v>56</v>
      </c>
      <c r="M146" t="s">
        <v>179</v>
      </c>
      <c r="N146" t="s">
        <v>79</v>
      </c>
      <c r="O146" t="s">
        <v>161</v>
      </c>
      <c r="P146">
        <v>3</v>
      </c>
      <c r="Q146" t="b">
        <v>1</v>
      </c>
      <c r="R146" s="1">
        <v>44315.02847222222</v>
      </c>
      <c r="S146" s="1">
        <v>44315.844444444447</v>
      </c>
      <c r="T146" t="s">
        <v>109</v>
      </c>
      <c r="U146" t="b">
        <v>1</v>
      </c>
      <c r="V146" s="2">
        <v>44315.02847222222</v>
      </c>
      <c r="W146">
        <v>4</v>
      </c>
      <c r="X146">
        <v>2021</v>
      </c>
      <c r="Y146" t="s">
        <v>24</v>
      </c>
      <c r="Z146">
        <v>3</v>
      </c>
    </row>
    <row r="147" spans="1:26" x14ac:dyDescent="0.45">
      <c r="A147">
        <v>2153</v>
      </c>
      <c r="B147">
        <v>1404</v>
      </c>
      <c r="C147" t="s">
        <v>203</v>
      </c>
      <c r="D147" t="s">
        <v>42</v>
      </c>
      <c r="E147">
        <v>77</v>
      </c>
      <c r="F147">
        <v>758</v>
      </c>
      <c r="G147" t="s">
        <v>204</v>
      </c>
      <c r="H147" t="s">
        <v>52</v>
      </c>
      <c r="I147" t="s">
        <v>150</v>
      </c>
      <c r="J147" t="s">
        <v>205</v>
      </c>
      <c r="K147" t="s">
        <v>66</v>
      </c>
      <c r="L147" t="s">
        <v>96</v>
      </c>
      <c r="M147" t="s">
        <v>97</v>
      </c>
      <c r="N147" t="s">
        <v>98</v>
      </c>
      <c r="O147" t="s">
        <v>99</v>
      </c>
      <c r="P147">
        <v>1</v>
      </c>
      <c r="Q147" t="b">
        <v>1</v>
      </c>
      <c r="R147" s="1">
        <v>44954.731249999997</v>
      </c>
      <c r="S147" s="1">
        <v>44959.722222222219</v>
      </c>
      <c r="T147" t="s">
        <v>60</v>
      </c>
      <c r="U147" t="b">
        <v>0</v>
      </c>
      <c r="V147" s="2">
        <v>44954.731249999997</v>
      </c>
      <c r="W147">
        <v>1</v>
      </c>
      <c r="X147">
        <v>2023</v>
      </c>
      <c r="Y147" t="s">
        <v>52</v>
      </c>
      <c r="Z147">
        <v>1</v>
      </c>
    </row>
    <row r="148" spans="1:26" x14ac:dyDescent="0.45">
      <c r="A148">
        <v>2154</v>
      </c>
      <c r="B148">
        <v>1428</v>
      </c>
      <c r="C148" t="s">
        <v>226</v>
      </c>
      <c r="D148" t="s">
        <v>22</v>
      </c>
      <c r="E148">
        <v>66</v>
      </c>
      <c r="F148">
        <v>757</v>
      </c>
      <c r="G148" t="s">
        <v>227</v>
      </c>
      <c r="H148" t="s">
        <v>73</v>
      </c>
      <c r="I148" t="s">
        <v>140</v>
      </c>
      <c r="J148" t="s">
        <v>228</v>
      </c>
      <c r="K148" t="s">
        <v>102</v>
      </c>
      <c r="L148" t="s">
        <v>28</v>
      </c>
      <c r="M148" t="s">
        <v>38</v>
      </c>
      <c r="N148" t="s">
        <v>31</v>
      </c>
      <c r="O148" t="s">
        <v>39</v>
      </c>
      <c r="P148">
        <v>4</v>
      </c>
      <c r="Q148" t="b">
        <v>0</v>
      </c>
      <c r="R148" s="1">
        <v>44619.921527777777</v>
      </c>
      <c r="V148" s="2">
        <v>44619.921527777777</v>
      </c>
      <c r="W148">
        <v>2</v>
      </c>
      <c r="X148">
        <v>2022</v>
      </c>
      <c r="Y148" t="s">
        <v>73</v>
      </c>
      <c r="Z148">
        <v>4</v>
      </c>
    </row>
    <row r="149" spans="1:26" x14ac:dyDescent="0.45">
      <c r="A149">
        <v>2155</v>
      </c>
      <c r="B149">
        <v>1469</v>
      </c>
      <c r="C149" t="s">
        <v>229</v>
      </c>
      <c r="D149" t="s">
        <v>42</v>
      </c>
      <c r="E149">
        <v>46</v>
      </c>
      <c r="F149">
        <v>707</v>
      </c>
      <c r="G149" t="s">
        <v>230</v>
      </c>
      <c r="H149" t="s">
        <v>52</v>
      </c>
      <c r="I149" t="s">
        <v>150</v>
      </c>
      <c r="J149" t="s">
        <v>151</v>
      </c>
      <c r="K149" t="s">
        <v>102</v>
      </c>
      <c r="L149" t="s">
        <v>76</v>
      </c>
      <c r="M149" t="s">
        <v>126</v>
      </c>
      <c r="N149" t="s">
        <v>98</v>
      </c>
      <c r="O149" t="s">
        <v>99</v>
      </c>
      <c r="P149">
        <v>4</v>
      </c>
      <c r="Q149" t="b">
        <v>0</v>
      </c>
      <c r="R149" s="1">
        <v>44732.083333333336</v>
      </c>
      <c r="V149" s="2">
        <v>44732.083333333336</v>
      </c>
      <c r="W149">
        <v>6</v>
      </c>
      <c r="X149">
        <v>2022</v>
      </c>
      <c r="Y149" t="s">
        <v>52</v>
      </c>
      <c r="Z149">
        <v>4</v>
      </c>
    </row>
    <row r="150" spans="1:26" x14ac:dyDescent="0.45">
      <c r="A150">
        <v>2156</v>
      </c>
      <c r="B150">
        <v>1150</v>
      </c>
      <c r="C150" t="s">
        <v>231</v>
      </c>
      <c r="D150" t="s">
        <v>22</v>
      </c>
      <c r="E150">
        <v>49</v>
      </c>
      <c r="F150">
        <v>736</v>
      </c>
      <c r="G150" t="s">
        <v>232</v>
      </c>
      <c r="H150" t="s">
        <v>35</v>
      </c>
      <c r="I150" t="s">
        <v>122</v>
      </c>
      <c r="J150" t="s">
        <v>82</v>
      </c>
      <c r="K150" t="s">
        <v>37</v>
      </c>
      <c r="L150" t="s">
        <v>28</v>
      </c>
      <c r="M150" t="s">
        <v>29</v>
      </c>
      <c r="N150" t="s">
        <v>30</v>
      </c>
      <c r="O150" t="s">
        <v>31</v>
      </c>
      <c r="P150">
        <v>4</v>
      </c>
      <c r="Q150" t="b">
        <v>1</v>
      </c>
      <c r="R150" s="1">
        <v>44269.481249999997</v>
      </c>
      <c r="S150" s="1">
        <v>44275.118750000001</v>
      </c>
      <c r="T150" t="s">
        <v>40</v>
      </c>
      <c r="U150" t="b">
        <v>0</v>
      </c>
      <c r="V150" s="2">
        <v>44269.481249999997</v>
      </c>
      <c r="W150">
        <v>3</v>
      </c>
      <c r="X150">
        <v>2021</v>
      </c>
      <c r="Y150" t="s">
        <v>35</v>
      </c>
      <c r="Z150">
        <v>4</v>
      </c>
    </row>
    <row r="151" spans="1:26" x14ac:dyDescent="0.45">
      <c r="A151">
        <v>2157</v>
      </c>
      <c r="B151">
        <v>1471</v>
      </c>
      <c r="C151" t="s">
        <v>234</v>
      </c>
      <c r="D151" t="s">
        <v>22</v>
      </c>
      <c r="E151">
        <v>40</v>
      </c>
      <c r="F151">
        <v>686</v>
      </c>
      <c r="G151" t="s">
        <v>235</v>
      </c>
      <c r="H151" t="s">
        <v>85</v>
      </c>
      <c r="I151" t="s">
        <v>116</v>
      </c>
      <c r="J151" t="s">
        <v>117</v>
      </c>
      <c r="K151" t="s">
        <v>102</v>
      </c>
      <c r="L151" t="s">
        <v>96</v>
      </c>
      <c r="M151" t="s">
        <v>136</v>
      </c>
      <c r="N151" t="s">
        <v>30</v>
      </c>
      <c r="O151" t="s">
        <v>137</v>
      </c>
      <c r="P151">
        <v>2</v>
      </c>
      <c r="Q151" t="b">
        <v>1</v>
      </c>
      <c r="R151" s="1">
        <v>45048.742361111108</v>
      </c>
      <c r="S151" s="1">
        <v>45054.17291666667</v>
      </c>
      <c r="T151" t="s">
        <v>32</v>
      </c>
      <c r="U151" t="b">
        <v>0</v>
      </c>
      <c r="V151" s="2">
        <v>45048.742361111108</v>
      </c>
      <c r="W151">
        <v>5</v>
      </c>
      <c r="X151">
        <v>2023</v>
      </c>
      <c r="Y151" t="s">
        <v>85</v>
      </c>
      <c r="Z151">
        <v>2</v>
      </c>
    </row>
    <row r="152" spans="1:26" x14ac:dyDescent="0.45">
      <c r="A152">
        <v>2158</v>
      </c>
      <c r="B152">
        <v>1486</v>
      </c>
      <c r="C152" t="s">
        <v>236</v>
      </c>
      <c r="D152" t="s">
        <v>42</v>
      </c>
      <c r="E152">
        <v>29</v>
      </c>
      <c r="F152">
        <v>695</v>
      </c>
      <c r="G152" t="s">
        <v>237</v>
      </c>
      <c r="H152" t="s">
        <v>73</v>
      </c>
      <c r="I152" t="s">
        <v>74</v>
      </c>
      <c r="J152" t="s">
        <v>157</v>
      </c>
      <c r="K152" t="s">
        <v>46</v>
      </c>
      <c r="L152" t="s">
        <v>96</v>
      </c>
      <c r="M152" t="s">
        <v>118</v>
      </c>
      <c r="N152" t="s">
        <v>90</v>
      </c>
      <c r="O152" t="s">
        <v>119</v>
      </c>
      <c r="P152">
        <v>4</v>
      </c>
      <c r="Q152" t="b">
        <v>1</v>
      </c>
      <c r="R152" s="1">
        <v>44458.104861111111</v>
      </c>
      <c r="S152" s="1">
        <v>44464.387499999997</v>
      </c>
      <c r="T152" t="s">
        <v>32</v>
      </c>
      <c r="U152" t="b">
        <v>1</v>
      </c>
      <c r="V152" s="2">
        <v>44458.104861111111</v>
      </c>
      <c r="W152">
        <v>9</v>
      </c>
      <c r="X152">
        <v>2021</v>
      </c>
      <c r="Y152" t="s">
        <v>73</v>
      </c>
      <c r="Z152">
        <v>4</v>
      </c>
    </row>
    <row r="153" spans="1:26" x14ac:dyDescent="0.45">
      <c r="A153">
        <v>2160</v>
      </c>
      <c r="B153">
        <v>1094</v>
      </c>
      <c r="C153" t="s">
        <v>238</v>
      </c>
      <c r="D153" t="s">
        <v>42</v>
      </c>
      <c r="E153">
        <v>36</v>
      </c>
      <c r="F153">
        <v>683</v>
      </c>
      <c r="G153" t="s">
        <v>239</v>
      </c>
      <c r="H153" t="s">
        <v>172</v>
      </c>
      <c r="I153" t="s">
        <v>177</v>
      </c>
      <c r="J153" t="s">
        <v>178</v>
      </c>
      <c r="K153" t="s">
        <v>102</v>
      </c>
      <c r="L153" t="s">
        <v>56</v>
      </c>
      <c r="M153" t="s">
        <v>57</v>
      </c>
      <c r="N153" t="s">
        <v>58</v>
      </c>
      <c r="O153" t="s">
        <v>59</v>
      </c>
      <c r="P153">
        <v>5</v>
      </c>
      <c r="Q153" t="b">
        <v>1</v>
      </c>
      <c r="R153" s="1">
        <v>45008.120138888888</v>
      </c>
      <c r="S153" s="1">
        <v>45014.677777777775</v>
      </c>
      <c r="T153" t="s">
        <v>60</v>
      </c>
      <c r="U153" t="b">
        <v>0</v>
      </c>
      <c r="V153" s="2">
        <v>45008.120138888888</v>
      </c>
      <c r="W153">
        <v>3</v>
      </c>
      <c r="X153">
        <v>2023</v>
      </c>
      <c r="Y153" t="s">
        <v>172</v>
      </c>
      <c r="Z153">
        <v>5</v>
      </c>
    </row>
    <row r="154" spans="1:26" x14ac:dyDescent="0.45">
      <c r="A154">
        <v>2161</v>
      </c>
      <c r="B154">
        <v>1369</v>
      </c>
      <c r="C154" t="s">
        <v>240</v>
      </c>
      <c r="D154" t="s">
        <v>42</v>
      </c>
      <c r="E154">
        <v>71</v>
      </c>
      <c r="F154">
        <v>758</v>
      </c>
      <c r="G154" t="s">
        <v>241</v>
      </c>
      <c r="H154" t="s">
        <v>93</v>
      </c>
      <c r="I154" t="s">
        <v>112</v>
      </c>
      <c r="J154" t="s">
        <v>242</v>
      </c>
      <c r="K154" t="s">
        <v>46</v>
      </c>
      <c r="L154" t="s">
        <v>76</v>
      </c>
      <c r="M154" t="s">
        <v>132</v>
      </c>
      <c r="N154" t="s">
        <v>59</v>
      </c>
      <c r="O154" t="s">
        <v>98</v>
      </c>
      <c r="P154">
        <v>1</v>
      </c>
      <c r="Q154" t="b">
        <v>1</v>
      </c>
      <c r="R154" s="1">
        <v>44198.244444444441</v>
      </c>
      <c r="S154" s="1">
        <v>44200.039583333331</v>
      </c>
      <c r="T154" t="s">
        <v>40</v>
      </c>
      <c r="U154" t="b">
        <v>0</v>
      </c>
      <c r="V154" s="2">
        <v>44198.244444444441</v>
      </c>
      <c r="W154">
        <v>1</v>
      </c>
      <c r="X154">
        <v>2021</v>
      </c>
      <c r="Y154" t="s">
        <v>93</v>
      </c>
      <c r="Z154">
        <v>1</v>
      </c>
    </row>
    <row r="155" spans="1:26" x14ac:dyDescent="0.45">
      <c r="A155">
        <v>2162</v>
      </c>
      <c r="B155">
        <v>1094</v>
      </c>
      <c r="C155" t="s">
        <v>238</v>
      </c>
      <c r="D155" t="s">
        <v>42</v>
      </c>
      <c r="E155">
        <v>36</v>
      </c>
      <c r="F155">
        <v>683</v>
      </c>
      <c r="G155" t="s">
        <v>239</v>
      </c>
      <c r="H155" t="s">
        <v>172</v>
      </c>
      <c r="I155" t="s">
        <v>177</v>
      </c>
      <c r="J155" t="s">
        <v>178</v>
      </c>
      <c r="K155" t="s">
        <v>27</v>
      </c>
      <c r="L155" t="s">
        <v>56</v>
      </c>
      <c r="M155" t="s">
        <v>57</v>
      </c>
      <c r="N155" t="s">
        <v>58</v>
      </c>
      <c r="O155" t="s">
        <v>59</v>
      </c>
      <c r="P155">
        <v>3</v>
      </c>
      <c r="Q155" t="b">
        <v>1</v>
      </c>
      <c r="R155" s="1">
        <v>44042.833333333336</v>
      </c>
      <c r="S155" s="1">
        <v>44049.565972222219</v>
      </c>
      <c r="T155" t="s">
        <v>32</v>
      </c>
      <c r="U155" t="b">
        <v>0</v>
      </c>
      <c r="V155" s="2">
        <v>44042.833333333336</v>
      </c>
      <c r="W155">
        <v>7</v>
      </c>
      <c r="X155">
        <v>2020</v>
      </c>
      <c r="Y155" t="s">
        <v>172</v>
      </c>
      <c r="Z155">
        <v>3</v>
      </c>
    </row>
    <row r="156" spans="1:26" x14ac:dyDescent="0.45">
      <c r="A156">
        <v>2163</v>
      </c>
      <c r="B156">
        <v>1117</v>
      </c>
      <c r="C156" t="s">
        <v>243</v>
      </c>
      <c r="D156" t="s">
        <v>22</v>
      </c>
      <c r="E156">
        <v>53</v>
      </c>
      <c r="F156">
        <v>727</v>
      </c>
      <c r="G156" t="s">
        <v>244</v>
      </c>
      <c r="H156" t="s">
        <v>73</v>
      </c>
      <c r="I156" t="s">
        <v>74</v>
      </c>
      <c r="J156" t="s">
        <v>245</v>
      </c>
      <c r="K156" t="s">
        <v>102</v>
      </c>
      <c r="L156" t="s">
        <v>28</v>
      </c>
      <c r="M156" t="s">
        <v>38</v>
      </c>
      <c r="N156" t="s">
        <v>31</v>
      </c>
      <c r="O156" t="s">
        <v>39</v>
      </c>
      <c r="P156">
        <v>3</v>
      </c>
      <c r="Q156" t="b">
        <v>1</v>
      </c>
      <c r="R156" s="1">
        <v>43917.713194444441</v>
      </c>
      <c r="S156" s="1">
        <v>43924.120138888888</v>
      </c>
      <c r="T156" t="s">
        <v>40</v>
      </c>
      <c r="U156" t="b">
        <v>0</v>
      </c>
      <c r="V156" s="2">
        <v>43917.713194444441</v>
      </c>
      <c r="W156">
        <v>3</v>
      </c>
      <c r="X156">
        <v>2020</v>
      </c>
      <c r="Y156" t="s">
        <v>73</v>
      </c>
      <c r="Z156">
        <v>3</v>
      </c>
    </row>
    <row r="157" spans="1:26" x14ac:dyDescent="0.45">
      <c r="A157">
        <v>2164</v>
      </c>
      <c r="B157">
        <v>1140</v>
      </c>
      <c r="C157" t="s">
        <v>246</v>
      </c>
      <c r="D157" t="s">
        <v>42</v>
      </c>
      <c r="E157">
        <v>47</v>
      </c>
      <c r="F157">
        <v>721</v>
      </c>
      <c r="G157" t="s">
        <v>247</v>
      </c>
      <c r="H157" t="s">
        <v>85</v>
      </c>
      <c r="I157" t="s">
        <v>116</v>
      </c>
      <c r="J157" t="s">
        <v>117</v>
      </c>
      <c r="K157" t="s">
        <v>37</v>
      </c>
      <c r="L157" t="s">
        <v>56</v>
      </c>
      <c r="M157" t="s">
        <v>88</v>
      </c>
      <c r="N157" t="s">
        <v>89</v>
      </c>
      <c r="O157" t="s">
        <v>90</v>
      </c>
      <c r="P157">
        <v>4</v>
      </c>
      <c r="Q157" t="b">
        <v>1</v>
      </c>
      <c r="R157" s="1">
        <v>43841.89166666667</v>
      </c>
      <c r="S157" s="1">
        <v>43843.099305555559</v>
      </c>
      <c r="T157" t="s">
        <v>109</v>
      </c>
      <c r="U157" t="b">
        <v>0</v>
      </c>
      <c r="V157" s="2">
        <v>43841.89166666667</v>
      </c>
      <c r="W157">
        <v>1</v>
      </c>
      <c r="X157">
        <v>2020</v>
      </c>
      <c r="Y157" t="s">
        <v>85</v>
      </c>
      <c r="Z157">
        <v>4</v>
      </c>
    </row>
    <row r="158" spans="1:26" x14ac:dyDescent="0.45">
      <c r="A158">
        <v>2165</v>
      </c>
      <c r="B158">
        <v>1185</v>
      </c>
      <c r="C158" t="s">
        <v>248</v>
      </c>
      <c r="D158" t="s">
        <v>22</v>
      </c>
      <c r="E158">
        <v>49</v>
      </c>
      <c r="F158">
        <v>701</v>
      </c>
      <c r="G158" t="s">
        <v>249</v>
      </c>
      <c r="H158" t="s">
        <v>35</v>
      </c>
      <c r="I158" t="s">
        <v>36</v>
      </c>
      <c r="J158" t="s">
        <v>36</v>
      </c>
      <c r="K158" t="s">
        <v>102</v>
      </c>
      <c r="L158" t="s">
        <v>76</v>
      </c>
      <c r="M158" t="s">
        <v>126</v>
      </c>
      <c r="N158" t="s">
        <v>98</v>
      </c>
      <c r="O158" t="s">
        <v>99</v>
      </c>
      <c r="P158">
        <v>1</v>
      </c>
      <c r="Q158" t="b">
        <v>0</v>
      </c>
      <c r="R158" s="1">
        <v>44167.787499999999</v>
      </c>
      <c r="V158" s="2">
        <v>44167.787499999999</v>
      </c>
      <c r="W158">
        <v>12</v>
      </c>
      <c r="X158">
        <v>2020</v>
      </c>
      <c r="Y158" t="s">
        <v>35</v>
      </c>
      <c r="Z158">
        <v>1</v>
      </c>
    </row>
    <row r="159" spans="1:26" x14ac:dyDescent="0.45">
      <c r="A159">
        <v>2166</v>
      </c>
      <c r="B159">
        <v>1362</v>
      </c>
      <c r="C159" t="s">
        <v>250</v>
      </c>
      <c r="D159" t="s">
        <v>22</v>
      </c>
      <c r="E159">
        <v>62</v>
      </c>
      <c r="F159">
        <v>753</v>
      </c>
      <c r="G159" t="s">
        <v>251</v>
      </c>
      <c r="H159" t="s">
        <v>129</v>
      </c>
      <c r="I159" t="s">
        <v>130</v>
      </c>
      <c r="J159" t="s">
        <v>252</v>
      </c>
      <c r="K159" t="s">
        <v>37</v>
      </c>
      <c r="L159" t="s">
        <v>76</v>
      </c>
      <c r="M159" t="s">
        <v>77</v>
      </c>
      <c r="N159" t="s">
        <v>78</v>
      </c>
      <c r="O159" t="s">
        <v>79</v>
      </c>
      <c r="P159">
        <v>4</v>
      </c>
      <c r="Q159" t="b">
        <v>0</v>
      </c>
      <c r="R159" s="1">
        <v>45117.634722222225</v>
      </c>
      <c r="V159" s="2">
        <v>45117.634722222225</v>
      </c>
      <c r="W159">
        <v>7</v>
      </c>
      <c r="X159">
        <v>2023</v>
      </c>
      <c r="Y159" t="s">
        <v>129</v>
      </c>
      <c r="Z159">
        <v>4</v>
      </c>
    </row>
    <row r="160" spans="1:26" x14ac:dyDescent="0.45">
      <c r="A160">
        <v>2167</v>
      </c>
      <c r="B160">
        <v>1260</v>
      </c>
      <c r="C160" t="s">
        <v>253</v>
      </c>
      <c r="D160" t="s">
        <v>22</v>
      </c>
      <c r="E160">
        <v>32</v>
      </c>
      <c r="F160">
        <v>694</v>
      </c>
      <c r="G160" t="s">
        <v>254</v>
      </c>
      <c r="H160" t="s">
        <v>172</v>
      </c>
      <c r="I160" t="s">
        <v>177</v>
      </c>
      <c r="J160" t="s">
        <v>202</v>
      </c>
      <c r="K160" t="s">
        <v>46</v>
      </c>
      <c r="L160" t="s">
        <v>96</v>
      </c>
      <c r="M160" t="s">
        <v>97</v>
      </c>
      <c r="N160" t="s">
        <v>98</v>
      </c>
      <c r="O160" t="s">
        <v>99</v>
      </c>
      <c r="P160">
        <v>4</v>
      </c>
      <c r="Q160" t="b">
        <v>1</v>
      </c>
      <c r="R160" s="1">
        <v>44998.775694444441</v>
      </c>
      <c r="S160" s="1">
        <v>45005.768055555556</v>
      </c>
      <c r="T160" t="s">
        <v>32</v>
      </c>
      <c r="U160" t="b">
        <v>0</v>
      </c>
      <c r="V160" s="2">
        <v>44998.775694444441</v>
      </c>
      <c r="W160">
        <v>3</v>
      </c>
      <c r="X160">
        <v>2023</v>
      </c>
      <c r="Y160" t="s">
        <v>172</v>
      </c>
      <c r="Z160">
        <v>4</v>
      </c>
    </row>
    <row r="161" spans="1:26" x14ac:dyDescent="0.45">
      <c r="A161">
        <v>2168</v>
      </c>
      <c r="B161">
        <v>1389</v>
      </c>
      <c r="C161" t="s">
        <v>255</v>
      </c>
      <c r="D161" t="s">
        <v>22</v>
      </c>
      <c r="E161">
        <v>69</v>
      </c>
      <c r="F161">
        <v>748</v>
      </c>
      <c r="G161" t="s">
        <v>256</v>
      </c>
      <c r="H161" t="s">
        <v>73</v>
      </c>
      <c r="I161" t="s">
        <v>74</v>
      </c>
      <c r="J161" t="s">
        <v>75</v>
      </c>
      <c r="K161" t="s">
        <v>66</v>
      </c>
      <c r="L161" t="s">
        <v>76</v>
      </c>
      <c r="M161" t="s">
        <v>77</v>
      </c>
      <c r="N161" t="s">
        <v>78</v>
      </c>
      <c r="O161" t="s">
        <v>79</v>
      </c>
      <c r="P161">
        <v>1</v>
      </c>
      <c r="Q161" t="b">
        <v>0</v>
      </c>
      <c r="R161" s="1">
        <v>45214.272916666669</v>
      </c>
      <c r="V161" s="2">
        <v>45214.272916666669</v>
      </c>
      <c r="W161">
        <v>10</v>
      </c>
      <c r="X161">
        <v>2023</v>
      </c>
      <c r="Y161" t="s">
        <v>73</v>
      </c>
      <c r="Z161">
        <v>1</v>
      </c>
    </row>
    <row r="162" spans="1:26" x14ac:dyDescent="0.45">
      <c r="A162">
        <v>2169</v>
      </c>
      <c r="B162">
        <v>1184</v>
      </c>
      <c r="C162" t="s">
        <v>257</v>
      </c>
      <c r="D162" t="s">
        <v>22</v>
      </c>
      <c r="E162">
        <v>26</v>
      </c>
      <c r="F162">
        <v>637</v>
      </c>
      <c r="G162" t="s">
        <v>258</v>
      </c>
      <c r="H162" t="s">
        <v>35</v>
      </c>
      <c r="I162" t="s">
        <v>36</v>
      </c>
      <c r="J162" t="s">
        <v>123</v>
      </c>
      <c r="K162" t="s">
        <v>37</v>
      </c>
      <c r="L162" t="s">
        <v>28</v>
      </c>
      <c r="M162" t="s">
        <v>142</v>
      </c>
      <c r="N162" t="s">
        <v>143</v>
      </c>
      <c r="O162" t="s">
        <v>144</v>
      </c>
      <c r="P162">
        <v>4</v>
      </c>
      <c r="Q162" t="b">
        <v>1</v>
      </c>
      <c r="R162" s="1">
        <v>44534.439583333333</v>
      </c>
      <c r="S162" s="1">
        <v>44535.690972222219</v>
      </c>
      <c r="T162" t="s">
        <v>32</v>
      </c>
      <c r="U162" t="b">
        <v>0</v>
      </c>
      <c r="V162" s="2">
        <v>44534.439583333333</v>
      </c>
      <c r="W162">
        <v>12</v>
      </c>
      <c r="X162">
        <v>2021</v>
      </c>
      <c r="Y162" t="s">
        <v>35</v>
      </c>
      <c r="Z162">
        <v>4</v>
      </c>
    </row>
    <row r="163" spans="1:26" x14ac:dyDescent="0.45">
      <c r="A163">
        <v>2170</v>
      </c>
      <c r="B163">
        <v>1127</v>
      </c>
      <c r="C163" t="s">
        <v>259</v>
      </c>
      <c r="D163" t="s">
        <v>22</v>
      </c>
      <c r="E163">
        <v>71</v>
      </c>
      <c r="F163">
        <v>752</v>
      </c>
      <c r="G163" t="s">
        <v>260</v>
      </c>
      <c r="H163" t="s">
        <v>73</v>
      </c>
      <c r="I163" t="s">
        <v>74</v>
      </c>
      <c r="J163" t="s">
        <v>245</v>
      </c>
      <c r="K163" t="s">
        <v>37</v>
      </c>
      <c r="L163" t="s">
        <v>67</v>
      </c>
      <c r="M163" t="s">
        <v>68</v>
      </c>
      <c r="N163" t="s">
        <v>69</v>
      </c>
      <c r="O163" t="s">
        <v>70</v>
      </c>
      <c r="P163">
        <v>3</v>
      </c>
      <c r="Q163" t="b">
        <v>0</v>
      </c>
      <c r="R163" s="1">
        <v>44031.84097222222</v>
      </c>
      <c r="V163" s="2">
        <v>44031.84097222222</v>
      </c>
      <c r="W163">
        <v>7</v>
      </c>
      <c r="X163">
        <v>2020</v>
      </c>
      <c r="Y163" t="s">
        <v>73</v>
      </c>
      <c r="Z163">
        <v>3</v>
      </c>
    </row>
    <row r="164" spans="1:26" x14ac:dyDescent="0.45">
      <c r="A164">
        <v>2171</v>
      </c>
      <c r="B164">
        <v>1327</v>
      </c>
      <c r="C164" t="s">
        <v>261</v>
      </c>
      <c r="D164" t="s">
        <v>42</v>
      </c>
      <c r="E164">
        <v>20</v>
      </c>
      <c r="F164">
        <v>649</v>
      </c>
      <c r="G164" t="s">
        <v>262</v>
      </c>
      <c r="H164" t="s">
        <v>129</v>
      </c>
      <c r="I164" t="s">
        <v>263</v>
      </c>
      <c r="J164" t="s">
        <v>264</v>
      </c>
      <c r="K164" t="s">
        <v>46</v>
      </c>
      <c r="L164" t="s">
        <v>56</v>
      </c>
      <c r="M164" t="s">
        <v>88</v>
      </c>
      <c r="N164" t="s">
        <v>89</v>
      </c>
      <c r="O164" t="s">
        <v>90</v>
      </c>
      <c r="P164">
        <v>5</v>
      </c>
      <c r="Q164" t="b">
        <v>1</v>
      </c>
      <c r="R164" s="1">
        <v>43838.67083333333</v>
      </c>
      <c r="S164" s="1">
        <v>43845.384027777778</v>
      </c>
      <c r="T164" t="s">
        <v>109</v>
      </c>
      <c r="U164" t="b">
        <v>0</v>
      </c>
      <c r="V164" s="2">
        <v>43838.67083333333</v>
      </c>
      <c r="W164">
        <v>1</v>
      </c>
      <c r="X164">
        <v>2020</v>
      </c>
      <c r="Y164" t="s">
        <v>129</v>
      </c>
      <c r="Z164">
        <v>5</v>
      </c>
    </row>
    <row r="165" spans="1:26" x14ac:dyDescent="0.45">
      <c r="A165">
        <v>2172</v>
      </c>
      <c r="B165">
        <v>1244</v>
      </c>
      <c r="C165" t="s">
        <v>265</v>
      </c>
      <c r="D165" t="s">
        <v>42</v>
      </c>
      <c r="E165">
        <v>71</v>
      </c>
      <c r="F165">
        <v>748</v>
      </c>
      <c r="G165" t="s">
        <v>266</v>
      </c>
      <c r="H165" t="s">
        <v>85</v>
      </c>
      <c r="I165" t="s">
        <v>86</v>
      </c>
      <c r="J165" t="s">
        <v>87</v>
      </c>
      <c r="K165" t="s">
        <v>37</v>
      </c>
      <c r="L165" t="s">
        <v>96</v>
      </c>
      <c r="M165" t="s">
        <v>118</v>
      </c>
      <c r="N165" t="s">
        <v>90</v>
      </c>
      <c r="O165" t="s">
        <v>119</v>
      </c>
      <c r="P165">
        <v>4</v>
      </c>
      <c r="Q165" t="b">
        <v>0</v>
      </c>
      <c r="R165" s="1">
        <v>44218.102777777778</v>
      </c>
      <c r="V165" s="2">
        <v>44218.102777777778</v>
      </c>
      <c r="W165">
        <v>1</v>
      </c>
      <c r="X165">
        <v>2021</v>
      </c>
      <c r="Y165" t="s">
        <v>85</v>
      </c>
      <c r="Z165">
        <v>4</v>
      </c>
    </row>
    <row r="166" spans="1:26" x14ac:dyDescent="0.45">
      <c r="A166">
        <v>2173</v>
      </c>
      <c r="B166">
        <v>1226</v>
      </c>
      <c r="C166" t="s">
        <v>267</v>
      </c>
      <c r="D166" t="s">
        <v>42</v>
      </c>
      <c r="E166">
        <v>22</v>
      </c>
      <c r="F166">
        <v>656</v>
      </c>
      <c r="G166" t="s">
        <v>268</v>
      </c>
      <c r="H166" t="s">
        <v>52</v>
      </c>
      <c r="I166" t="s">
        <v>150</v>
      </c>
      <c r="J166" t="s">
        <v>151</v>
      </c>
      <c r="K166" t="s">
        <v>66</v>
      </c>
      <c r="L166" t="s">
        <v>28</v>
      </c>
      <c r="M166" t="s">
        <v>29</v>
      </c>
      <c r="N166" t="s">
        <v>30</v>
      </c>
      <c r="O166" t="s">
        <v>31</v>
      </c>
      <c r="P166">
        <v>4</v>
      </c>
      <c r="Q166" t="b">
        <v>1</v>
      </c>
      <c r="R166" s="1">
        <v>45183.743750000001</v>
      </c>
      <c r="S166" s="1">
        <v>45190.242361111108</v>
      </c>
      <c r="T166" t="s">
        <v>109</v>
      </c>
      <c r="U166" t="b">
        <v>0</v>
      </c>
      <c r="V166" s="2">
        <v>45183.743750000001</v>
      </c>
      <c r="W166">
        <v>9</v>
      </c>
      <c r="X166">
        <v>2023</v>
      </c>
      <c r="Y166" t="s">
        <v>52</v>
      </c>
      <c r="Z166">
        <v>4</v>
      </c>
    </row>
    <row r="167" spans="1:26" x14ac:dyDescent="0.45">
      <c r="A167">
        <v>2174</v>
      </c>
      <c r="B167">
        <v>1000</v>
      </c>
      <c r="C167" t="s">
        <v>83</v>
      </c>
      <c r="D167" t="s">
        <v>22</v>
      </c>
      <c r="E167">
        <v>74</v>
      </c>
      <c r="F167">
        <v>747</v>
      </c>
      <c r="G167" t="s">
        <v>84</v>
      </c>
      <c r="H167" t="s">
        <v>85</v>
      </c>
      <c r="I167" t="s">
        <v>86</v>
      </c>
      <c r="J167" t="s">
        <v>87</v>
      </c>
      <c r="K167" t="s">
        <v>55</v>
      </c>
      <c r="L167" t="s">
        <v>67</v>
      </c>
      <c r="M167" t="s">
        <v>165</v>
      </c>
      <c r="N167" t="s">
        <v>166</v>
      </c>
      <c r="O167" t="s">
        <v>167</v>
      </c>
      <c r="P167">
        <v>2</v>
      </c>
      <c r="Q167" t="b">
        <v>1</v>
      </c>
      <c r="R167" s="1">
        <v>44751.445138888892</v>
      </c>
      <c r="S167" s="1">
        <v>44754.395833333336</v>
      </c>
      <c r="T167" t="s">
        <v>40</v>
      </c>
      <c r="U167" t="b">
        <v>0</v>
      </c>
      <c r="V167" s="2">
        <v>44751.445138888892</v>
      </c>
      <c r="W167">
        <v>7</v>
      </c>
      <c r="X167">
        <v>2022</v>
      </c>
      <c r="Y167" t="s">
        <v>85</v>
      </c>
      <c r="Z167">
        <v>2</v>
      </c>
    </row>
    <row r="168" spans="1:26" x14ac:dyDescent="0.45">
      <c r="A168">
        <v>2175</v>
      </c>
      <c r="B168">
        <v>1243</v>
      </c>
      <c r="C168" t="s">
        <v>269</v>
      </c>
      <c r="D168" t="s">
        <v>42</v>
      </c>
      <c r="E168">
        <v>14</v>
      </c>
      <c r="H168" t="s">
        <v>73</v>
      </c>
      <c r="I168" t="s">
        <v>140</v>
      </c>
      <c r="J168" t="s">
        <v>213</v>
      </c>
      <c r="K168" t="s">
        <v>37</v>
      </c>
      <c r="L168" t="s">
        <v>67</v>
      </c>
      <c r="M168" t="s">
        <v>233</v>
      </c>
      <c r="N168" t="s">
        <v>89</v>
      </c>
      <c r="O168" t="s">
        <v>90</v>
      </c>
      <c r="P168">
        <v>2</v>
      </c>
      <c r="Q168" t="b">
        <v>0</v>
      </c>
      <c r="R168" s="1">
        <v>43942.927777777775</v>
      </c>
      <c r="V168" s="2">
        <v>43942.927777777775</v>
      </c>
      <c r="W168">
        <v>4</v>
      </c>
      <c r="X168">
        <v>2020</v>
      </c>
      <c r="Y168" t="s">
        <v>73</v>
      </c>
      <c r="Z168">
        <v>2</v>
      </c>
    </row>
    <row r="169" spans="1:26" x14ac:dyDescent="0.45">
      <c r="A169">
        <v>2176</v>
      </c>
      <c r="B169">
        <v>1344</v>
      </c>
      <c r="C169" t="s">
        <v>270</v>
      </c>
      <c r="D169" t="s">
        <v>22</v>
      </c>
      <c r="E169">
        <v>63</v>
      </c>
      <c r="F169">
        <v>749</v>
      </c>
      <c r="G169" t="s">
        <v>271</v>
      </c>
      <c r="H169" t="s">
        <v>129</v>
      </c>
      <c r="I169" t="s">
        <v>130</v>
      </c>
      <c r="J169" t="s">
        <v>272</v>
      </c>
      <c r="K169" t="s">
        <v>27</v>
      </c>
      <c r="L169" t="s">
        <v>96</v>
      </c>
      <c r="M169" t="s">
        <v>118</v>
      </c>
      <c r="N169" t="s">
        <v>90</v>
      </c>
      <c r="O169" t="s">
        <v>119</v>
      </c>
      <c r="P169">
        <v>4</v>
      </c>
      <c r="Q169" t="b">
        <v>0</v>
      </c>
      <c r="R169" s="1">
        <v>44644.705555555556</v>
      </c>
      <c r="V169" s="2">
        <v>44644.705555555556</v>
      </c>
      <c r="W169">
        <v>3</v>
      </c>
      <c r="X169">
        <v>2022</v>
      </c>
      <c r="Y169" t="s">
        <v>129</v>
      </c>
      <c r="Z169">
        <v>4</v>
      </c>
    </row>
    <row r="170" spans="1:26" x14ac:dyDescent="0.45">
      <c r="A170">
        <v>2177</v>
      </c>
      <c r="B170">
        <v>1435</v>
      </c>
      <c r="C170" t="s">
        <v>273</v>
      </c>
      <c r="D170" t="s">
        <v>22</v>
      </c>
      <c r="E170">
        <v>52</v>
      </c>
      <c r="F170">
        <v>715</v>
      </c>
      <c r="G170" t="s">
        <v>274</v>
      </c>
      <c r="H170" t="s">
        <v>172</v>
      </c>
      <c r="I170" t="s">
        <v>177</v>
      </c>
      <c r="J170" t="s">
        <v>178</v>
      </c>
      <c r="K170" t="s">
        <v>102</v>
      </c>
      <c r="L170" t="s">
        <v>96</v>
      </c>
      <c r="M170" t="s">
        <v>136</v>
      </c>
      <c r="N170" t="s">
        <v>30</v>
      </c>
      <c r="O170" t="s">
        <v>137</v>
      </c>
      <c r="P170">
        <v>2</v>
      </c>
      <c r="Q170" t="b">
        <v>1</v>
      </c>
      <c r="R170" s="1">
        <v>44167.239583333336</v>
      </c>
      <c r="S170" s="1">
        <v>44171.338888888888</v>
      </c>
      <c r="T170" t="s">
        <v>40</v>
      </c>
      <c r="U170" t="b">
        <v>0</v>
      </c>
      <c r="V170" s="2">
        <v>44167.239583333336</v>
      </c>
      <c r="W170">
        <v>12</v>
      </c>
      <c r="X170">
        <v>2020</v>
      </c>
      <c r="Y170" t="s">
        <v>172</v>
      </c>
      <c r="Z170">
        <v>2</v>
      </c>
    </row>
    <row r="171" spans="1:26" x14ac:dyDescent="0.45">
      <c r="A171">
        <v>2178</v>
      </c>
      <c r="B171">
        <v>1024</v>
      </c>
      <c r="C171" t="s">
        <v>275</v>
      </c>
      <c r="D171" t="s">
        <v>42</v>
      </c>
      <c r="E171">
        <v>53</v>
      </c>
      <c r="F171">
        <v>730</v>
      </c>
      <c r="G171" t="s">
        <v>207</v>
      </c>
      <c r="H171" t="s">
        <v>129</v>
      </c>
      <c r="I171" t="s">
        <v>130</v>
      </c>
      <c r="J171" t="s">
        <v>252</v>
      </c>
      <c r="K171" t="s">
        <v>66</v>
      </c>
      <c r="L171" t="s">
        <v>76</v>
      </c>
      <c r="M171" t="s">
        <v>126</v>
      </c>
      <c r="N171" t="s">
        <v>98</v>
      </c>
      <c r="O171" t="s">
        <v>99</v>
      </c>
      <c r="P171">
        <v>5</v>
      </c>
      <c r="Q171" t="b">
        <v>1</v>
      </c>
      <c r="R171" s="1">
        <v>44890.414583333331</v>
      </c>
      <c r="S171" s="1">
        <v>44892.375</v>
      </c>
      <c r="T171" t="s">
        <v>40</v>
      </c>
      <c r="U171" t="b">
        <v>0</v>
      </c>
      <c r="V171" s="2">
        <v>44890.414583333331</v>
      </c>
      <c r="W171">
        <v>11</v>
      </c>
      <c r="X171">
        <v>2022</v>
      </c>
      <c r="Y171" t="s">
        <v>129</v>
      </c>
      <c r="Z171">
        <v>5</v>
      </c>
    </row>
    <row r="172" spans="1:26" x14ac:dyDescent="0.45">
      <c r="A172">
        <v>2179</v>
      </c>
      <c r="B172">
        <v>1104</v>
      </c>
      <c r="C172" t="s">
        <v>276</v>
      </c>
      <c r="D172" t="s">
        <v>42</v>
      </c>
      <c r="E172">
        <v>79</v>
      </c>
      <c r="F172">
        <v>760</v>
      </c>
      <c r="G172" t="s">
        <v>277</v>
      </c>
      <c r="H172" t="s">
        <v>129</v>
      </c>
      <c r="I172" t="s">
        <v>263</v>
      </c>
      <c r="J172" t="s">
        <v>278</v>
      </c>
      <c r="K172" t="s">
        <v>37</v>
      </c>
      <c r="L172" t="s">
        <v>28</v>
      </c>
      <c r="M172" t="s">
        <v>47</v>
      </c>
      <c r="N172" t="s">
        <v>48</v>
      </c>
      <c r="O172" t="s">
        <v>49</v>
      </c>
      <c r="P172">
        <v>3</v>
      </c>
      <c r="Q172" t="b">
        <v>1</v>
      </c>
      <c r="R172" s="1">
        <v>43984.70208333333</v>
      </c>
      <c r="S172" s="1">
        <v>43990.82916666667</v>
      </c>
      <c r="T172" t="s">
        <v>60</v>
      </c>
      <c r="U172" t="b">
        <v>0</v>
      </c>
      <c r="V172" s="2">
        <v>43984.70208333333</v>
      </c>
      <c r="W172">
        <v>6</v>
      </c>
      <c r="X172">
        <v>2020</v>
      </c>
      <c r="Y172" t="s">
        <v>129</v>
      </c>
      <c r="Z172">
        <v>3</v>
      </c>
    </row>
    <row r="173" spans="1:26" x14ac:dyDescent="0.45">
      <c r="A173">
        <v>2180</v>
      </c>
      <c r="B173">
        <v>1218</v>
      </c>
      <c r="C173" t="s">
        <v>152</v>
      </c>
      <c r="D173" t="s">
        <v>22</v>
      </c>
      <c r="E173">
        <v>71</v>
      </c>
      <c r="F173">
        <v>752</v>
      </c>
      <c r="G173" t="s">
        <v>153</v>
      </c>
      <c r="H173" t="s">
        <v>85</v>
      </c>
      <c r="I173" t="s">
        <v>116</v>
      </c>
      <c r="J173" t="s">
        <v>154</v>
      </c>
      <c r="K173" t="s">
        <v>37</v>
      </c>
      <c r="L173" t="s">
        <v>96</v>
      </c>
      <c r="M173" t="s">
        <v>103</v>
      </c>
      <c r="N173" t="s">
        <v>31</v>
      </c>
      <c r="O173" t="s">
        <v>104</v>
      </c>
      <c r="P173">
        <v>1</v>
      </c>
      <c r="Q173" t="b">
        <v>1</v>
      </c>
      <c r="R173" s="1">
        <v>45018.67083333333</v>
      </c>
      <c r="S173" s="1">
        <v>45022.813888888886</v>
      </c>
      <c r="T173" t="s">
        <v>60</v>
      </c>
      <c r="U173" t="b">
        <v>0</v>
      </c>
      <c r="V173" s="2">
        <v>45018.67083333333</v>
      </c>
      <c r="W173">
        <v>4</v>
      </c>
      <c r="X173">
        <v>2023</v>
      </c>
      <c r="Y173" t="s">
        <v>85</v>
      </c>
      <c r="Z173">
        <v>1</v>
      </c>
    </row>
    <row r="174" spans="1:26" x14ac:dyDescent="0.45">
      <c r="A174">
        <v>2181</v>
      </c>
      <c r="B174">
        <v>1051</v>
      </c>
      <c r="C174" t="s">
        <v>279</v>
      </c>
      <c r="D174" t="s">
        <v>42</v>
      </c>
      <c r="E174">
        <v>41</v>
      </c>
      <c r="F174">
        <v>697</v>
      </c>
      <c r="G174" t="s">
        <v>280</v>
      </c>
      <c r="H174" t="s">
        <v>63</v>
      </c>
      <c r="I174" t="s">
        <v>64</v>
      </c>
      <c r="J174" t="s">
        <v>281</v>
      </c>
      <c r="K174" t="s">
        <v>55</v>
      </c>
      <c r="L174" t="s">
        <v>67</v>
      </c>
      <c r="M174" t="s">
        <v>108</v>
      </c>
      <c r="N174" t="s">
        <v>99</v>
      </c>
      <c r="O174" t="s">
        <v>30</v>
      </c>
      <c r="P174">
        <v>5</v>
      </c>
      <c r="Q174" t="b">
        <v>1</v>
      </c>
      <c r="R174" s="1">
        <v>44443.659722222219</v>
      </c>
      <c r="S174" s="1">
        <v>44448.423611111109</v>
      </c>
      <c r="T174" t="s">
        <v>109</v>
      </c>
      <c r="U174" t="b">
        <v>0</v>
      </c>
      <c r="V174" s="2">
        <v>44443.659722222219</v>
      </c>
      <c r="W174">
        <v>9</v>
      </c>
      <c r="X174">
        <v>2021</v>
      </c>
      <c r="Y174" t="s">
        <v>63</v>
      </c>
      <c r="Z174">
        <v>5</v>
      </c>
    </row>
    <row r="175" spans="1:26" x14ac:dyDescent="0.45">
      <c r="A175">
        <v>2182</v>
      </c>
      <c r="B175">
        <v>1025</v>
      </c>
      <c r="C175" t="s">
        <v>282</v>
      </c>
      <c r="D175" t="s">
        <v>42</v>
      </c>
      <c r="E175">
        <v>76</v>
      </c>
      <c r="F175">
        <v>742</v>
      </c>
      <c r="G175" t="s">
        <v>283</v>
      </c>
      <c r="H175" t="s">
        <v>52</v>
      </c>
      <c r="I175" t="s">
        <v>53</v>
      </c>
      <c r="J175" t="s">
        <v>284</v>
      </c>
      <c r="K175" t="s">
        <v>66</v>
      </c>
      <c r="L175" t="s">
        <v>76</v>
      </c>
      <c r="M175" t="s">
        <v>160</v>
      </c>
      <c r="N175" t="s">
        <v>79</v>
      </c>
      <c r="O175" t="s">
        <v>161</v>
      </c>
      <c r="P175">
        <v>2</v>
      </c>
      <c r="Q175" t="b">
        <v>1</v>
      </c>
      <c r="R175" s="1">
        <v>45139.913194444445</v>
      </c>
      <c r="S175" s="1">
        <v>45142.817361111112</v>
      </c>
      <c r="T175" t="s">
        <v>60</v>
      </c>
      <c r="U175" t="b">
        <v>0</v>
      </c>
      <c r="V175" s="2">
        <v>45139.913194444445</v>
      </c>
      <c r="W175">
        <v>8</v>
      </c>
      <c r="X175">
        <v>2023</v>
      </c>
      <c r="Y175" t="s">
        <v>52</v>
      </c>
      <c r="Z175">
        <v>2</v>
      </c>
    </row>
    <row r="176" spans="1:26" x14ac:dyDescent="0.45">
      <c r="A176">
        <v>2183</v>
      </c>
      <c r="B176">
        <v>1278</v>
      </c>
      <c r="C176" t="s">
        <v>61</v>
      </c>
      <c r="D176" t="s">
        <v>42</v>
      </c>
      <c r="E176">
        <v>18</v>
      </c>
      <c r="F176">
        <v>607</v>
      </c>
      <c r="G176" t="s">
        <v>62</v>
      </c>
      <c r="H176" t="s">
        <v>63</v>
      </c>
      <c r="I176" t="s">
        <v>64</v>
      </c>
      <c r="J176" t="s">
        <v>65</v>
      </c>
      <c r="K176" t="s">
        <v>66</v>
      </c>
      <c r="L176" t="s">
        <v>28</v>
      </c>
      <c r="M176" t="s">
        <v>29</v>
      </c>
      <c r="N176" t="s">
        <v>30</v>
      </c>
      <c r="O176" t="s">
        <v>31</v>
      </c>
      <c r="P176">
        <v>2</v>
      </c>
      <c r="Q176" t="b">
        <v>0</v>
      </c>
      <c r="R176" s="1">
        <v>45167.11041666667</v>
      </c>
      <c r="V176" s="2">
        <v>45167.11041666667</v>
      </c>
      <c r="W176">
        <v>8</v>
      </c>
      <c r="X176">
        <v>2023</v>
      </c>
      <c r="Y176" t="s">
        <v>63</v>
      </c>
      <c r="Z176">
        <v>2</v>
      </c>
    </row>
    <row r="177" spans="1:26" x14ac:dyDescent="0.45">
      <c r="A177">
        <v>2184</v>
      </c>
      <c r="B177">
        <v>1418</v>
      </c>
      <c r="C177" t="s">
        <v>285</v>
      </c>
      <c r="D177" t="s">
        <v>22</v>
      </c>
      <c r="E177">
        <v>28</v>
      </c>
      <c r="F177">
        <v>682</v>
      </c>
      <c r="G177" t="s">
        <v>286</v>
      </c>
      <c r="H177" t="s">
        <v>35</v>
      </c>
      <c r="I177" t="s">
        <v>122</v>
      </c>
      <c r="J177" t="s">
        <v>135</v>
      </c>
      <c r="K177" t="s">
        <v>46</v>
      </c>
      <c r="L177" t="s">
        <v>67</v>
      </c>
      <c r="M177" t="s">
        <v>233</v>
      </c>
      <c r="N177" t="s">
        <v>89</v>
      </c>
      <c r="O177" t="s">
        <v>90</v>
      </c>
      <c r="P177">
        <v>4</v>
      </c>
      <c r="Q177" t="b">
        <v>1</v>
      </c>
      <c r="R177" s="1">
        <v>44811.243750000001</v>
      </c>
      <c r="S177" s="1">
        <v>44813.467361111114</v>
      </c>
      <c r="T177" t="s">
        <v>60</v>
      </c>
      <c r="U177" t="b">
        <v>0</v>
      </c>
      <c r="V177" s="2">
        <v>44811.243750000001</v>
      </c>
      <c r="W177">
        <v>9</v>
      </c>
      <c r="X177">
        <v>2022</v>
      </c>
      <c r="Y177" t="s">
        <v>35</v>
      </c>
      <c r="Z177">
        <v>4</v>
      </c>
    </row>
    <row r="178" spans="1:26" x14ac:dyDescent="0.45">
      <c r="A178">
        <v>2185</v>
      </c>
      <c r="B178">
        <v>1453</v>
      </c>
      <c r="C178" t="s">
        <v>287</v>
      </c>
      <c r="D178" t="s">
        <v>22</v>
      </c>
      <c r="E178">
        <v>15</v>
      </c>
      <c r="H178" t="s">
        <v>52</v>
      </c>
      <c r="I178" t="s">
        <v>53</v>
      </c>
      <c r="J178" t="s">
        <v>54</v>
      </c>
      <c r="K178" t="s">
        <v>55</v>
      </c>
      <c r="L178" t="s">
        <v>28</v>
      </c>
      <c r="M178" t="s">
        <v>29</v>
      </c>
      <c r="N178" t="s">
        <v>30</v>
      </c>
      <c r="O178" t="s">
        <v>31</v>
      </c>
      <c r="P178">
        <v>3</v>
      </c>
      <c r="Q178" t="b">
        <v>0</v>
      </c>
      <c r="R178" s="1">
        <v>44422.145138888889</v>
      </c>
      <c r="V178" s="2">
        <v>44422.145138888889</v>
      </c>
      <c r="W178">
        <v>8</v>
      </c>
      <c r="X178">
        <v>2021</v>
      </c>
      <c r="Y178" t="s">
        <v>52</v>
      </c>
      <c r="Z178">
        <v>3</v>
      </c>
    </row>
    <row r="179" spans="1:26" x14ac:dyDescent="0.45">
      <c r="A179">
        <v>2186</v>
      </c>
      <c r="B179">
        <v>1481</v>
      </c>
      <c r="C179" t="s">
        <v>288</v>
      </c>
      <c r="D179" t="s">
        <v>42</v>
      </c>
      <c r="E179">
        <v>34</v>
      </c>
      <c r="F179">
        <v>697</v>
      </c>
      <c r="G179" t="s">
        <v>289</v>
      </c>
      <c r="H179" t="s">
        <v>35</v>
      </c>
      <c r="I179" t="s">
        <v>36</v>
      </c>
      <c r="J179" t="s">
        <v>123</v>
      </c>
      <c r="K179" t="s">
        <v>55</v>
      </c>
      <c r="L179" t="s">
        <v>28</v>
      </c>
      <c r="M179" t="s">
        <v>47</v>
      </c>
      <c r="N179" t="s">
        <v>48</v>
      </c>
      <c r="O179" t="s">
        <v>49</v>
      </c>
      <c r="P179">
        <v>2</v>
      </c>
      <c r="Q179" t="b">
        <v>0</v>
      </c>
      <c r="R179" s="1">
        <v>44574.913194444445</v>
      </c>
      <c r="V179" s="2">
        <v>44574.913194444445</v>
      </c>
      <c r="W179">
        <v>1</v>
      </c>
      <c r="X179">
        <v>2022</v>
      </c>
      <c r="Y179" t="s">
        <v>35</v>
      </c>
      <c r="Z179">
        <v>2</v>
      </c>
    </row>
    <row r="180" spans="1:26" x14ac:dyDescent="0.45">
      <c r="A180">
        <v>2187</v>
      </c>
      <c r="B180">
        <v>1373</v>
      </c>
      <c r="C180" t="s">
        <v>206</v>
      </c>
      <c r="D180" t="s">
        <v>42</v>
      </c>
      <c r="E180">
        <v>55</v>
      </c>
      <c r="F180">
        <v>707</v>
      </c>
      <c r="G180" t="s">
        <v>207</v>
      </c>
      <c r="H180" t="s">
        <v>24</v>
      </c>
      <c r="I180" t="s">
        <v>44</v>
      </c>
      <c r="J180" t="s">
        <v>208</v>
      </c>
      <c r="K180" t="s">
        <v>55</v>
      </c>
      <c r="L180" t="s">
        <v>56</v>
      </c>
      <c r="M180" t="s">
        <v>197</v>
      </c>
      <c r="N180" t="s">
        <v>198</v>
      </c>
      <c r="O180" t="s">
        <v>199</v>
      </c>
      <c r="P180">
        <v>4</v>
      </c>
      <c r="Q180" t="b">
        <v>1</v>
      </c>
      <c r="R180" s="1">
        <v>44238</v>
      </c>
      <c r="S180" s="1">
        <v>44239.434027777781</v>
      </c>
      <c r="T180" t="s">
        <v>109</v>
      </c>
      <c r="U180" t="b">
        <v>0</v>
      </c>
      <c r="V180" s="2">
        <v>44238</v>
      </c>
      <c r="W180">
        <v>2</v>
      </c>
      <c r="X180">
        <v>2021</v>
      </c>
      <c r="Y180" t="s">
        <v>24</v>
      </c>
      <c r="Z180">
        <v>4</v>
      </c>
    </row>
    <row r="181" spans="1:26" x14ac:dyDescent="0.45">
      <c r="A181">
        <v>2188</v>
      </c>
      <c r="B181">
        <v>1048</v>
      </c>
      <c r="C181" t="s">
        <v>290</v>
      </c>
      <c r="D181" t="s">
        <v>42</v>
      </c>
      <c r="E181">
        <v>28</v>
      </c>
      <c r="F181">
        <v>692</v>
      </c>
      <c r="G181" t="s">
        <v>291</v>
      </c>
      <c r="H181" t="s">
        <v>172</v>
      </c>
      <c r="I181" t="s">
        <v>177</v>
      </c>
      <c r="J181" t="s">
        <v>178</v>
      </c>
      <c r="K181" t="s">
        <v>46</v>
      </c>
      <c r="L181" t="s">
        <v>28</v>
      </c>
      <c r="M181" t="s">
        <v>29</v>
      </c>
      <c r="N181" t="s">
        <v>30</v>
      </c>
      <c r="O181" t="s">
        <v>31</v>
      </c>
      <c r="P181">
        <v>4</v>
      </c>
      <c r="Q181" t="b">
        <v>1</v>
      </c>
      <c r="R181" s="1">
        <v>44021.249305555553</v>
      </c>
      <c r="S181" s="1">
        <v>44022.007638888892</v>
      </c>
      <c r="T181" t="s">
        <v>60</v>
      </c>
      <c r="U181" t="b">
        <v>0</v>
      </c>
      <c r="V181" s="2">
        <v>44021.249305555553</v>
      </c>
      <c r="W181">
        <v>7</v>
      </c>
      <c r="X181">
        <v>2020</v>
      </c>
      <c r="Y181" t="s">
        <v>172</v>
      </c>
      <c r="Z181">
        <v>4</v>
      </c>
    </row>
    <row r="182" spans="1:26" x14ac:dyDescent="0.45">
      <c r="A182">
        <v>2189</v>
      </c>
      <c r="B182">
        <v>1226</v>
      </c>
      <c r="C182" t="s">
        <v>267</v>
      </c>
      <c r="D182" t="s">
        <v>42</v>
      </c>
      <c r="E182">
        <v>22</v>
      </c>
      <c r="F182">
        <v>656</v>
      </c>
      <c r="G182" t="s">
        <v>268</v>
      </c>
      <c r="H182" t="s">
        <v>52</v>
      </c>
      <c r="I182" t="s">
        <v>150</v>
      </c>
      <c r="J182" t="s">
        <v>151</v>
      </c>
      <c r="K182" t="s">
        <v>102</v>
      </c>
      <c r="L182" t="s">
        <v>56</v>
      </c>
      <c r="M182" t="s">
        <v>88</v>
      </c>
      <c r="N182" t="s">
        <v>89</v>
      </c>
      <c r="O182" t="s">
        <v>90</v>
      </c>
      <c r="P182">
        <v>1</v>
      </c>
      <c r="Q182" t="b">
        <v>0</v>
      </c>
      <c r="R182" s="1">
        <v>44972.565972222219</v>
      </c>
      <c r="V182" s="2">
        <v>44972.565972222219</v>
      </c>
      <c r="W182">
        <v>2</v>
      </c>
      <c r="X182">
        <v>2023</v>
      </c>
      <c r="Y182" t="s">
        <v>52</v>
      </c>
      <c r="Z182">
        <v>1</v>
      </c>
    </row>
    <row r="183" spans="1:26" x14ac:dyDescent="0.45">
      <c r="A183">
        <v>2190</v>
      </c>
      <c r="B183">
        <v>1243</v>
      </c>
      <c r="C183" t="s">
        <v>269</v>
      </c>
      <c r="D183" t="s">
        <v>42</v>
      </c>
      <c r="E183">
        <v>14</v>
      </c>
      <c r="H183" t="s">
        <v>73</v>
      </c>
      <c r="I183" t="s">
        <v>140</v>
      </c>
      <c r="J183" t="s">
        <v>213</v>
      </c>
      <c r="K183" t="s">
        <v>102</v>
      </c>
      <c r="L183" t="s">
        <v>76</v>
      </c>
      <c r="M183" t="s">
        <v>126</v>
      </c>
      <c r="N183" t="s">
        <v>98</v>
      </c>
      <c r="O183" t="s">
        <v>99</v>
      </c>
      <c r="P183">
        <v>5</v>
      </c>
      <c r="Q183" t="b">
        <v>1</v>
      </c>
      <c r="R183" s="1">
        <v>44400.284722222219</v>
      </c>
      <c r="S183" s="1">
        <v>44402.386805555558</v>
      </c>
      <c r="T183" t="s">
        <v>109</v>
      </c>
      <c r="U183" t="b">
        <v>0</v>
      </c>
      <c r="V183" s="2">
        <v>44400.284722222219</v>
      </c>
      <c r="W183">
        <v>7</v>
      </c>
      <c r="X183">
        <v>2021</v>
      </c>
      <c r="Y183" t="s">
        <v>73</v>
      </c>
      <c r="Z183">
        <v>5</v>
      </c>
    </row>
    <row r="184" spans="1:26" x14ac:dyDescent="0.45">
      <c r="A184">
        <v>2191</v>
      </c>
      <c r="B184">
        <v>1148</v>
      </c>
      <c r="C184" t="s">
        <v>292</v>
      </c>
      <c r="D184" t="s">
        <v>22</v>
      </c>
      <c r="E184">
        <v>38</v>
      </c>
      <c r="F184">
        <v>687</v>
      </c>
      <c r="G184" t="s">
        <v>293</v>
      </c>
      <c r="H184" t="s">
        <v>129</v>
      </c>
      <c r="I184" t="s">
        <v>130</v>
      </c>
      <c r="J184" t="s">
        <v>252</v>
      </c>
      <c r="K184" t="s">
        <v>55</v>
      </c>
      <c r="L184" t="s">
        <v>76</v>
      </c>
      <c r="M184" t="s">
        <v>77</v>
      </c>
      <c r="N184" t="s">
        <v>78</v>
      </c>
      <c r="O184" t="s">
        <v>79</v>
      </c>
      <c r="P184">
        <v>5</v>
      </c>
      <c r="Q184" t="b">
        <v>1</v>
      </c>
      <c r="R184" s="1">
        <v>44652.913888888892</v>
      </c>
      <c r="S184" s="1">
        <v>44656.894444444442</v>
      </c>
      <c r="T184" t="s">
        <v>109</v>
      </c>
      <c r="U184" t="b">
        <v>0</v>
      </c>
      <c r="V184" s="2">
        <v>44652.913888888892</v>
      </c>
      <c r="W184">
        <v>4</v>
      </c>
      <c r="X184">
        <v>2022</v>
      </c>
      <c r="Y184" t="s">
        <v>129</v>
      </c>
      <c r="Z184">
        <v>5</v>
      </c>
    </row>
    <row r="185" spans="1:26" x14ac:dyDescent="0.45">
      <c r="A185">
        <v>2192</v>
      </c>
      <c r="B185">
        <v>1093</v>
      </c>
      <c r="C185" t="s">
        <v>294</v>
      </c>
      <c r="D185" t="s">
        <v>42</v>
      </c>
      <c r="E185">
        <v>28</v>
      </c>
      <c r="F185">
        <v>699</v>
      </c>
      <c r="G185" t="s">
        <v>295</v>
      </c>
      <c r="H185" t="s">
        <v>85</v>
      </c>
      <c r="I185" t="s">
        <v>116</v>
      </c>
      <c r="J185" t="s">
        <v>117</v>
      </c>
      <c r="K185" t="s">
        <v>66</v>
      </c>
      <c r="L185" t="s">
        <v>76</v>
      </c>
      <c r="M185" t="s">
        <v>126</v>
      </c>
      <c r="N185" t="s">
        <v>98</v>
      </c>
      <c r="O185" t="s">
        <v>99</v>
      </c>
      <c r="P185">
        <v>1</v>
      </c>
      <c r="Q185" t="b">
        <v>0</v>
      </c>
      <c r="R185" s="1">
        <v>44134.552777777775</v>
      </c>
      <c r="V185" s="2">
        <v>44134.552777777775</v>
      </c>
      <c r="W185">
        <v>10</v>
      </c>
      <c r="X185">
        <v>2020</v>
      </c>
      <c r="Y185" t="s">
        <v>85</v>
      </c>
      <c r="Z185">
        <v>1</v>
      </c>
    </row>
    <row r="186" spans="1:26" x14ac:dyDescent="0.45">
      <c r="A186">
        <v>2193</v>
      </c>
      <c r="B186">
        <v>1258</v>
      </c>
      <c r="C186" t="s">
        <v>296</v>
      </c>
      <c r="D186" t="s">
        <v>22</v>
      </c>
      <c r="E186">
        <v>65</v>
      </c>
      <c r="F186">
        <v>751</v>
      </c>
      <c r="G186" t="s">
        <v>297</v>
      </c>
      <c r="H186" t="s">
        <v>93</v>
      </c>
      <c r="I186" t="s">
        <v>112</v>
      </c>
      <c r="J186" t="s">
        <v>242</v>
      </c>
      <c r="K186" t="s">
        <v>46</v>
      </c>
      <c r="L186" t="s">
        <v>56</v>
      </c>
      <c r="M186" t="s">
        <v>179</v>
      </c>
      <c r="N186" t="s">
        <v>79</v>
      </c>
      <c r="O186" t="s">
        <v>161</v>
      </c>
      <c r="P186">
        <v>3</v>
      </c>
      <c r="Q186" t="b">
        <v>1</v>
      </c>
      <c r="R186" s="1">
        <v>43939.76666666667</v>
      </c>
      <c r="S186" s="1">
        <v>43940.01458333333</v>
      </c>
      <c r="T186" t="s">
        <v>40</v>
      </c>
      <c r="U186" t="b">
        <v>0</v>
      </c>
      <c r="V186" s="2">
        <v>43939.76666666667</v>
      </c>
      <c r="W186">
        <v>4</v>
      </c>
      <c r="X186">
        <v>2020</v>
      </c>
      <c r="Y186" t="s">
        <v>93</v>
      </c>
      <c r="Z186">
        <v>3</v>
      </c>
    </row>
    <row r="187" spans="1:26" x14ac:dyDescent="0.45">
      <c r="A187">
        <v>2194</v>
      </c>
      <c r="B187">
        <v>1180</v>
      </c>
      <c r="C187" t="s">
        <v>298</v>
      </c>
      <c r="D187" t="s">
        <v>42</v>
      </c>
      <c r="E187">
        <v>74</v>
      </c>
      <c r="F187">
        <v>757</v>
      </c>
      <c r="G187" t="s">
        <v>299</v>
      </c>
      <c r="H187" t="s">
        <v>63</v>
      </c>
      <c r="I187" t="s">
        <v>300</v>
      </c>
      <c r="J187" t="s">
        <v>301</v>
      </c>
      <c r="K187" t="s">
        <v>102</v>
      </c>
      <c r="L187" t="s">
        <v>96</v>
      </c>
      <c r="M187" t="s">
        <v>103</v>
      </c>
      <c r="N187" t="s">
        <v>31</v>
      </c>
      <c r="O187" t="s">
        <v>104</v>
      </c>
      <c r="P187">
        <v>2</v>
      </c>
      <c r="Q187" t="b">
        <v>1</v>
      </c>
      <c r="R187" s="1">
        <v>45239.995138888888</v>
      </c>
      <c r="S187" s="1">
        <v>45242.875694444447</v>
      </c>
      <c r="T187" t="s">
        <v>32</v>
      </c>
      <c r="U187" t="b">
        <v>0</v>
      </c>
      <c r="V187" s="2">
        <v>45239.995138888888</v>
      </c>
      <c r="W187">
        <v>11</v>
      </c>
      <c r="X187">
        <v>2023</v>
      </c>
      <c r="Y187" t="s">
        <v>63</v>
      </c>
      <c r="Z187">
        <v>2</v>
      </c>
    </row>
    <row r="188" spans="1:26" x14ac:dyDescent="0.45">
      <c r="A188">
        <v>2195</v>
      </c>
      <c r="B188">
        <v>1082</v>
      </c>
      <c r="C188" t="s">
        <v>302</v>
      </c>
      <c r="D188" t="s">
        <v>42</v>
      </c>
      <c r="E188">
        <v>24</v>
      </c>
      <c r="F188">
        <v>600</v>
      </c>
      <c r="G188" t="s">
        <v>303</v>
      </c>
      <c r="H188" t="s">
        <v>73</v>
      </c>
      <c r="I188" t="s">
        <v>140</v>
      </c>
      <c r="J188" t="s">
        <v>228</v>
      </c>
      <c r="K188" t="s">
        <v>55</v>
      </c>
      <c r="L188" t="s">
        <v>76</v>
      </c>
      <c r="M188" t="s">
        <v>126</v>
      </c>
      <c r="N188" t="s">
        <v>98</v>
      </c>
      <c r="O188" t="s">
        <v>99</v>
      </c>
      <c r="P188">
        <v>3</v>
      </c>
      <c r="Q188" t="b">
        <v>1</v>
      </c>
      <c r="R188" s="1">
        <v>44563.927083333336</v>
      </c>
      <c r="S188" s="1">
        <v>44564.481944444444</v>
      </c>
      <c r="T188" t="s">
        <v>60</v>
      </c>
      <c r="U188" t="b">
        <v>0</v>
      </c>
      <c r="V188" s="2">
        <v>44563.927083333336</v>
      </c>
      <c r="W188">
        <v>1</v>
      </c>
      <c r="X188">
        <v>2022</v>
      </c>
      <c r="Y188" t="s">
        <v>73</v>
      </c>
      <c r="Z188">
        <v>3</v>
      </c>
    </row>
    <row r="189" spans="1:26" x14ac:dyDescent="0.45">
      <c r="A189">
        <v>2196</v>
      </c>
      <c r="B189">
        <v>1207</v>
      </c>
      <c r="C189" t="s">
        <v>304</v>
      </c>
      <c r="D189" t="s">
        <v>42</v>
      </c>
      <c r="E189">
        <v>37</v>
      </c>
      <c r="F189">
        <v>691</v>
      </c>
      <c r="G189" t="s">
        <v>305</v>
      </c>
      <c r="H189" t="s">
        <v>52</v>
      </c>
      <c r="I189" t="s">
        <v>150</v>
      </c>
      <c r="J189" t="s">
        <v>306</v>
      </c>
      <c r="K189" t="s">
        <v>37</v>
      </c>
      <c r="L189" t="s">
        <v>56</v>
      </c>
      <c r="M189" t="s">
        <v>88</v>
      </c>
      <c r="N189" t="s">
        <v>89</v>
      </c>
      <c r="O189" t="s">
        <v>90</v>
      </c>
      <c r="P189">
        <v>5</v>
      </c>
      <c r="Q189" t="b">
        <v>1</v>
      </c>
      <c r="R189" s="1">
        <v>44603.97152777778</v>
      </c>
      <c r="S189" s="1">
        <v>44610.400694444441</v>
      </c>
      <c r="T189" t="s">
        <v>32</v>
      </c>
      <c r="U189" t="b">
        <v>0</v>
      </c>
      <c r="V189" s="2">
        <v>44603.97152777778</v>
      </c>
      <c r="W189">
        <v>2</v>
      </c>
      <c r="X189">
        <v>2022</v>
      </c>
      <c r="Y189" t="s">
        <v>52</v>
      </c>
      <c r="Z189">
        <v>5</v>
      </c>
    </row>
    <row r="190" spans="1:26" x14ac:dyDescent="0.45">
      <c r="A190">
        <v>2197</v>
      </c>
      <c r="B190">
        <v>1288</v>
      </c>
      <c r="C190" t="s">
        <v>307</v>
      </c>
      <c r="D190" t="s">
        <v>42</v>
      </c>
      <c r="E190">
        <v>72</v>
      </c>
      <c r="F190">
        <v>756</v>
      </c>
      <c r="G190" t="s">
        <v>308</v>
      </c>
      <c r="H190" t="s">
        <v>35</v>
      </c>
      <c r="I190" t="s">
        <v>36</v>
      </c>
      <c r="J190" t="s">
        <v>36</v>
      </c>
      <c r="K190" t="s">
        <v>102</v>
      </c>
      <c r="L190" t="s">
        <v>28</v>
      </c>
      <c r="M190" t="s">
        <v>47</v>
      </c>
      <c r="N190" t="s">
        <v>48</v>
      </c>
      <c r="O190" t="s">
        <v>49</v>
      </c>
      <c r="P190">
        <v>3</v>
      </c>
      <c r="Q190" t="b">
        <v>1</v>
      </c>
      <c r="R190" s="1">
        <v>44461.322916666664</v>
      </c>
      <c r="S190" s="1">
        <v>44462.220833333333</v>
      </c>
      <c r="T190" t="s">
        <v>109</v>
      </c>
      <c r="U190" t="b">
        <v>0</v>
      </c>
      <c r="V190" s="2">
        <v>44461.322916666664</v>
      </c>
      <c r="W190">
        <v>9</v>
      </c>
      <c r="X190">
        <v>2021</v>
      </c>
      <c r="Y190" t="s">
        <v>35</v>
      </c>
      <c r="Z190">
        <v>3</v>
      </c>
    </row>
    <row r="191" spans="1:26" x14ac:dyDescent="0.45">
      <c r="A191">
        <v>2198</v>
      </c>
      <c r="B191">
        <v>1129</v>
      </c>
      <c r="C191" t="s">
        <v>309</v>
      </c>
      <c r="D191" t="s">
        <v>42</v>
      </c>
      <c r="E191">
        <v>14</v>
      </c>
      <c r="H191" t="s">
        <v>35</v>
      </c>
      <c r="I191" t="s">
        <v>36</v>
      </c>
      <c r="J191" t="s">
        <v>123</v>
      </c>
      <c r="K191" t="s">
        <v>102</v>
      </c>
      <c r="L191" t="s">
        <v>76</v>
      </c>
      <c r="M191" t="s">
        <v>77</v>
      </c>
      <c r="N191" t="s">
        <v>78</v>
      </c>
      <c r="O191" t="s">
        <v>79</v>
      </c>
      <c r="P191">
        <v>2</v>
      </c>
      <c r="Q191" t="b">
        <v>1</v>
      </c>
      <c r="R191" s="1">
        <v>43944.995138888888</v>
      </c>
      <c r="S191" s="1">
        <v>43950.544444444444</v>
      </c>
      <c r="T191" t="s">
        <v>60</v>
      </c>
      <c r="U191" t="b">
        <v>0</v>
      </c>
      <c r="V191" s="2">
        <v>43944.995138888888</v>
      </c>
      <c r="W191">
        <v>4</v>
      </c>
      <c r="X191">
        <v>2020</v>
      </c>
      <c r="Y191" t="s">
        <v>35</v>
      </c>
      <c r="Z191">
        <v>2</v>
      </c>
    </row>
    <row r="192" spans="1:26" x14ac:dyDescent="0.45">
      <c r="A192">
        <v>2199</v>
      </c>
      <c r="B192">
        <v>1076</v>
      </c>
      <c r="C192" t="s">
        <v>310</v>
      </c>
      <c r="D192" t="s">
        <v>22</v>
      </c>
      <c r="E192">
        <v>24</v>
      </c>
      <c r="F192">
        <v>632</v>
      </c>
      <c r="G192" t="s">
        <v>311</v>
      </c>
      <c r="H192" t="s">
        <v>52</v>
      </c>
      <c r="I192" t="s">
        <v>53</v>
      </c>
      <c r="J192" t="s">
        <v>54</v>
      </c>
      <c r="K192" t="s">
        <v>37</v>
      </c>
      <c r="L192" t="s">
        <v>56</v>
      </c>
      <c r="M192" t="s">
        <v>88</v>
      </c>
      <c r="N192" t="s">
        <v>89</v>
      </c>
      <c r="O192" t="s">
        <v>90</v>
      </c>
      <c r="P192">
        <v>5</v>
      </c>
      <c r="Q192" t="b">
        <v>1</v>
      </c>
      <c r="R192" s="1">
        <v>43880.943055555559</v>
      </c>
      <c r="S192" s="1">
        <v>43883.915277777778</v>
      </c>
      <c r="T192" t="s">
        <v>109</v>
      </c>
      <c r="U192" t="b">
        <v>0</v>
      </c>
      <c r="V192" s="2">
        <v>43880.943055555559</v>
      </c>
      <c r="W192">
        <v>2</v>
      </c>
      <c r="X192">
        <v>2020</v>
      </c>
      <c r="Y192" t="s">
        <v>52</v>
      </c>
      <c r="Z192">
        <v>5</v>
      </c>
    </row>
    <row r="193" spans="1:26" x14ac:dyDescent="0.45">
      <c r="A193">
        <v>2200</v>
      </c>
      <c r="B193">
        <v>1084</v>
      </c>
      <c r="C193" t="s">
        <v>312</v>
      </c>
      <c r="D193" t="s">
        <v>22</v>
      </c>
      <c r="E193">
        <v>46</v>
      </c>
      <c r="F193">
        <v>727</v>
      </c>
      <c r="G193" t="s">
        <v>313</v>
      </c>
      <c r="H193" t="s">
        <v>52</v>
      </c>
      <c r="I193" t="s">
        <v>53</v>
      </c>
      <c r="J193" t="s">
        <v>284</v>
      </c>
      <c r="K193" t="s">
        <v>27</v>
      </c>
      <c r="L193" t="s">
        <v>28</v>
      </c>
      <c r="M193" t="s">
        <v>142</v>
      </c>
      <c r="N193" t="s">
        <v>143</v>
      </c>
      <c r="O193" t="s">
        <v>144</v>
      </c>
      <c r="P193">
        <v>4</v>
      </c>
      <c r="Q193" t="b">
        <v>0</v>
      </c>
      <c r="R193" s="1">
        <v>45291.154861111114</v>
      </c>
      <c r="V193" s="2">
        <v>45291.154861111114</v>
      </c>
      <c r="W193">
        <v>12</v>
      </c>
      <c r="X193">
        <v>2023</v>
      </c>
      <c r="Y193" t="s">
        <v>52</v>
      </c>
      <c r="Z193">
        <v>4</v>
      </c>
    </row>
    <row r="194" spans="1:26" x14ac:dyDescent="0.45">
      <c r="A194">
        <v>2201</v>
      </c>
      <c r="B194">
        <v>1215</v>
      </c>
      <c r="C194" t="s">
        <v>314</v>
      </c>
      <c r="D194" t="s">
        <v>42</v>
      </c>
      <c r="E194">
        <v>44</v>
      </c>
      <c r="F194">
        <v>730</v>
      </c>
      <c r="G194" t="s">
        <v>315</v>
      </c>
      <c r="H194" t="s">
        <v>129</v>
      </c>
      <c r="I194" t="s">
        <v>263</v>
      </c>
      <c r="J194" t="s">
        <v>316</v>
      </c>
      <c r="K194" t="s">
        <v>66</v>
      </c>
      <c r="L194" t="s">
        <v>28</v>
      </c>
      <c r="M194" t="s">
        <v>29</v>
      </c>
      <c r="N194" t="s">
        <v>30</v>
      </c>
      <c r="O194" t="s">
        <v>31</v>
      </c>
      <c r="P194">
        <v>4</v>
      </c>
      <c r="Q194" t="b">
        <v>1</v>
      </c>
      <c r="R194" s="1">
        <v>44489.857638888891</v>
      </c>
      <c r="S194" s="1">
        <v>44494.932638888888</v>
      </c>
      <c r="T194" t="s">
        <v>109</v>
      </c>
      <c r="U194" t="b">
        <v>0</v>
      </c>
      <c r="V194" s="2">
        <v>44489.857638888891</v>
      </c>
      <c r="W194">
        <v>10</v>
      </c>
      <c r="X194">
        <v>2021</v>
      </c>
      <c r="Y194" t="s">
        <v>129</v>
      </c>
      <c r="Z194">
        <v>4</v>
      </c>
    </row>
    <row r="195" spans="1:26" x14ac:dyDescent="0.45">
      <c r="A195">
        <v>2202</v>
      </c>
      <c r="B195">
        <v>1095</v>
      </c>
      <c r="C195" t="s">
        <v>317</v>
      </c>
      <c r="D195" t="s">
        <v>42</v>
      </c>
      <c r="E195">
        <v>67</v>
      </c>
      <c r="F195">
        <v>743</v>
      </c>
      <c r="G195" t="s">
        <v>318</v>
      </c>
      <c r="H195" t="s">
        <v>172</v>
      </c>
      <c r="I195" t="s">
        <v>177</v>
      </c>
      <c r="J195" t="s">
        <v>178</v>
      </c>
      <c r="K195" t="s">
        <v>27</v>
      </c>
      <c r="L195" t="s">
        <v>96</v>
      </c>
      <c r="M195" t="s">
        <v>136</v>
      </c>
      <c r="N195" t="s">
        <v>30</v>
      </c>
      <c r="O195" t="s">
        <v>137</v>
      </c>
      <c r="P195">
        <v>2</v>
      </c>
      <c r="Q195" t="b">
        <v>0</v>
      </c>
      <c r="R195" s="1">
        <v>44645.376388888886</v>
      </c>
      <c r="V195" s="2">
        <v>44645.376388888886</v>
      </c>
      <c r="W195">
        <v>3</v>
      </c>
      <c r="X195">
        <v>2022</v>
      </c>
      <c r="Y195" t="s">
        <v>172</v>
      </c>
      <c r="Z195">
        <v>2</v>
      </c>
    </row>
    <row r="196" spans="1:26" x14ac:dyDescent="0.45">
      <c r="A196">
        <v>2203</v>
      </c>
      <c r="B196">
        <v>1036</v>
      </c>
      <c r="C196" t="s">
        <v>319</v>
      </c>
      <c r="D196" t="s">
        <v>22</v>
      </c>
      <c r="E196">
        <v>45</v>
      </c>
      <c r="F196">
        <v>703</v>
      </c>
      <c r="G196" t="s">
        <v>320</v>
      </c>
      <c r="H196" t="s">
        <v>85</v>
      </c>
      <c r="I196" t="s">
        <v>86</v>
      </c>
      <c r="J196" t="s">
        <v>182</v>
      </c>
      <c r="K196" t="s">
        <v>66</v>
      </c>
      <c r="L196" t="s">
        <v>67</v>
      </c>
      <c r="M196" t="s">
        <v>108</v>
      </c>
      <c r="N196" t="s">
        <v>99</v>
      </c>
      <c r="O196" t="s">
        <v>30</v>
      </c>
      <c r="P196">
        <v>1</v>
      </c>
      <c r="Q196" t="b">
        <v>1</v>
      </c>
      <c r="R196" s="1">
        <v>44963.063194444447</v>
      </c>
      <c r="S196" s="1">
        <v>44969.449305555558</v>
      </c>
      <c r="T196" t="s">
        <v>32</v>
      </c>
      <c r="U196" t="b">
        <v>0</v>
      </c>
      <c r="V196" s="2">
        <v>44963.063194444447</v>
      </c>
      <c r="W196">
        <v>2</v>
      </c>
      <c r="X196">
        <v>2023</v>
      </c>
      <c r="Y196" t="s">
        <v>85</v>
      </c>
      <c r="Z196">
        <v>1</v>
      </c>
    </row>
    <row r="197" spans="1:26" x14ac:dyDescent="0.45">
      <c r="A197">
        <v>2204</v>
      </c>
      <c r="B197">
        <v>1425</v>
      </c>
      <c r="C197" t="s">
        <v>321</v>
      </c>
      <c r="D197" t="s">
        <v>42</v>
      </c>
      <c r="E197">
        <v>23</v>
      </c>
      <c r="F197">
        <v>655</v>
      </c>
      <c r="G197" t="s">
        <v>322</v>
      </c>
      <c r="H197" t="s">
        <v>24</v>
      </c>
      <c r="I197" t="s">
        <v>25</v>
      </c>
      <c r="J197" t="s">
        <v>222</v>
      </c>
      <c r="K197" t="s">
        <v>27</v>
      </c>
      <c r="L197" t="s">
        <v>96</v>
      </c>
      <c r="M197" t="s">
        <v>136</v>
      </c>
      <c r="N197" t="s">
        <v>30</v>
      </c>
      <c r="O197" t="s">
        <v>137</v>
      </c>
      <c r="P197">
        <v>3</v>
      </c>
      <c r="Q197" t="b">
        <v>1</v>
      </c>
      <c r="R197" s="1">
        <v>44998.20208333333</v>
      </c>
      <c r="S197" s="1">
        <v>45003.172222222223</v>
      </c>
      <c r="T197" t="s">
        <v>60</v>
      </c>
      <c r="U197" t="b">
        <v>0</v>
      </c>
      <c r="V197" s="2">
        <v>44998.20208333333</v>
      </c>
      <c r="W197">
        <v>3</v>
      </c>
      <c r="X197">
        <v>2023</v>
      </c>
      <c r="Y197" t="s">
        <v>24</v>
      </c>
      <c r="Z197">
        <v>3</v>
      </c>
    </row>
    <row r="198" spans="1:26" x14ac:dyDescent="0.45">
      <c r="A198">
        <v>2205</v>
      </c>
      <c r="B198">
        <v>1156</v>
      </c>
      <c r="C198" t="s">
        <v>323</v>
      </c>
      <c r="D198" t="s">
        <v>22</v>
      </c>
      <c r="E198">
        <v>51</v>
      </c>
      <c r="F198">
        <v>714</v>
      </c>
      <c r="G198" t="s">
        <v>274</v>
      </c>
      <c r="H198" t="s">
        <v>73</v>
      </c>
      <c r="I198" t="s">
        <v>140</v>
      </c>
      <c r="J198" t="s">
        <v>213</v>
      </c>
      <c r="K198" t="s">
        <v>37</v>
      </c>
      <c r="L198" t="s">
        <v>56</v>
      </c>
      <c r="M198" t="s">
        <v>88</v>
      </c>
      <c r="N198" t="s">
        <v>89</v>
      </c>
      <c r="O198" t="s">
        <v>90</v>
      </c>
      <c r="P198">
        <v>1</v>
      </c>
      <c r="Q198" t="b">
        <v>0</v>
      </c>
      <c r="R198" s="1">
        <v>44079.181944444441</v>
      </c>
      <c r="V198" s="2">
        <v>44079.181944444441</v>
      </c>
      <c r="W198">
        <v>9</v>
      </c>
      <c r="X198">
        <v>2020</v>
      </c>
      <c r="Y198" t="s">
        <v>73</v>
      </c>
      <c r="Z198">
        <v>1</v>
      </c>
    </row>
    <row r="199" spans="1:26" x14ac:dyDescent="0.45">
      <c r="A199">
        <v>2206</v>
      </c>
      <c r="B199">
        <v>1261</v>
      </c>
      <c r="C199" t="s">
        <v>324</v>
      </c>
      <c r="D199" t="s">
        <v>22</v>
      </c>
      <c r="E199">
        <v>20</v>
      </c>
      <c r="F199">
        <v>645</v>
      </c>
      <c r="G199" t="s">
        <v>325</v>
      </c>
      <c r="H199" t="s">
        <v>85</v>
      </c>
      <c r="I199" t="s">
        <v>116</v>
      </c>
      <c r="J199" t="s">
        <v>154</v>
      </c>
      <c r="K199" t="s">
        <v>66</v>
      </c>
      <c r="L199" t="s">
        <v>96</v>
      </c>
      <c r="M199" t="s">
        <v>118</v>
      </c>
      <c r="N199" t="s">
        <v>90</v>
      </c>
      <c r="O199" t="s">
        <v>119</v>
      </c>
      <c r="P199">
        <v>2</v>
      </c>
      <c r="Q199" t="b">
        <v>1</v>
      </c>
      <c r="R199" s="1">
        <v>44335.631944444445</v>
      </c>
      <c r="S199" s="1">
        <v>44335.834722222222</v>
      </c>
      <c r="T199" t="s">
        <v>40</v>
      </c>
      <c r="U199" t="b">
        <v>0</v>
      </c>
      <c r="V199" s="2">
        <v>44335.631944444445</v>
      </c>
      <c r="W199">
        <v>5</v>
      </c>
      <c r="X199">
        <v>2021</v>
      </c>
      <c r="Y199" t="s">
        <v>85</v>
      </c>
      <c r="Z199">
        <v>2</v>
      </c>
    </row>
    <row r="200" spans="1:26" x14ac:dyDescent="0.45">
      <c r="A200">
        <v>2207</v>
      </c>
      <c r="B200">
        <v>1312</v>
      </c>
      <c r="C200" t="s">
        <v>326</v>
      </c>
      <c r="D200" t="s">
        <v>42</v>
      </c>
      <c r="E200">
        <v>62</v>
      </c>
      <c r="F200">
        <v>746</v>
      </c>
      <c r="G200" t="s">
        <v>327</v>
      </c>
      <c r="H200" t="s">
        <v>93</v>
      </c>
      <c r="I200" t="s">
        <v>112</v>
      </c>
      <c r="J200" t="s">
        <v>113</v>
      </c>
      <c r="K200" t="s">
        <v>102</v>
      </c>
      <c r="L200" t="s">
        <v>96</v>
      </c>
      <c r="M200" t="s">
        <v>136</v>
      </c>
      <c r="N200" t="s">
        <v>30</v>
      </c>
      <c r="O200" t="s">
        <v>137</v>
      </c>
      <c r="P200">
        <v>1</v>
      </c>
      <c r="Q200" t="b">
        <v>1</v>
      </c>
      <c r="R200" s="1">
        <v>44519.638888888891</v>
      </c>
      <c r="S200" s="1">
        <v>44521.907638888886</v>
      </c>
      <c r="T200" t="s">
        <v>40</v>
      </c>
      <c r="U200" t="b">
        <v>0</v>
      </c>
      <c r="V200" s="2">
        <v>44519.638888888891</v>
      </c>
      <c r="W200">
        <v>11</v>
      </c>
      <c r="X200">
        <v>2021</v>
      </c>
      <c r="Y200" t="s">
        <v>93</v>
      </c>
      <c r="Z200">
        <v>1</v>
      </c>
    </row>
    <row r="201" spans="1:26" x14ac:dyDescent="0.45">
      <c r="A201">
        <v>2208</v>
      </c>
      <c r="B201">
        <v>1044</v>
      </c>
      <c r="C201" t="s">
        <v>328</v>
      </c>
      <c r="D201" t="s">
        <v>22</v>
      </c>
      <c r="E201">
        <v>28</v>
      </c>
      <c r="F201">
        <v>684</v>
      </c>
      <c r="G201" t="s">
        <v>329</v>
      </c>
      <c r="H201" t="s">
        <v>85</v>
      </c>
      <c r="I201" t="s">
        <v>116</v>
      </c>
      <c r="J201" t="s">
        <v>330</v>
      </c>
      <c r="K201" t="s">
        <v>102</v>
      </c>
      <c r="L201" t="s">
        <v>76</v>
      </c>
      <c r="M201" t="s">
        <v>126</v>
      </c>
      <c r="N201" t="s">
        <v>98</v>
      </c>
      <c r="O201" t="s">
        <v>99</v>
      </c>
      <c r="P201">
        <v>1</v>
      </c>
      <c r="Q201" t="b">
        <v>1</v>
      </c>
      <c r="R201" s="1">
        <v>44783.757638888892</v>
      </c>
      <c r="S201" s="1">
        <v>44789.649305555555</v>
      </c>
      <c r="T201" t="s">
        <v>60</v>
      </c>
      <c r="U201" t="b">
        <v>0</v>
      </c>
      <c r="V201" s="2">
        <v>44783.757638888892</v>
      </c>
      <c r="W201">
        <v>8</v>
      </c>
      <c r="X201">
        <v>2022</v>
      </c>
      <c r="Y201" t="s">
        <v>85</v>
      </c>
      <c r="Z201">
        <v>1</v>
      </c>
    </row>
    <row r="202" spans="1:26" x14ac:dyDescent="0.45">
      <c r="A202">
        <v>2209</v>
      </c>
      <c r="B202">
        <v>1324</v>
      </c>
      <c r="C202" t="s">
        <v>21</v>
      </c>
      <c r="D202" t="s">
        <v>22</v>
      </c>
      <c r="E202">
        <v>29</v>
      </c>
      <c r="F202">
        <v>698</v>
      </c>
      <c r="G202" t="s">
        <v>23</v>
      </c>
      <c r="H202" t="s">
        <v>24</v>
      </c>
      <c r="I202" t="s">
        <v>25</v>
      </c>
      <c r="J202" t="s">
        <v>26</v>
      </c>
      <c r="K202" t="s">
        <v>37</v>
      </c>
      <c r="L202" t="s">
        <v>96</v>
      </c>
      <c r="M202" t="s">
        <v>136</v>
      </c>
      <c r="N202" t="s">
        <v>30</v>
      </c>
      <c r="O202" t="s">
        <v>137</v>
      </c>
      <c r="P202">
        <v>1</v>
      </c>
      <c r="Q202" t="b">
        <v>0</v>
      </c>
      <c r="R202" s="1">
        <v>44447.362500000003</v>
      </c>
      <c r="V202" s="2">
        <v>44447.362500000003</v>
      </c>
      <c r="W202">
        <v>9</v>
      </c>
      <c r="X202">
        <v>2021</v>
      </c>
      <c r="Y202" t="s">
        <v>24</v>
      </c>
      <c r="Z202">
        <v>1</v>
      </c>
    </row>
    <row r="203" spans="1:26" x14ac:dyDescent="0.45">
      <c r="A203">
        <v>2210</v>
      </c>
      <c r="B203">
        <v>1363</v>
      </c>
      <c r="C203" t="s">
        <v>33</v>
      </c>
      <c r="D203" t="s">
        <v>22</v>
      </c>
      <c r="E203">
        <v>62</v>
      </c>
      <c r="F203">
        <v>760</v>
      </c>
      <c r="G203" t="s">
        <v>34</v>
      </c>
      <c r="H203" t="s">
        <v>35</v>
      </c>
      <c r="I203" t="s">
        <v>36</v>
      </c>
      <c r="J203" t="s">
        <v>36</v>
      </c>
      <c r="K203" t="s">
        <v>27</v>
      </c>
      <c r="L203" t="s">
        <v>76</v>
      </c>
      <c r="M203" t="s">
        <v>126</v>
      </c>
      <c r="N203" t="s">
        <v>98</v>
      </c>
      <c r="O203" t="s">
        <v>99</v>
      </c>
      <c r="P203">
        <v>1</v>
      </c>
      <c r="Q203" t="b">
        <v>0</v>
      </c>
      <c r="R203" s="1">
        <v>45219.693055555559</v>
      </c>
      <c r="V203" s="2">
        <v>45219.693055555559</v>
      </c>
      <c r="W203">
        <v>10</v>
      </c>
      <c r="X203">
        <v>2023</v>
      </c>
      <c r="Y203" t="s">
        <v>35</v>
      </c>
      <c r="Z203">
        <v>1</v>
      </c>
    </row>
    <row r="204" spans="1:26" x14ac:dyDescent="0.45">
      <c r="A204">
        <v>2211</v>
      </c>
      <c r="B204">
        <v>1387</v>
      </c>
      <c r="C204" t="s">
        <v>41</v>
      </c>
      <c r="D204" t="s">
        <v>42</v>
      </c>
      <c r="E204">
        <v>50</v>
      </c>
      <c r="F204">
        <v>706</v>
      </c>
      <c r="G204" t="s">
        <v>43</v>
      </c>
      <c r="H204" t="s">
        <v>24</v>
      </c>
      <c r="I204" t="s">
        <v>44</v>
      </c>
      <c r="J204" t="s">
        <v>45</v>
      </c>
      <c r="K204" t="s">
        <v>27</v>
      </c>
      <c r="L204" t="s">
        <v>67</v>
      </c>
      <c r="M204" t="s">
        <v>165</v>
      </c>
      <c r="N204" t="s">
        <v>166</v>
      </c>
      <c r="O204" t="s">
        <v>167</v>
      </c>
      <c r="P204">
        <v>1</v>
      </c>
      <c r="Q204" t="b">
        <v>1</v>
      </c>
      <c r="R204" s="1">
        <v>44911.338194444441</v>
      </c>
      <c r="S204" s="1">
        <v>44915.922222222223</v>
      </c>
      <c r="T204" t="s">
        <v>109</v>
      </c>
      <c r="U204" t="b">
        <v>0</v>
      </c>
      <c r="V204" s="2">
        <v>44911.338194444441</v>
      </c>
      <c r="W204">
        <v>12</v>
      </c>
      <c r="X204">
        <v>2022</v>
      </c>
      <c r="Y204" t="s">
        <v>24</v>
      </c>
      <c r="Z204">
        <v>1</v>
      </c>
    </row>
    <row r="205" spans="1:26" x14ac:dyDescent="0.45">
      <c r="A205">
        <v>2212</v>
      </c>
      <c r="B205">
        <v>1310</v>
      </c>
      <c r="C205" t="s">
        <v>50</v>
      </c>
      <c r="D205" t="s">
        <v>42</v>
      </c>
      <c r="E205">
        <v>57</v>
      </c>
      <c r="F205">
        <v>709</v>
      </c>
      <c r="G205" t="s">
        <v>51</v>
      </c>
      <c r="H205" t="s">
        <v>52</v>
      </c>
      <c r="I205" t="s">
        <v>53</v>
      </c>
      <c r="J205" t="s">
        <v>54</v>
      </c>
      <c r="K205" t="s">
        <v>66</v>
      </c>
      <c r="L205" t="s">
        <v>28</v>
      </c>
      <c r="M205" t="s">
        <v>142</v>
      </c>
      <c r="N205" t="s">
        <v>143</v>
      </c>
      <c r="O205" t="s">
        <v>144</v>
      </c>
      <c r="P205">
        <v>2</v>
      </c>
      <c r="Q205" t="b">
        <v>1</v>
      </c>
      <c r="R205" s="1">
        <v>44341.318749999999</v>
      </c>
      <c r="S205" s="1">
        <v>44345.84097222222</v>
      </c>
      <c r="T205" t="s">
        <v>32</v>
      </c>
      <c r="U205" t="b">
        <v>0</v>
      </c>
      <c r="V205" s="2">
        <v>44341.318749999999</v>
      </c>
      <c r="W205">
        <v>5</v>
      </c>
      <c r="X205">
        <v>2021</v>
      </c>
      <c r="Y205" t="s">
        <v>52</v>
      </c>
      <c r="Z205">
        <v>2</v>
      </c>
    </row>
    <row r="206" spans="1:26" x14ac:dyDescent="0.45">
      <c r="A206">
        <v>2214</v>
      </c>
      <c r="B206">
        <v>1278</v>
      </c>
      <c r="C206" t="s">
        <v>61</v>
      </c>
      <c r="D206" t="s">
        <v>42</v>
      </c>
      <c r="E206">
        <v>18</v>
      </c>
      <c r="F206">
        <v>607</v>
      </c>
      <c r="G206" t="s">
        <v>62</v>
      </c>
      <c r="H206" t="s">
        <v>63</v>
      </c>
      <c r="I206" t="s">
        <v>64</v>
      </c>
      <c r="J206" t="s">
        <v>65</v>
      </c>
      <c r="K206" t="s">
        <v>102</v>
      </c>
      <c r="L206" t="s">
        <v>96</v>
      </c>
      <c r="M206" t="s">
        <v>136</v>
      </c>
      <c r="N206" t="s">
        <v>30</v>
      </c>
      <c r="O206" t="s">
        <v>137</v>
      </c>
      <c r="P206">
        <v>2</v>
      </c>
      <c r="Q206" t="b">
        <v>0</v>
      </c>
      <c r="R206" s="1">
        <v>43898.629166666666</v>
      </c>
      <c r="V206" s="2">
        <v>43898.629166666666</v>
      </c>
      <c r="W206">
        <v>3</v>
      </c>
      <c r="X206">
        <v>2020</v>
      </c>
      <c r="Y206" t="s">
        <v>63</v>
      </c>
      <c r="Z206">
        <v>2</v>
      </c>
    </row>
    <row r="207" spans="1:26" x14ac:dyDescent="0.45">
      <c r="A207">
        <v>2215</v>
      </c>
      <c r="B207">
        <v>1098</v>
      </c>
      <c r="C207" t="s">
        <v>71</v>
      </c>
      <c r="D207" t="s">
        <v>22</v>
      </c>
      <c r="E207">
        <v>22</v>
      </c>
      <c r="F207">
        <v>628</v>
      </c>
      <c r="G207" t="s">
        <v>72</v>
      </c>
      <c r="H207" t="s">
        <v>73</v>
      </c>
      <c r="I207" t="s">
        <v>74</v>
      </c>
      <c r="J207" t="s">
        <v>75</v>
      </c>
      <c r="K207" t="s">
        <v>37</v>
      </c>
      <c r="L207" t="s">
        <v>76</v>
      </c>
      <c r="M207" t="s">
        <v>132</v>
      </c>
      <c r="N207" t="s">
        <v>59</v>
      </c>
      <c r="O207" t="s">
        <v>98</v>
      </c>
      <c r="P207">
        <v>2</v>
      </c>
      <c r="Q207" t="b">
        <v>1</v>
      </c>
      <c r="R207" s="1">
        <v>44740.536805555559</v>
      </c>
      <c r="S207" s="1">
        <v>44742.293749999997</v>
      </c>
      <c r="T207" t="s">
        <v>40</v>
      </c>
      <c r="U207" t="b">
        <v>0</v>
      </c>
      <c r="V207" s="2">
        <v>44740.536805555559</v>
      </c>
      <c r="W207">
        <v>6</v>
      </c>
      <c r="X207">
        <v>2022</v>
      </c>
      <c r="Y207" t="s">
        <v>73</v>
      </c>
      <c r="Z207">
        <v>2</v>
      </c>
    </row>
    <row r="208" spans="1:26" x14ac:dyDescent="0.45">
      <c r="A208">
        <v>2217</v>
      </c>
      <c r="B208">
        <v>1237</v>
      </c>
      <c r="C208" t="s">
        <v>80</v>
      </c>
      <c r="D208" t="s">
        <v>42</v>
      </c>
      <c r="E208">
        <v>18</v>
      </c>
      <c r="F208">
        <v>637</v>
      </c>
      <c r="G208" t="s">
        <v>81</v>
      </c>
      <c r="H208" t="s">
        <v>35</v>
      </c>
      <c r="I208" t="s">
        <v>36</v>
      </c>
      <c r="J208" t="s">
        <v>82</v>
      </c>
      <c r="K208" t="s">
        <v>55</v>
      </c>
      <c r="L208" t="s">
        <v>76</v>
      </c>
      <c r="M208" t="s">
        <v>160</v>
      </c>
      <c r="N208" t="s">
        <v>79</v>
      </c>
      <c r="O208" t="s">
        <v>161</v>
      </c>
      <c r="P208">
        <v>3</v>
      </c>
      <c r="Q208" t="b">
        <v>1</v>
      </c>
      <c r="R208" s="1">
        <v>45078.411805555559</v>
      </c>
      <c r="S208" s="1">
        <v>45085.378472222219</v>
      </c>
      <c r="T208" t="s">
        <v>32</v>
      </c>
      <c r="U208" t="b">
        <v>0</v>
      </c>
      <c r="V208" s="2">
        <v>45078.411805555559</v>
      </c>
      <c r="W208">
        <v>6</v>
      </c>
      <c r="X208">
        <v>2023</v>
      </c>
      <c r="Y208" t="s">
        <v>35</v>
      </c>
      <c r="Z208">
        <v>3</v>
      </c>
    </row>
    <row r="209" spans="1:26" x14ac:dyDescent="0.45">
      <c r="A209">
        <v>2218</v>
      </c>
      <c r="B209">
        <v>1000</v>
      </c>
      <c r="C209" t="s">
        <v>83</v>
      </c>
      <c r="D209" t="s">
        <v>22</v>
      </c>
      <c r="E209">
        <v>74</v>
      </c>
      <c r="F209">
        <v>747</v>
      </c>
      <c r="G209" t="s">
        <v>84</v>
      </c>
      <c r="H209" t="s">
        <v>85</v>
      </c>
      <c r="I209" t="s">
        <v>86</v>
      </c>
      <c r="J209" t="s">
        <v>87</v>
      </c>
      <c r="K209" t="s">
        <v>37</v>
      </c>
      <c r="L209" t="s">
        <v>28</v>
      </c>
      <c r="M209" t="s">
        <v>47</v>
      </c>
      <c r="N209" t="s">
        <v>48</v>
      </c>
      <c r="O209" t="s">
        <v>49</v>
      </c>
      <c r="P209">
        <v>1</v>
      </c>
      <c r="Q209" t="b">
        <v>1</v>
      </c>
      <c r="R209" s="1">
        <v>44630.460416666669</v>
      </c>
      <c r="S209" s="1">
        <v>44633.804166666669</v>
      </c>
      <c r="T209" t="s">
        <v>109</v>
      </c>
      <c r="U209" t="b">
        <v>0</v>
      </c>
      <c r="V209" s="2">
        <v>44630.460416666669</v>
      </c>
      <c r="W209">
        <v>3</v>
      </c>
      <c r="X209">
        <v>2022</v>
      </c>
      <c r="Y209" t="s">
        <v>85</v>
      </c>
      <c r="Z209">
        <v>1</v>
      </c>
    </row>
    <row r="210" spans="1:26" x14ac:dyDescent="0.45">
      <c r="A210">
        <v>2219</v>
      </c>
      <c r="B210">
        <v>1300</v>
      </c>
      <c r="C210" t="s">
        <v>91</v>
      </c>
      <c r="D210" t="s">
        <v>22</v>
      </c>
      <c r="E210">
        <v>41</v>
      </c>
      <c r="F210">
        <v>682</v>
      </c>
      <c r="G210" t="s">
        <v>92</v>
      </c>
      <c r="H210" t="s">
        <v>93</v>
      </c>
      <c r="I210" t="s">
        <v>94</v>
      </c>
      <c r="J210" t="s">
        <v>95</v>
      </c>
      <c r="K210" t="s">
        <v>66</v>
      </c>
      <c r="L210" t="s">
        <v>56</v>
      </c>
      <c r="M210" t="s">
        <v>197</v>
      </c>
      <c r="N210" t="s">
        <v>198</v>
      </c>
      <c r="O210" t="s">
        <v>199</v>
      </c>
      <c r="P210">
        <v>1</v>
      </c>
      <c r="Q210" t="b">
        <v>1</v>
      </c>
      <c r="R210" s="1">
        <v>45187.085416666669</v>
      </c>
      <c r="S210" s="1">
        <v>45193.275694444441</v>
      </c>
      <c r="T210" t="s">
        <v>109</v>
      </c>
      <c r="U210" t="b">
        <v>0</v>
      </c>
      <c r="V210" s="2">
        <v>45187.085416666669</v>
      </c>
      <c r="W210">
        <v>9</v>
      </c>
      <c r="X210">
        <v>2023</v>
      </c>
      <c r="Y210" t="s">
        <v>93</v>
      </c>
      <c r="Z210">
        <v>1</v>
      </c>
    </row>
    <row r="211" spans="1:26" x14ac:dyDescent="0.45">
      <c r="A211">
        <v>2220</v>
      </c>
      <c r="B211">
        <v>1110</v>
      </c>
      <c r="C211" t="s">
        <v>100</v>
      </c>
      <c r="D211" t="s">
        <v>42</v>
      </c>
      <c r="E211">
        <v>19</v>
      </c>
      <c r="F211">
        <v>672</v>
      </c>
      <c r="G211" t="s">
        <v>101</v>
      </c>
      <c r="H211" t="s">
        <v>35</v>
      </c>
      <c r="I211" t="s">
        <v>36</v>
      </c>
      <c r="J211" t="s">
        <v>36</v>
      </c>
      <c r="K211" t="s">
        <v>46</v>
      </c>
      <c r="L211" t="s">
        <v>67</v>
      </c>
      <c r="M211" t="s">
        <v>165</v>
      </c>
      <c r="N211" t="s">
        <v>166</v>
      </c>
      <c r="O211" t="s">
        <v>167</v>
      </c>
      <c r="P211">
        <v>2</v>
      </c>
      <c r="Q211" t="b">
        <v>1</v>
      </c>
      <c r="R211" s="1">
        <v>44254.518055555556</v>
      </c>
      <c r="S211" s="1">
        <v>44257.67291666667</v>
      </c>
      <c r="T211" t="s">
        <v>40</v>
      </c>
      <c r="U211" t="b">
        <v>0</v>
      </c>
      <c r="V211" s="2">
        <v>44254.518055555556</v>
      </c>
      <c r="W211">
        <v>2</v>
      </c>
      <c r="X211">
        <v>2021</v>
      </c>
      <c r="Y211" t="s">
        <v>35</v>
      </c>
      <c r="Z211">
        <v>2</v>
      </c>
    </row>
    <row r="212" spans="1:26" x14ac:dyDescent="0.45">
      <c r="A212">
        <v>2221</v>
      </c>
      <c r="B212">
        <v>1331</v>
      </c>
      <c r="C212" t="s">
        <v>105</v>
      </c>
      <c r="D212" t="s">
        <v>22</v>
      </c>
      <c r="E212">
        <v>18</v>
      </c>
      <c r="F212">
        <v>623</v>
      </c>
      <c r="G212" t="s">
        <v>106</v>
      </c>
      <c r="H212" t="s">
        <v>93</v>
      </c>
      <c r="I212" t="s">
        <v>94</v>
      </c>
      <c r="J212" t="s">
        <v>107</v>
      </c>
      <c r="K212" t="s">
        <v>27</v>
      </c>
      <c r="L212" t="s">
        <v>96</v>
      </c>
      <c r="M212" t="s">
        <v>136</v>
      </c>
      <c r="N212" t="s">
        <v>30</v>
      </c>
      <c r="O212" t="s">
        <v>137</v>
      </c>
      <c r="P212">
        <v>5</v>
      </c>
      <c r="Q212" t="b">
        <v>0</v>
      </c>
      <c r="R212" s="1">
        <v>44713.37777777778</v>
      </c>
      <c r="V212" s="2">
        <v>44713.37777777778</v>
      </c>
      <c r="W212">
        <v>6</v>
      </c>
      <c r="X212">
        <v>2022</v>
      </c>
      <c r="Y212" t="s">
        <v>93</v>
      </c>
      <c r="Z212">
        <v>5</v>
      </c>
    </row>
    <row r="213" spans="1:26" x14ac:dyDescent="0.45">
      <c r="A213">
        <v>2222</v>
      </c>
      <c r="B213">
        <v>1146</v>
      </c>
      <c r="C213" t="s">
        <v>110</v>
      </c>
      <c r="D213" t="s">
        <v>22</v>
      </c>
      <c r="E213">
        <v>71</v>
      </c>
      <c r="F213">
        <v>749</v>
      </c>
      <c r="G213" t="s">
        <v>111</v>
      </c>
      <c r="H213" t="s">
        <v>93</v>
      </c>
      <c r="I213" t="s">
        <v>112</v>
      </c>
      <c r="J213" t="s">
        <v>113</v>
      </c>
      <c r="K213" t="s">
        <v>55</v>
      </c>
      <c r="L213" t="s">
        <v>28</v>
      </c>
      <c r="M213" t="s">
        <v>38</v>
      </c>
      <c r="N213" t="s">
        <v>31</v>
      </c>
      <c r="O213" t="s">
        <v>39</v>
      </c>
      <c r="P213">
        <v>1</v>
      </c>
      <c r="Q213" t="b">
        <v>1</v>
      </c>
      <c r="R213" s="1">
        <v>43918.712500000001</v>
      </c>
      <c r="S213" s="1">
        <v>43924.788194444445</v>
      </c>
      <c r="T213" t="s">
        <v>32</v>
      </c>
      <c r="U213" t="b">
        <v>0</v>
      </c>
      <c r="V213" s="2">
        <v>43918.712500000001</v>
      </c>
      <c r="W213">
        <v>3</v>
      </c>
      <c r="X213">
        <v>2020</v>
      </c>
      <c r="Y213" t="s">
        <v>93</v>
      </c>
      <c r="Z213">
        <v>1</v>
      </c>
    </row>
    <row r="214" spans="1:26" x14ac:dyDescent="0.45">
      <c r="A214">
        <v>2223</v>
      </c>
      <c r="B214">
        <v>1070</v>
      </c>
      <c r="C214" t="s">
        <v>114</v>
      </c>
      <c r="D214" t="s">
        <v>22</v>
      </c>
      <c r="E214">
        <v>21</v>
      </c>
      <c r="F214">
        <v>609</v>
      </c>
      <c r="G214" t="s">
        <v>115</v>
      </c>
      <c r="H214" t="s">
        <v>85</v>
      </c>
      <c r="I214" t="s">
        <v>116</v>
      </c>
      <c r="J214" t="s">
        <v>117</v>
      </c>
      <c r="K214" t="s">
        <v>37</v>
      </c>
      <c r="L214" t="s">
        <v>28</v>
      </c>
      <c r="M214" t="s">
        <v>38</v>
      </c>
      <c r="N214" t="s">
        <v>31</v>
      </c>
      <c r="O214" t="s">
        <v>39</v>
      </c>
      <c r="P214">
        <v>1</v>
      </c>
      <c r="Q214" t="b">
        <v>1</v>
      </c>
      <c r="R214" s="1">
        <v>44166.655555555553</v>
      </c>
      <c r="S214" s="1">
        <v>44167.822222222225</v>
      </c>
      <c r="T214" t="s">
        <v>109</v>
      </c>
      <c r="U214" t="b">
        <v>0</v>
      </c>
      <c r="V214" s="2">
        <v>44166.655555555553</v>
      </c>
      <c r="W214">
        <v>12</v>
      </c>
      <c r="X214">
        <v>2020</v>
      </c>
      <c r="Y214" t="s">
        <v>85</v>
      </c>
      <c r="Z214">
        <v>1</v>
      </c>
    </row>
    <row r="215" spans="1:26" x14ac:dyDescent="0.45">
      <c r="A215">
        <v>2224</v>
      </c>
      <c r="B215">
        <v>1216</v>
      </c>
      <c r="C215" t="s">
        <v>120</v>
      </c>
      <c r="D215" t="s">
        <v>22</v>
      </c>
      <c r="E215">
        <v>68</v>
      </c>
      <c r="F215">
        <v>747</v>
      </c>
      <c r="G215" t="s">
        <v>121</v>
      </c>
      <c r="H215" t="s">
        <v>35</v>
      </c>
      <c r="I215" t="s">
        <v>122</v>
      </c>
      <c r="J215" t="s">
        <v>123</v>
      </c>
      <c r="K215" t="s">
        <v>55</v>
      </c>
      <c r="L215" t="s">
        <v>76</v>
      </c>
      <c r="M215" t="s">
        <v>77</v>
      </c>
      <c r="N215" t="s">
        <v>78</v>
      </c>
      <c r="O215" t="s">
        <v>79</v>
      </c>
      <c r="P215">
        <v>2</v>
      </c>
      <c r="Q215" t="b">
        <v>1</v>
      </c>
      <c r="R215" s="1">
        <v>45075.136805555558</v>
      </c>
      <c r="S215" s="1">
        <v>45077.531944444447</v>
      </c>
      <c r="T215" t="s">
        <v>40</v>
      </c>
      <c r="U215" t="b">
        <v>1</v>
      </c>
      <c r="V215" s="2">
        <v>45075.136805555558</v>
      </c>
      <c r="W215">
        <v>5</v>
      </c>
      <c r="X215">
        <v>2023</v>
      </c>
      <c r="Y215" t="s">
        <v>35</v>
      </c>
      <c r="Z215">
        <v>2</v>
      </c>
    </row>
    <row r="216" spans="1:26" x14ac:dyDescent="0.45">
      <c r="A216">
        <v>2225</v>
      </c>
      <c r="B216">
        <v>1152</v>
      </c>
      <c r="C216" t="s">
        <v>124</v>
      </c>
      <c r="D216" t="s">
        <v>22</v>
      </c>
      <c r="E216">
        <v>38</v>
      </c>
      <c r="F216">
        <v>698</v>
      </c>
      <c r="G216" t="s">
        <v>125</v>
      </c>
      <c r="H216" t="s">
        <v>85</v>
      </c>
      <c r="I216" t="s">
        <v>86</v>
      </c>
      <c r="J216" t="s">
        <v>87</v>
      </c>
      <c r="K216" t="s">
        <v>46</v>
      </c>
      <c r="L216" t="s">
        <v>56</v>
      </c>
      <c r="M216" t="s">
        <v>57</v>
      </c>
      <c r="N216" t="s">
        <v>58</v>
      </c>
      <c r="O216" t="s">
        <v>59</v>
      </c>
      <c r="P216">
        <v>4</v>
      </c>
      <c r="Q216" t="b">
        <v>1</v>
      </c>
      <c r="R216" s="1">
        <v>44602.15625</v>
      </c>
      <c r="S216" s="1">
        <v>44605.664583333331</v>
      </c>
      <c r="T216" t="s">
        <v>32</v>
      </c>
      <c r="U216" t="b">
        <v>1</v>
      </c>
      <c r="V216" s="2">
        <v>44602.15625</v>
      </c>
      <c r="W216">
        <v>2</v>
      </c>
      <c r="X216">
        <v>2022</v>
      </c>
      <c r="Y216" t="s">
        <v>85</v>
      </c>
      <c r="Z216">
        <v>4</v>
      </c>
    </row>
    <row r="217" spans="1:26" x14ac:dyDescent="0.45">
      <c r="A217">
        <v>2226</v>
      </c>
      <c r="B217">
        <v>1045</v>
      </c>
      <c r="C217" t="s">
        <v>127</v>
      </c>
      <c r="D217" t="s">
        <v>42</v>
      </c>
      <c r="E217">
        <v>26</v>
      </c>
      <c r="F217">
        <v>616</v>
      </c>
      <c r="G217" t="s">
        <v>128</v>
      </c>
      <c r="H217" t="s">
        <v>129</v>
      </c>
      <c r="I217" t="s">
        <v>130</v>
      </c>
      <c r="J217" t="s">
        <v>131</v>
      </c>
      <c r="K217" t="s">
        <v>66</v>
      </c>
      <c r="L217" t="s">
        <v>96</v>
      </c>
      <c r="M217" t="s">
        <v>97</v>
      </c>
      <c r="N217" t="s">
        <v>98</v>
      </c>
      <c r="O217" t="s">
        <v>99</v>
      </c>
      <c r="P217">
        <v>1</v>
      </c>
      <c r="Q217" t="b">
        <v>1</v>
      </c>
      <c r="R217" s="1">
        <v>44243.370138888888</v>
      </c>
      <c r="S217" s="1">
        <v>44243.523611111108</v>
      </c>
      <c r="T217" t="s">
        <v>40</v>
      </c>
      <c r="U217" t="b">
        <v>0</v>
      </c>
      <c r="V217" s="2">
        <v>44243.370138888888</v>
      </c>
      <c r="W217">
        <v>2</v>
      </c>
      <c r="X217">
        <v>2021</v>
      </c>
      <c r="Y217" t="s">
        <v>129</v>
      </c>
      <c r="Z217">
        <v>1</v>
      </c>
    </row>
    <row r="218" spans="1:26" x14ac:dyDescent="0.45">
      <c r="A218">
        <v>2227</v>
      </c>
      <c r="B218">
        <v>1454</v>
      </c>
      <c r="C218" t="s">
        <v>133</v>
      </c>
      <c r="D218" t="s">
        <v>42</v>
      </c>
      <c r="E218">
        <v>79</v>
      </c>
      <c r="F218">
        <v>745</v>
      </c>
      <c r="G218" t="s">
        <v>134</v>
      </c>
      <c r="H218" t="s">
        <v>35</v>
      </c>
      <c r="I218" t="s">
        <v>122</v>
      </c>
      <c r="J218" t="s">
        <v>135</v>
      </c>
      <c r="K218" t="s">
        <v>66</v>
      </c>
      <c r="L218" t="s">
        <v>67</v>
      </c>
      <c r="M218" t="s">
        <v>233</v>
      </c>
      <c r="N218" t="s">
        <v>89</v>
      </c>
      <c r="O218" t="s">
        <v>90</v>
      </c>
      <c r="P218">
        <v>4</v>
      </c>
      <c r="Q218" t="b">
        <v>0</v>
      </c>
      <c r="R218" s="1">
        <v>43994.87777777778</v>
      </c>
      <c r="V218" s="2">
        <v>43994.87777777778</v>
      </c>
      <c r="W218">
        <v>6</v>
      </c>
      <c r="X218">
        <v>2020</v>
      </c>
      <c r="Y218" t="s">
        <v>35</v>
      </c>
      <c r="Z218">
        <v>4</v>
      </c>
    </row>
    <row r="219" spans="1:26" x14ac:dyDescent="0.45">
      <c r="A219">
        <v>2228</v>
      </c>
      <c r="B219">
        <v>1352</v>
      </c>
      <c r="C219" t="s">
        <v>138</v>
      </c>
      <c r="D219" t="s">
        <v>22</v>
      </c>
      <c r="E219">
        <v>28</v>
      </c>
      <c r="F219">
        <v>699</v>
      </c>
      <c r="G219" t="s">
        <v>139</v>
      </c>
      <c r="H219" t="s">
        <v>73</v>
      </c>
      <c r="I219" t="s">
        <v>140</v>
      </c>
      <c r="J219" t="s">
        <v>141</v>
      </c>
      <c r="K219" t="s">
        <v>37</v>
      </c>
      <c r="L219" t="s">
        <v>56</v>
      </c>
      <c r="M219" t="s">
        <v>57</v>
      </c>
      <c r="N219" t="s">
        <v>58</v>
      </c>
      <c r="O219" t="s">
        <v>59</v>
      </c>
      <c r="P219">
        <v>1</v>
      </c>
      <c r="Q219" t="b">
        <v>1</v>
      </c>
      <c r="R219" s="1">
        <v>43962.53125</v>
      </c>
      <c r="S219" s="1">
        <v>43968.533333333333</v>
      </c>
      <c r="T219" t="s">
        <v>32</v>
      </c>
      <c r="U219" t="b">
        <v>0</v>
      </c>
      <c r="V219" s="2">
        <v>43962.53125</v>
      </c>
      <c r="W219">
        <v>5</v>
      </c>
      <c r="X219">
        <v>2020</v>
      </c>
      <c r="Y219" t="s">
        <v>73</v>
      </c>
      <c r="Z219">
        <v>1</v>
      </c>
    </row>
    <row r="220" spans="1:26" x14ac:dyDescent="0.45">
      <c r="A220">
        <v>2229</v>
      </c>
      <c r="B220">
        <v>1452</v>
      </c>
      <c r="C220" t="s">
        <v>145</v>
      </c>
      <c r="D220" t="s">
        <v>42</v>
      </c>
      <c r="E220">
        <v>48</v>
      </c>
      <c r="F220">
        <v>725</v>
      </c>
      <c r="G220" t="s">
        <v>146</v>
      </c>
      <c r="H220" t="s">
        <v>93</v>
      </c>
      <c r="I220" t="s">
        <v>112</v>
      </c>
      <c r="J220" t="s">
        <v>147</v>
      </c>
      <c r="K220" t="s">
        <v>27</v>
      </c>
      <c r="L220" t="s">
        <v>67</v>
      </c>
      <c r="M220" t="s">
        <v>68</v>
      </c>
      <c r="N220" t="s">
        <v>69</v>
      </c>
      <c r="O220" t="s">
        <v>70</v>
      </c>
      <c r="P220">
        <v>5</v>
      </c>
      <c r="Q220" t="b">
        <v>1</v>
      </c>
      <c r="R220" s="1">
        <v>44858.78125</v>
      </c>
      <c r="S220" s="1">
        <v>44860.479861111111</v>
      </c>
      <c r="T220" t="s">
        <v>40</v>
      </c>
      <c r="U220" t="b">
        <v>1</v>
      </c>
      <c r="V220" s="2">
        <v>44858.78125</v>
      </c>
      <c r="W220">
        <v>10</v>
      </c>
      <c r="X220">
        <v>2022</v>
      </c>
      <c r="Y220" t="s">
        <v>93</v>
      </c>
      <c r="Z220">
        <v>5</v>
      </c>
    </row>
    <row r="221" spans="1:26" x14ac:dyDescent="0.45">
      <c r="A221">
        <v>2230</v>
      </c>
      <c r="B221">
        <v>1144</v>
      </c>
      <c r="C221" t="s">
        <v>148</v>
      </c>
      <c r="D221" t="s">
        <v>42</v>
      </c>
      <c r="E221">
        <v>69</v>
      </c>
      <c r="F221">
        <v>743</v>
      </c>
      <c r="G221" t="s">
        <v>149</v>
      </c>
      <c r="H221" t="s">
        <v>52</v>
      </c>
      <c r="I221" t="s">
        <v>150</v>
      </c>
      <c r="J221" t="s">
        <v>151</v>
      </c>
      <c r="K221" t="s">
        <v>102</v>
      </c>
      <c r="L221" t="s">
        <v>28</v>
      </c>
      <c r="M221" t="s">
        <v>47</v>
      </c>
      <c r="N221" t="s">
        <v>48</v>
      </c>
      <c r="O221" t="s">
        <v>49</v>
      </c>
      <c r="P221">
        <v>1</v>
      </c>
      <c r="Q221" t="b">
        <v>1</v>
      </c>
      <c r="R221" s="1">
        <v>44824.443749999999</v>
      </c>
      <c r="S221" s="1">
        <v>44827.92291666667</v>
      </c>
      <c r="T221" t="s">
        <v>32</v>
      </c>
      <c r="U221" t="b">
        <v>0</v>
      </c>
      <c r="V221" s="2">
        <v>44824.443749999999</v>
      </c>
      <c r="W221">
        <v>9</v>
      </c>
      <c r="X221">
        <v>2022</v>
      </c>
      <c r="Y221" t="s">
        <v>52</v>
      </c>
      <c r="Z221">
        <v>1</v>
      </c>
    </row>
    <row r="222" spans="1:26" x14ac:dyDescent="0.45">
      <c r="A222">
        <v>2231</v>
      </c>
      <c r="B222">
        <v>1218</v>
      </c>
      <c r="C222" t="s">
        <v>152</v>
      </c>
      <c r="D222" t="s">
        <v>22</v>
      </c>
      <c r="E222">
        <v>71</v>
      </c>
      <c r="F222">
        <v>752</v>
      </c>
      <c r="G222" t="s">
        <v>153</v>
      </c>
      <c r="H222" t="s">
        <v>85</v>
      </c>
      <c r="I222" t="s">
        <v>116</v>
      </c>
      <c r="J222" t="s">
        <v>154</v>
      </c>
      <c r="K222" t="s">
        <v>102</v>
      </c>
      <c r="L222" t="s">
        <v>56</v>
      </c>
      <c r="M222" t="s">
        <v>88</v>
      </c>
      <c r="N222" t="s">
        <v>89</v>
      </c>
      <c r="O222" t="s">
        <v>90</v>
      </c>
      <c r="P222">
        <v>3</v>
      </c>
      <c r="Q222" t="b">
        <v>0</v>
      </c>
      <c r="R222" s="1">
        <v>44532.513888888891</v>
      </c>
      <c r="V222" s="2">
        <v>44532.513888888891</v>
      </c>
      <c r="W222">
        <v>12</v>
      </c>
      <c r="X222">
        <v>2021</v>
      </c>
      <c r="Y222" t="s">
        <v>85</v>
      </c>
      <c r="Z222">
        <v>3</v>
      </c>
    </row>
    <row r="223" spans="1:26" x14ac:dyDescent="0.45">
      <c r="A223">
        <v>2232</v>
      </c>
      <c r="B223">
        <v>1029</v>
      </c>
      <c r="C223" t="s">
        <v>155</v>
      </c>
      <c r="D223" t="s">
        <v>42</v>
      </c>
      <c r="E223">
        <v>60</v>
      </c>
      <c r="F223">
        <v>757</v>
      </c>
      <c r="G223" t="s">
        <v>156</v>
      </c>
      <c r="H223" t="s">
        <v>73</v>
      </c>
      <c r="I223" t="s">
        <v>74</v>
      </c>
      <c r="J223" t="s">
        <v>157</v>
      </c>
      <c r="K223" t="s">
        <v>66</v>
      </c>
      <c r="L223" t="s">
        <v>96</v>
      </c>
      <c r="M223" t="s">
        <v>103</v>
      </c>
      <c r="N223" t="s">
        <v>31</v>
      </c>
      <c r="O223" t="s">
        <v>104</v>
      </c>
      <c r="P223">
        <v>3</v>
      </c>
      <c r="Q223" t="b">
        <v>1</v>
      </c>
      <c r="R223" s="1">
        <v>45075.290277777778</v>
      </c>
      <c r="S223" s="1">
        <v>45076.917361111111</v>
      </c>
      <c r="T223" t="s">
        <v>32</v>
      </c>
      <c r="U223" t="b">
        <v>0</v>
      </c>
      <c r="V223" s="2">
        <v>45075.290277777778</v>
      </c>
      <c r="W223">
        <v>5</v>
      </c>
      <c r="X223">
        <v>2023</v>
      </c>
      <c r="Y223" t="s">
        <v>73</v>
      </c>
      <c r="Z223">
        <v>3</v>
      </c>
    </row>
    <row r="224" spans="1:26" x14ac:dyDescent="0.45">
      <c r="A224">
        <v>2233</v>
      </c>
      <c r="B224">
        <v>1171</v>
      </c>
      <c r="C224" t="s">
        <v>158</v>
      </c>
      <c r="D224" t="s">
        <v>42</v>
      </c>
      <c r="E224">
        <v>65</v>
      </c>
      <c r="F224">
        <v>746</v>
      </c>
      <c r="G224" t="s">
        <v>159</v>
      </c>
      <c r="H224" t="s">
        <v>52</v>
      </c>
      <c r="I224" t="s">
        <v>150</v>
      </c>
      <c r="J224" t="s">
        <v>151</v>
      </c>
      <c r="K224" t="s">
        <v>37</v>
      </c>
      <c r="L224" t="s">
        <v>96</v>
      </c>
      <c r="M224" t="s">
        <v>136</v>
      </c>
      <c r="N224" t="s">
        <v>30</v>
      </c>
      <c r="O224" t="s">
        <v>137</v>
      </c>
      <c r="P224">
        <v>4</v>
      </c>
      <c r="Q224" t="b">
        <v>1</v>
      </c>
      <c r="R224" s="1">
        <v>44243.129166666666</v>
      </c>
      <c r="S224" s="1">
        <v>44249.678472222222</v>
      </c>
      <c r="T224" t="s">
        <v>109</v>
      </c>
      <c r="U224" t="b">
        <v>0</v>
      </c>
      <c r="V224" s="2">
        <v>44243.129166666666</v>
      </c>
      <c r="W224">
        <v>2</v>
      </c>
      <c r="X224">
        <v>2021</v>
      </c>
      <c r="Y224" t="s">
        <v>52</v>
      </c>
      <c r="Z224">
        <v>4</v>
      </c>
    </row>
    <row r="225" spans="1:26" x14ac:dyDescent="0.45">
      <c r="A225">
        <v>2234</v>
      </c>
      <c r="B225">
        <v>1101</v>
      </c>
      <c r="C225" t="s">
        <v>162</v>
      </c>
      <c r="D225" t="s">
        <v>42</v>
      </c>
      <c r="E225">
        <v>60</v>
      </c>
      <c r="F225">
        <v>755</v>
      </c>
      <c r="G225" t="s">
        <v>163</v>
      </c>
      <c r="H225" t="s">
        <v>63</v>
      </c>
      <c r="I225" t="s">
        <v>64</v>
      </c>
      <c r="J225" t="s">
        <v>164</v>
      </c>
      <c r="K225" t="s">
        <v>55</v>
      </c>
      <c r="L225" t="s">
        <v>76</v>
      </c>
      <c r="M225" t="s">
        <v>132</v>
      </c>
      <c r="N225" t="s">
        <v>59</v>
      </c>
      <c r="O225" t="s">
        <v>98</v>
      </c>
      <c r="P225">
        <v>1</v>
      </c>
      <c r="Q225" t="b">
        <v>0</v>
      </c>
      <c r="R225" s="1">
        <v>44470.905555555553</v>
      </c>
      <c r="V225" s="2">
        <v>44470.905555555553</v>
      </c>
      <c r="W225">
        <v>10</v>
      </c>
      <c r="X225">
        <v>2021</v>
      </c>
      <c r="Y225" t="s">
        <v>63</v>
      </c>
      <c r="Z225">
        <v>1</v>
      </c>
    </row>
    <row r="226" spans="1:26" x14ac:dyDescent="0.45">
      <c r="A226">
        <v>2235</v>
      </c>
      <c r="B226">
        <v>1018</v>
      </c>
      <c r="C226" t="s">
        <v>168</v>
      </c>
      <c r="D226" t="s">
        <v>42</v>
      </c>
      <c r="E226">
        <v>49</v>
      </c>
      <c r="F226">
        <v>726</v>
      </c>
      <c r="G226" t="s">
        <v>169</v>
      </c>
      <c r="H226" t="s">
        <v>63</v>
      </c>
      <c r="I226" t="s">
        <v>64</v>
      </c>
      <c r="J226" t="s">
        <v>65</v>
      </c>
      <c r="K226" t="s">
        <v>27</v>
      </c>
      <c r="L226" t="s">
        <v>96</v>
      </c>
      <c r="M226" t="s">
        <v>136</v>
      </c>
      <c r="N226" t="s">
        <v>30</v>
      </c>
      <c r="O226" t="s">
        <v>137</v>
      </c>
      <c r="P226">
        <v>1</v>
      </c>
      <c r="Q226" t="b">
        <v>1</v>
      </c>
      <c r="R226" s="1">
        <v>43874.232638888891</v>
      </c>
      <c r="S226" s="1">
        <v>43876.938888888886</v>
      </c>
      <c r="T226" t="s">
        <v>60</v>
      </c>
      <c r="U226" t="b">
        <v>1</v>
      </c>
      <c r="V226" s="2">
        <v>43874.232638888891</v>
      </c>
      <c r="W226">
        <v>2</v>
      </c>
      <c r="X226">
        <v>2020</v>
      </c>
      <c r="Y226" t="s">
        <v>63</v>
      </c>
      <c r="Z226">
        <v>1</v>
      </c>
    </row>
    <row r="227" spans="1:26" x14ac:dyDescent="0.45">
      <c r="A227">
        <v>2237</v>
      </c>
      <c r="B227">
        <v>1240</v>
      </c>
      <c r="C227" t="s">
        <v>170</v>
      </c>
      <c r="D227" t="s">
        <v>42</v>
      </c>
      <c r="E227">
        <v>54</v>
      </c>
      <c r="F227">
        <v>739</v>
      </c>
      <c r="G227" t="s">
        <v>171</v>
      </c>
      <c r="H227" t="s">
        <v>172</v>
      </c>
      <c r="I227" t="s">
        <v>173</v>
      </c>
      <c r="J227" t="s">
        <v>174</v>
      </c>
      <c r="K227" t="s">
        <v>27</v>
      </c>
      <c r="L227" t="s">
        <v>56</v>
      </c>
      <c r="M227" t="s">
        <v>197</v>
      </c>
      <c r="N227" t="s">
        <v>198</v>
      </c>
      <c r="O227" t="s">
        <v>199</v>
      </c>
      <c r="P227">
        <v>4</v>
      </c>
      <c r="Q227" t="b">
        <v>1</v>
      </c>
      <c r="R227" s="1">
        <v>44262.309027777781</v>
      </c>
      <c r="S227" s="1">
        <v>44266.980555555558</v>
      </c>
      <c r="T227" t="s">
        <v>32</v>
      </c>
      <c r="U227" t="b">
        <v>1</v>
      </c>
      <c r="V227" s="2">
        <v>44262.309027777781</v>
      </c>
      <c r="W227">
        <v>3</v>
      </c>
      <c r="X227">
        <v>2021</v>
      </c>
      <c r="Y227" t="s">
        <v>172</v>
      </c>
      <c r="Z227">
        <v>4</v>
      </c>
    </row>
    <row r="228" spans="1:26" x14ac:dyDescent="0.45">
      <c r="A228">
        <v>2239</v>
      </c>
      <c r="B228">
        <v>1338</v>
      </c>
      <c r="C228" t="s">
        <v>175</v>
      </c>
      <c r="D228" t="s">
        <v>22</v>
      </c>
      <c r="E228">
        <v>35</v>
      </c>
      <c r="F228">
        <v>684</v>
      </c>
      <c r="G228" t="s">
        <v>176</v>
      </c>
      <c r="H228" t="s">
        <v>172</v>
      </c>
      <c r="I228" t="s">
        <v>177</v>
      </c>
      <c r="J228" t="s">
        <v>178</v>
      </c>
      <c r="K228" t="s">
        <v>46</v>
      </c>
      <c r="L228" t="s">
        <v>28</v>
      </c>
      <c r="M228" t="s">
        <v>47</v>
      </c>
      <c r="N228" t="s">
        <v>48</v>
      </c>
      <c r="O228" t="s">
        <v>49</v>
      </c>
      <c r="P228">
        <v>5</v>
      </c>
      <c r="Q228" t="b">
        <v>0</v>
      </c>
      <c r="R228" s="1">
        <v>43832.92291666667</v>
      </c>
      <c r="V228" s="2">
        <v>43832.92291666667</v>
      </c>
      <c r="W228">
        <v>1</v>
      </c>
      <c r="X228">
        <v>2020</v>
      </c>
      <c r="Y228" t="s">
        <v>172</v>
      </c>
      <c r="Z228">
        <v>5</v>
      </c>
    </row>
    <row r="229" spans="1:26" x14ac:dyDescent="0.45">
      <c r="A229">
        <v>2240</v>
      </c>
      <c r="B229">
        <v>1385</v>
      </c>
      <c r="C229" t="s">
        <v>180</v>
      </c>
      <c r="D229" t="s">
        <v>22</v>
      </c>
      <c r="E229">
        <v>57</v>
      </c>
      <c r="F229">
        <v>732</v>
      </c>
      <c r="G229" t="s">
        <v>181</v>
      </c>
      <c r="H229" t="s">
        <v>85</v>
      </c>
      <c r="I229" t="s">
        <v>86</v>
      </c>
      <c r="J229" t="s">
        <v>182</v>
      </c>
      <c r="K229" t="s">
        <v>46</v>
      </c>
      <c r="L229" t="s">
        <v>67</v>
      </c>
      <c r="M229" t="s">
        <v>68</v>
      </c>
      <c r="N229" t="s">
        <v>69</v>
      </c>
      <c r="O229" t="s">
        <v>70</v>
      </c>
      <c r="P229">
        <v>4</v>
      </c>
      <c r="Q229" t="b">
        <v>0</v>
      </c>
      <c r="R229" s="1">
        <v>45249.42083333333</v>
      </c>
      <c r="V229" s="2">
        <v>45249.42083333333</v>
      </c>
      <c r="W229">
        <v>11</v>
      </c>
      <c r="X229">
        <v>2023</v>
      </c>
      <c r="Y229" t="s">
        <v>85</v>
      </c>
      <c r="Z229">
        <v>4</v>
      </c>
    </row>
    <row r="230" spans="1:26" x14ac:dyDescent="0.45">
      <c r="A230">
        <v>2241</v>
      </c>
      <c r="B230">
        <v>1065</v>
      </c>
      <c r="C230" t="s">
        <v>183</v>
      </c>
      <c r="D230" t="s">
        <v>42</v>
      </c>
      <c r="E230">
        <v>23</v>
      </c>
      <c r="F230">
        <v>639</v>
      </c>
      <c r="G230" t="s">
        <v>184</v>
      </c>
      <c r="H230" t="s">
        <v>24</v>
      </c>
      <c r="I230" t="s">
        <v>44</v>
      </c>
      <c r="J230" t="s">
        <v>45</v>
      </c>
      <c r="K230" t="s">
        <v>102</v>
      </c>
      <c r="L230" t="s">
        <v>96</v>
      </c>
      <c r="M230" t="s">
        <v>97</v>
      </c>
      <c r="N230" t="s">
        <v>98</v>
      </c>
      <c r="O230" t="s">
        <v>99</v>
      </c>
      <c r="P230">
        <v>4</v>
      </c>
      <c r="Q230" t="b">
        <v>1</v>
      </c>
      <c r="R230" s="1">
        <v>44607.636111111111</v>
      </c>
      <c r="S230" s="1">
        <v>44613.950694444444</v>
      </c>
      <c r="T230" t="s">
        <v>109</v>
      </c>
      <c r="U230" t="b">
        <v>0</v>
      </c>
      <c r="V230" s="2">
        <v>44607.636111111111</v>
      </c>
      <c r="W230">
        <v>2</v>
      </c>
      <c r="X230">
        <v>2022</v>
      </c>
      <c r="Y230" t="s">
        <v>24</v>
      </c>
      <c r="Z230">
        <v>4</v>
      </c>
    </row>
    <row r="231" spans="1:26" x14ac:dyDescent="0.45">
      <c r="A231">
        <v>2243</v>
      </c>
      <c r="B231">
        <v>1445</v>
      </c>
      <c r="C231" t="s">
        <v>185</v>
      </c>
      <c r="D231" t="s">
        <v>22</v>
      </c>
      <c r="E231">
        <v>17</v>
      </c>
      <c r="H231" t="s">
        <v>85</v>
      </c>
      <c r="I231" t="s">
        <v>116</v>
      </c>
      <c r="J231" t="s">
        <v>117</v>
      </c>
      <c r="K231" t="s">
        <v>37</v>
      </c>
      <c r="L231" t="s">
        <v>96</v>
      </c>
      <c r="M231" t="s">
        <v>118</v>
      </c>
      <c r="N231" t="s">
        <v>90</v>
      </c>
      <c r="O231" t="s">
        <v>119</v>
      </c>
      <c r="P231">
        <v>3</v>
      </c>
      <c r="Q231" t="b">
        <v>1</v>
      </c>
      <c r="R231" s="1">
        <v>44979.075694444444</v>
      </c>
      <c r="S231" s="1">
        <v>44985.363888888889</v>
      </c>
      <c r="T231" t="s">
        <v>60</v>
      </c>
      <c r="U231" t="b">
        <v>0</v>
      </c>
      <c r="V231" s="2">
        <v>44979.075694444444</v>
      </c>
      <c r="W231">
        <v>2</v>
      </c>
      <c r="X231">
        <v>2023</v>
      </c>
      <c r="Y231" t="s">
        <v>85</v>
      </c>
      <c r="Z231">
        <v>3</v>
      </c>
    </row>
    <row r="232" spans="1:26" x14ac:dyDescent="0.45">
      <c r="A232">
        <v>2244</v>
      </c>
      <c r="B232">
        <v>1113</v>
      </c>
      <c r="C232" t="s">
        <v>186</v>
      </c>
      <c r="D232" t="s">
        <v>22</v>
      </c>
      <c r="E232">
        <v>73</v>
      </c>
      <c r="F232">
        <v>743</v>
      </c>
      <c r="G232" t="s">
        <v>187</v>
      </c>
      <c r="H232" t="s">
        <v>24</v>
      </c>
      <c r="I232" t="s">
        <v>25</v>
      </c>
      <c r="J232" t="s">
        <v>188</v>
      </c>
      <c r="K232" t="s">
        <v>102</v>
      </c>
      <c r="L232" t="s">
        <v>28</v>
      </c>
      <c r="M232" t="s">
        <v>142</v>
      </c>
      <c r="N232" t="s">
        <v>143</v>
      </c>
      <c r="O232" t="s">
        <v>144</v>
      </c>
      <c r="P232">
        <v>1</v>
      </c>
      <c r="Q232" t="b">
        <v>1</v>
      </c>
      <c r="R232" s="1">
        <v>43954.20208333333</v>
      </c>
      <c r="S232" s="1">
        <v>43959.917361111111</v>
      </c>
      <c r="T232" t="s">
        <v>60</v>
      </c>
      <c r="U232" t="b">
        <v>0</v>
      </c>
      <c r="V232" s="2">
        <v>43954.20208333333</v>
      </c>
      <c r="W232">
        <v>5</v>
      </c>
      <c r="X232">
        <v>2020</v>
      </c>
      <c r="Y232" t="s">
        <v>24</v>
      </c>
      <c r="Z232">
        <v>1</v>
      </c>
    </row>
    <row r="233" spans="1:26" x14ac:dyDescent="0.45">
      <c r="A233">
        <v>2245</v>
      </c>
      <c r="B233">
        <v>1267</v>
      </c>
      <c r="C233" t="s">
        <v>189</v>
      </c>
      <c r="D233" t="s">
        <v>22</v>
      </c>
      <c r="E233">
        <v>32</v>
      </c>
      <c r="F233">
        <v>687</v>
      </c>
      <c r="G233" t="s">
        <v>190</v>
      </c>
      <c r="H233" t="s">
        <v>63</v>
      </c>
      <c r="I233" t="s">
        <v>64</v>
      </c>
      <c r="J233" t="s">
        <v>164</v>
      </c>
      <c r="K233" t="s">
        <v>102</v>
      </c>
      <c r="L233" t="s">
        <v>67</v>
      </c>
      <c r="M233" t="s">
        <v>108</v>
      </c>
      <c r="N233" t="s">
        <v>99</v>
      </c>
      <c r="O233" t="s">
        <v>30</v>
      </c>
      <c r="P233">
        <v>4</v>
      </c>
      <c r="Q233" t="b">
        <v>1</v>
      </c>
      <c r="R233" s="1">
        <v>44979.537499999999</v>
      </c>
      <c r="S233" s="1">
        <v>44981.538888888892</v>
      </c>
      <c r="T233" t="s">
        <v>32</v>
      </c>
      <c r="U233" t="b">
        <v>0</v>
      </c>
      <c r="V233" s="2">
        <v>44979.537499999999</v>
      </c>
      <c r="W233">
        <v>2</v>
      </c>
      <c r="X233">
        <v>2023</v>
      </c>
      <c r="Y233" t="s">
        <v>63</v>
      </c>
      <c r="Z233">
        <v>4</v>
      </c>
    </row>
    <row r="234" spans="1:26" x14ac:dyDescent="0.45">
      <c r="A234">
        <v>2246</v>
      </c>
      <c r="B234">
        <v>1466</v>
      </c>
      <c r="C234" t="s">
        <v>191</v>
      </c>
      <c r="D234" t="s">
        <v>22</v>
      </c>
      <c r="E234">
        <v>73</v>
      </c>
      <c r="F234">
        <v>742</v>
      </c>
      <c r="G234" t="s">
        <v>192</v>
      </c>
      <c r="H234" t="s">
        <v>85</v>
      </c>
      <c r="I234" t="s">
        <v>116</v>
      </c>
      <c r="J234" t="s">
        <v>117</v>
      </c>
      <c r="K234" t="s">
        <v>55</v>
      </c>
      <c r="L234" t="s">
        <v>67</v>
      </c>
      <c r="M234" t="s">
        <v>165</v>
      </c>
      <c r="N234" t="s">
        <v>166</v>
      </c>
      <c r="O234" t="s">
        <v>167</v>
      </c>
      <c r="P234">
        <v>5</v>
      </c>
      <c r="Q234" t="b">
        <v>1</v>
      </c>
      <c r="R234" s="1">
        <v>45118.51458333333</v>
      </c>
      <c r="S234" s="1">
        <v>45121.448611111111</v>
      </c>
      <c r="T234" t="s">
        <v>60</v>
      </c>
      <c r="U234" t="b">
        <v>0</v>
      </c>
      <c r="V234" s="2">
        <v>45118.51458333333</v>
      </c>
      <c r="W234">
        <v>7</v>
      </c>
      <c r="X234">
        <v>2023</v>
      </c>
      <c r="Y234" t="s">
        <v>85</v>
      </c>
      <c r="Z234">
        <v>5</v>
      </c>
    </row>
    <row r="235" spans="1:26" x14ac:dyDescent="0.45">
      <c r="A235">
        <v>2247</v>
      </c>
      <c r="B235">
        <v>1468</v>
      </c>
      <c r="C235" t="s">
        <v>193</v>
      </c>
      <c r="D235" t="s">
        <v>22</v>
      </c>
      <c r="E235">
        <v>62</v>
      </c>
      <c r="F235">
        <v>756</v>
      </c>
      <c r="G235" t="s">
        <v>194</v>
      </c>
      <c r="H235" t="s">
        <v>73</v>
      </c>
      <c r="I235" t="s">
        <v>74</v>
      </c>
      <c r="J235" t="s">
        <v>157</v>
      </c>
      <c r="K235" t="s">
        <v>27</v>
      </c>
      <c r="L235" t="s">
        <v>56</v>
      </c>
      <c r="M235" t="s">
        <v>88</v>
      </c>
      <c r="N235" t="s">
        <v>89</v>
      </c>
      <c r="O235" t="s">
        <v>90</v>
      </c>
      <c r="P235">
        <v>3</v>
      </c>
      <c r="Q235" t="b">
        <v>1</v>
      </c>
      <c r="R235" s="1">
        <v>45191.478472222225</v>
      </c>
      <c r="S235" s="1">
        <v>45196.070138888892</v>
      </c>
      <c r="T235" t="s">
        <v>40</v>
      </c>
      <c r="U235" t="b">
        <v>0</v>
      </c>
      <c r="V235" s="2">
        <v>45191.478472222225</v>
      </c>
      <c r="W235">
        <v>9</v>
      </c>
      <c r="X235">
        <v>2023</v>
      </c>
      <c r="Y235" t="s">
        <v>73</v>
      </c>
      <c r="Z235">
        <v>3</v>
      </c>
    </row>
    <row r="236" spans="1:26" x14ac:dyDescent="0.45">
      <c r="A236">
        <v>2248</v>
      </c>
      <c r="B236">
        <v>1498</v>
      </c>
      <c r="C236" t="s">
        <v>195</v>
      </c>
      <c r="D236" t="s">
        <v>42</v>
      </c>
      <c r="E236">
        <v>17</v>
      </c>
      <c r="H236" t="s">
        <v>52</v>
      </c>
      <c r="I236" t="s">
        <v>53</v>
      </c>
      <c r="J236" t="s">
        <v>196</v>
      </c>
      <c r="K236" t="s">
        <v>102</v>
      </c>
      <c r="L236" t="s">
        <v>56</v>
      </c>
      <c r="M236" t="s">
        <v>179</v>
      </c>
      <c r="N236" t="s">
        <v>79</v>
      </c>
      <c r="O236" t="s">
        <v>161</v>
      </c>
      <c r="P236">
        <v>5</v>
      </c>
      <c r="Q236" t="b">
        <v>1</v>
      </c>
      <c r="R236" s="1">
        <v>44633.872916666667</v>
      </c>
      <c r="S236" s="1">
        <v>44638.557638888888</v>
      </c>
      <c r="T236" t="s">
        <v>32</v>
      </c>
      <c r="U236" t="b">
        <v>0</v>
      </c>
      <c r="V236" s="2">
        <v>44633.872916666667</v>
      </c>
      <c r="W236">
        <v>3</v>
      </c>
      <c r="X236">
        <v>2022</v>
      </c>
      <c r="Y236" t="s">
        <v>52</v>
      </c>
      <c r="Z236">
        <v>5</v>
      </c>
    </row>
    <row r="237" spans="1:26" x14ac:dyDescent="0.45">
      <c r="A237">
        <v>2249</v>
      </c>
      <c r="B237">
        <v>1172</v>
      </c>
      <c r="C237" t="s">
        <v>200</v>
      </c>
      <c r="D237" t="s">
        <v>22</v>
      </c>
      <c r="E237">
        <v>18</v>
      </c>
      <c r="F237">
        <v>653</v>
      </c>
      <c r="G237" t="s">
        <v>201</v>
      </c>
      <c r="H237" t="s">
        <v>172</v>
      </c>
      <c r="I237" t="s">
        <v>177</v>
      </c>
      <c r="J237" t="s">
        <v>202</v>
      </c>
      <c r="K237" t="s">
        <v>66</v>
      </c>
      <c r="L237" t="s">
        <v>96</v>
      </c>
      <c r="M237" t="s">
        <v>103</v>
      </c>
      <c r="N237" t="s">
        <v>31</v>
      </c>
      <c r="O237" t="s">
        <v>104</v>
      </c>
      <c r="P237">
        <v>5</v>
      </c>
      <c r="Q237" t="b">
        <v>0</v>
      </c>
      <c r="R237" s="1">
        <v>44222.629166666666</v>
      </c>
      <c r="V237" s="2">
        <v>44222.629166666666</v>
      </c>
      <c r="W237">
        <v>1</v>
      </c>
      <c r="X237">
        <v>2021</v>
      </c>
      <c r="Y237" t="s">
        <v>172</v>
      </c>
      <c r="Z237">
        <v>5</v>
      </c>
    </row>
    <row r="238" spans="1:26" x14ac:dyDescent="0.45">
      <c r="A238">
        <v>2250</v>
      </c>
      <c r="B238">
        <v>1404</v>
      </c>
      <c r="C238" t="s">
        <v>203</v>
      </c>
      <c r="D238" t="s">
        <v>42</v>
      </c>
      <c r="E238">
        <v>77</v>
      </c>
      <c r="F238">
        <v>758</v>
      </c>
      <c r="G238" t="s">
        <v>204</v>
      </c>
      <c r="H238" t="s">
        <v>52</v>
      </c>
      <c r="I238" t="s">
        <v>150</v>
      </c>
      <c r="J238" t="s">
        <v>205</v>
      </c>
      <c r="K238" t="s">
        <v>46</v>
      </c>
      <c r="L238" t="s">
        <v>56</v>
      </c>
      <c r="M238" t="s">
        <v>197</v>
      </c>
      <c r="N238" t="s">
        <v>198</v>
      </c>
      <c r="O238" t="s">
        <v>199</v>
      </c>
      <c r="P238">
        <v>3</v>
      </c>
      <c r="Q238" t="b">
        <v>1</v>
      </c>
      <c r="R238" s="1">
        <v>44410.813194444447</v>
      </c>
      <c r="S238" s="1">
        <v>44413.568055555559</v>
      </c>
      <c r="T238" t="s">
        <v>109</v>
      </c>
      <c r="U238" t="b">
        <v>1</v>
      </c>
      <c r="V238" s="2">
        <v>44410.813194444447</v>
      </c>
      <c r="W238">
        <v>8</v>
      </c>
      <c r="X238">
        <v>2021</v>
      </c>
      <c r="Y238" t="s">
        <v>52</v>
      </c>
      <c r="Z238">
        <v>3</v>
      </c>
    </row>
    <row r="239" spans="1:26" x14ac:dyDescent="0.45">
      <c r="A239">
        <v>2252</v>
      </c>
      <c r="B239">
        <v>1373</v>
      </c>
      <c r="C239" t="s">
        <v>206</v>
      </c>
      <c r="D239" t="s">
        <v>42</v>
      </c>
      <c r="E239">
        <v>55</v>
      </c>
      <c r="F239">
        <v>707</v>
      </c>
      <c r="G239" t="s">
        <v>207</v>
      </c>
      <c r="H239" t="s">
        <v>24</v>
      </c>
      <c r="I239" t="s">
        <v>44</v>
      </c>
      <c r="J239" t="s">
        <v>208</v>
      </c>
      <c r="K239" t="s">
        <v>37</v>
      </c>
      <c r="L239" t="s">
        <v>56</v>
      </c>
      <c r="M239" t="s">
        <v>57</v>
      </c>
      <c r="N239" t="s">
        <v>58</v>
      </c>
      <c r="O239" t="s">
        <v>59</v>
      </c>
      <c r="P239">
        <v>4</v>
      </c>
      <c r="Q239" t="b">
        <v>1</v>
      </c>
      <c r="R239" s="1">
        <v>45266.694444444445</v>
      </c>
      <c r="S239" s="1">
        <v>45267.979166666664</v>
      </c>
      <c r="T239" t="s">
        <v>32</v>
      </c>
      <c r="U239" t="b">
        <v>0</v>
      </c>
      <c r="V239" s="2">
        <v>45266.694444444445</v>
      </c>
      <c r="W239">
        <v>12</v>
      </c>
      <c r="X239">
        <v>2023</v>
      </c>
      <c r="Y239" t="s">
        <v>24</v>
      </c>
      <c r="Z239">
        <v>4</v>
      </c>
    </row>
    <row r="240" spans="1:26" x14ac:dyDescent="0.45">
      <c r="A240">
        <v>2253</v>
      </c>
      <c r="B240">
        <v>1472</v>
      </c>
      <c r="C240" t="s">
        <v>209</v>
      </c>
      <c r="D240" t="s">
        <v>42</v>
      </c>
      <c r="E240">
        <v>46</v>
      </c>
      <c r="F240">
        <v>733</v>
      </c>
      <c r="G240" t="s">
        <v>210</v>
      </c>
      <c r="H240" t="s">
        <v>63</v>
      </c>
      <c r="I240" t="s">
        <v>64</v>
      </c>
      <c r="J240" t="s">
        <v>164</v>
      </c>
      <c r="K240" t="s">
        <v>37</v>
      </c>
      <c r="L240" t="s">
        <v>67</v>
      </c>
      <c r="M240" t="s">
        <v>108</v>
      </c>
      <c r="N240" t="s">
        <v>99</v>
      </c>
      <c r="O240" t="s">
        <v>30</v>
      </c>
      <c r="P240">
        <v>5</v>
      </c>
      <c r="Q240" t="b">
        <v>1</v>
      </c>
      <c r="R240" s="1">
        <v>44673.334027777775</v>
      </c>
      <c r="S240" s="1">
        <v>44679.676388888889</v>
      </c>
      <c r="T240" t="s">
        <v>32</v>
      </c>
      <c r="U240" t="b">
        <v>0</v>
      </c>
      <c r="V240" s="2">
        <v>44673.334027777775</v>
      </c>
      <c r="W240">
        <v>4</v>
      </c>
      <c r="X240">
        <v>2022</v>
      </c>
      <c r="Y240" t="s">
        <v>63</v>
      </c>
      <c r="Z240">
        <v>5</v>
      </c>
    </row>
    <row r="241" spans="1:26" x14ac:dyDescent="0.45">
      <c r="A241">
        <v>2254</v>
      </c>
      <c r="B241">
        <v>1383</v>
      </c>
      <c r="C241" t="s">
        <v>211</v>
      </c>
      <c r="D241" t="s">
        <v>42</v>
      </c>
      <c r="E241">
        <v>44</v>
      </c>
      <c r="F241">
        <v>713</v>
      </c>
      <c r="G241" t="s">
        <v>212</v>
      </c>
      <c r="H241" t="s">
        <v>73</v>
      </c>
      <c r="I241" t="s">
        <v>140</v>
      </c>
      <c r="J241" t="s">
        <v>213</v>
      </c>
      <c r="K241" t="s">
        <v>66</v>
      </c>
      <c r="L241" t="s">
        <v>76</v>
      </c>
      <c r="M241" t="s">
        <v>126</v>
      </c>
      <c r="N241" t="s">
        <v>98</v>
      </c>
      <c r="O241" t="s">
        <v>99</v>
      </c>
      <c r="P241">
        <v>5</v>
      </c>
      <c r="Q241" t="b">
        <v>1</v>
      </c>
      <c r="R241" s="1">
        <v>43966.349305555559</v>
      </c>
      <c r="S241" s="1">
        <v>43970.1</v>
      </c>
      <c r="T241" t="s">
        <v>109</v>
      </c>
      <c r="U241" t="b">
        <v>0</v>
      </c>
      <c r="V241" s="2">
        <v>43966.349305555559</v>
      </c>
      <c r="W241">
        <v>5</v>
      </c>
      <c r="X241">
        <v>2020</v>
      </c>
      <c r="Y241" t="s">
        <v>73</v>
      </c>
      <c r="Z241">
        <v>5</v>
      </c>
    </row>
    <row r="242" spans="1:26" x14ac:dyDescent="0.45">
      <c r="A242">
        <v>2255</v>
      </c>
      <c r="B242">
        <v>1202</v>
      </c>
      <c r="C242" t="s">
        <v>214</v>
      </c>
      <c r="D242" t="s">
        <v>22</v>
      </c>
      <c r="E242">
        <v>57</v>
      </c>
      <c r="F242">
        <v>716</v>
      </c>
      <c r="G242" t="s">
        <v>215</v>
      </c>
      <c r="H242" t="s">
        <v>63</v>
      </c>
      <c r="I242" t="s">
        <v>64</v>
      </c>
      <c r="J242" t="s">
        <v>164</v>
      </c>
      <c r="K242" t="s">
        <v>55</v>
      </c>
      <c r="L242" t="s">
        <v>67</v>
      </c>
      <c r="M242" t="s">
        <v>233</v>
      </c>
      <c r="N242" t="s">
        <v>89</v>
      </c>
      <c r="O242" t="s">
        <v>90</v>
      </c>
      <c r="P242">
        <v>5</v>
      </c>
      <c r="Q242" t="b">
        <v>1</v>
      </c>
      <c r="R242" s="1">
        <v>43871.699305555558</v>
      </c>
      <c r="S242" s="1">
        <v>43874.063888888886</v>
      </c>
      <c r="T242" t="s">
        <v>40</v>
      </c>
      <c r="U242" t="b">
        <v>0</v>
      </c>
      <c r="V242" s="2">
        <v>43871.699305555558</v>
      </c>
      <c r="W242">
        <v>2</v>
      </c>
      <c r="X242">
        <v>2020</v>
      </c>
      <c r="Y242" t="s">
        <v>63</v>
      </c>
      <c r="Z242">
        <v>5</v>
      </c>
    </row>
    <row r="243" spans="1:26" x14ac:dyDescent="0.45">
      <c r="A243">
        <v>2256</v>
      </c>
      <c r="B243">
        <v>1424</v>
      </c>
      <c r="C243" t="s">
        <v>216</v>
      </c>
      <c r="D243" t="s">
        <v>42</v>
      </c>
      <c r="E243">
        <v>31</v>
      </c>
      <c r="F243">
        <v>689</v>
      </c>
      <c r="G243" t="s">
        <v>217</v>
      </c>
      <c r="H243" t="s">
        <v>85</v>
      </c>
      <c r="I243" t="s">
        <v>86</v>
      </c>
      <c r="J243" t="s">
        <v>182</v>
      </c>
      <c r="K243" t="s">
        <v>37</v>
      </c>
      <c r="L243" t="s">
        <v>96</v>
      </c>
      <c r="M243" t="s">
        <v>103</v>
      </c>
      <c r="N243" t="s">
        <v>31</v>
      </c>
      <c r="O243" t="s">
        <v>104</v>
      </c>
      <c r="P243">
        <v>5</v>
      </c>
      <c r="Q243" t="b">
        <v>0</v>
      </c>
      <c r="R243" s="1">
        <v>44450.451388888891</v>
      </c>
      <c r="V243" s="2">
        <v>44450.451388888891</v>
      </c>
      <c r="W243">
        <v>9</v>
      </c>
      <c r="X243">
        <v>2021</v>
      </c>
      <c r="Y243" t="s">
        <v>85</v>
      </c>
      <c r="Z243">
        <v>5</v>
      </c>
    </row>
    <row r="244" spans="1:26" x14ac:dyDescent="0.45">
      <c r="A244">
        <v>2257</v>
      </c>
      <c r="B244">
        <v>1281</v>
      </c>
      <c r="C244" t="s">
        <v>218</v>
      </c>
      <c r="D244" t="s">
        <v>42</v>
      </c>
      <c r="E244">
        <v>77</v>
      </c>
      <c r="F244">
        <v>749</v>
      </c>
      <c r="G244" t="s">
        <v>219</v>
      </c>
      <c r="H244" t="s">
        <v>73</v>
      </c>
      <c r="I244" t="s">
        <v>74</v>
      </c>
      <c r="J244" t="s">
        <v>157</v>
      </c>
      <c r="K244" t="s">
        <v>46</v>
      </c>
      <c r="L244" t="s">
        <v>96</v>
      </c>
      <c r="M244" t="s">
        <v>118</v>
      </c>
      <c r="N244" t="s">
        <v>90</v>
      </c>
      <c r="O244" t="s">
        <v>119</v>
      </c>
      <c r="P244">
        <v>3</v>
      </c>
      <c r="Q244" t="b">
        <v>1</v>
      </c>
      <c r="R244" s="1">
        <v>45087.258333333331</v>
      </c>
      <c r="S244" s="1">
        <v>45093.011111111111</v>
      </c>
      <c r="T244" t="s">
        <v>32</v>
      </c>
      <c r="U244" t="b">
        <v>0</v>
      </c>
      <c r="V244" s="2">
        <v>45087.258333333331</v>
      </c>
      <c r="W244">
        <v>6</v>
      </c>
      <c r="X244">
        <v>2023</v>
      </c>
      <c r="Y244" t="s">
        <v>73</v>
      </c>
      <c r="Z244">
        <v>3</v>
      </c>
    </row>
    <row r="245" spans="1:26" x14ac:dyDescent="0.45">
      <c r="A245">
        <v>2258</v>
      </c>
      <c r="B245">
        <v>1004</v>
      </c>
      <c r="C245" t="s">
        <v>220</v>
      </c>
      <c r="D245" t="s">
        <v>22</v>
      </c>
      <c r="E245">
        <v>33</v>
      </c>
      <c r="F245">
        <v>695</v>
      </c>
      <c r="G245" t="s">
        <v>221</v>
      </c>
      <c r="H245" t="s">
        <v>24</v>
      </c>
      <c r="I245" t="s">
        <v>25</v>
      </c>
      <c r="J245" t="s">
        <v>222</v>
      </c>
      <c r="K245" t="s">
        <v>27</v>
      </c>
      <c r="L245" t="s">
        <v>67</v>
      </c>
      <c r="M245" t="s">
        <v>165</v>
      </c>
      <c r="N245" t="s">
        <v>166</v>
      </c>
      <c r="O245" t="s">
        <v>167</v>
      </c>
      <c r="P245">
        <v>4</v>
      </c>
      <c r="Q245" t="b">
        <v>1</v>
      </c>
      <c r="R245" s="1">
        <v>44010.507638888892</v>
      </c>
      <c r="S245" s="1">
        <v>44013.771527777775</v>
      </c>
      <c r="T245" t="s">
        <v>40</v>
      </c>
      <c r="U245" t="b">
        <v>0</v>
      </c>
      <c r="V245" s="2">
        <v>44010.507638888892</v>
      </c>
      <c r="W245">
        <v>6</v>
      </c>
      <c r="X245">
        <v>2020</v>
      </c>
      <c r="Y245" t="s">
        <v>24</v>
      </c>
      <c r="Z245">
        <v>4</v>
      </c>
    </row>
    <row r="246" spans="1:26" x14ac:dyDescent="0.45">
      <c r="A246">
        <v>2259</v>
      </c>
      <c r="B246">
        <v>1059</v>
      </c>
      <c r="C246" t="s">
        <v>223</v>
      </c>
      <c r="D246" t="s">
        <v>22</v>
      </c>
      <c r="E246">
        <v>37</v>
      </c>
      <c r="F246">
        <v>696</v>
      </c>
      <c r="G246" t="s">
        <v>224</v>
      </c>
      <c r="H246" t="s">
        <v>24</v>
      </c>
      <c r="I246" t="s">
        <v>44</v>
      </c>
      <c r="J246" t="s">
        <v>225</v>
      </c>
      <c r="K246" t="s">
        <v>27</v>
      </c>
      <c r="L246" t="s">
        <v>67</v>
      </c>
      <c r="M246" t="s">
        <v>165</v>
      </c>
      <c r="N246" t="s">
        <v>166</v>
      </c>
      <c r="O246" t="s">
        <v>167</v>
      </c>
      <c r="P246">
        <v>5</v>
      </c>
      <c r="Q246" t="b">
        <v>1</v>
      </c>
      <c r="R246" s="1">
        <v>44284.066666666666</v>
      </c>
      <c r="S246" s="1">
        <v>44284.763194444444</v>
      </c>
      <c r="T246" t="s">
        <v>109</v>
      </c>
      <c r="U246" t="b">
        <v>0</v>
      </c>
      <c r="V246" s="2">
        <v>44284.066666666666</v>
      </c>
      <c r="W246">
        <v>3</v>
      </c>
      <c r="X246">
        <v>2021</v>
      </c>
      <c r="Y246" t="s">
        <v>24</v>
      </c>
      <c r="Z246">
        <v>5</v>
      </c>
    </row>
    <row r="247" spans="1:26" x14ac:dyDescent="0.45">
      <c r="A247">
        <v>2260</v>
      </c>
      <c r="B247">
        <v>1404</v>
      </c>
      <c r="C247" t="s">
        <v>203</v>
      </c>
      <c r="D247" t="s">
        <v>42</v>
      </c>
      <c r="E247">
        <v>77</v>
      </c>
      <c r="F247">
        <v>758</v>
      </c>
      <c r="G247" t="s">
        <v>204</v>
      </c>
      <c r="H247" t="s">
        <v>52</v>
      </c>
      <c r="I247" t="s">
        <v>150</v>
      </c>
      <c r="J247" t="s">
        <v>205</v>
      </c>
      <c r="K247" t="s">
        <v>55</v>
      </c>
      <c r="L247" t="s">
        <v>28</v>
      </c>
      <c r="M247" t="s">
        <v>142</v>
      </c>
      <c r="N247" t="s">
        <v>143</v>
      </c>
      <c r="O247" t="s">
        <v>144</v>
      </c>
      <c r="P247">
        <v>1</v>
      </c>
      <c r="Q247" t="b">
        <v>1</v>
      </c>
      <c r="R247" s="1">
        <v>44395.246527777781</v>
      </c>
      <c r="S247" s="1">
        <v>44400.09097222222</v>
      </c>
      <c r="T247" t="s">
        <v>40</v>
      </c>
      <c r="U247" t="b">
        <v>0</v>
      </c>
      <c r="V247" s="2">
        <v>44395.246527777781</v>
      </c>
      <c r="W247">
        <v>7</v>
      </c>
      <c r="X247">
        <v>2021</v>
      </c>
      <c r="Y247" t="s">
        <v>52</v>
      </c>
      <c r="Z247">
        <v>1</v>
      </c>
    </row>
    <row r="248" spans="1:26" x14ac:dyDescent="0.45">
      <c r="A248">
        <v>2261</v>
      </c>
      <c r="B248">
        <v>1428</v>
      </c>
      <c r="C248" t="s">
        <v>226</v>
      </c>
      <c r="D248" t="s">
        <v>22</v>
      </c>
      <c r="E248">
        <v>66</v>
      </c>
      <c r="F248">
        <v>757</v>
      </c>
      <c r="G248" t="s">
        <v>227</v>
      </c>
      <c r="H248" t="s">
        <v>73</v>
      </c>
      <c r="I248" t="s">
        <v>140</v>
      </c>
      <c r="J248" t="s">
        <v>228</v>
      </c>
      <c r="K248" t="s">
        <v>55</v>
      </c>
      <c r="L248" t="s">
        <v>96</v>
      </c>
      <c r="M248" t="s">
        <v>97</v>
      </c>
      <c r="N248" t="s">
        <v>98</v>
      </c>
      <c r="O248" t="s">
        <v>99</v>
      </c>
      <c r="P248">
        <v>5</v>
      </c>
      <c r="Q248" t="b">
        <v>0</v>
      </c>
      <c r="R248" s="1">
        <v>44169.956944444442</v>
      </c>
      <c r="V248" s="2">
        <v>44169.956944444442</v>
      </c>
      <c r="W248">
        <v>12</v>
      </c>
      <c r="X248">
        <v>2020</v>
      </c>
      <c r="Y248" t="s">
        <v>73</v>
      </c>
      <c r="Z248">
        <v>5</v>
      </c>
    </row>
    <row r="249" spans="1:26" x14ac:dyDescent="0.45">
      <c r="A249">
        <v>2262</v>
      </c>
      <c r="B249">
        <v>1469</v>
      </c>
      <c r="C249" t="s">
        <v>229</v>
      </c>
      <c r="D249" t="s">
        <v>42</v>
      </c>
      <c r="E249">
        <v>46</v>
      </c>
      <c r="F249">
        <v>707</v>
      </c>
      <c r="G249" t="s">
        <v>230</v>
      </c>
      <c r="H249" t="s">
        <v>52</v>
      </c>
      <c r="I249" t="s">
        <v>150</v>
      </c>
      <c r="J249" t="s">
        <v>151</v>
      </c>
      <c r="K249" t="s">
        <v>46</v>
      </c>
      <c r="L249" t="s">
        <v>28</v>
      </c>
      <c r="M249" t="s">
        <v>47</v>
      </c>
      <c r="N249" t="s">
        <v>48</v>
      </c>
      <c r="O249" t="s">
        <v>49</v>
      </c>
      <c r="P249">
        <v>3</v>
      </c>
      <c r="Q249" t="b">
        <v>0</v>
      </c>
      <c r="R249" s="1">
        <v>44229.442361111112</v>
      </c>
      <c r="V249" s="2">
        <v>44229.442361111112</v>
      </c>
      <c r="W249">
        <v>2</v>
      </c>
      <c r="X249">
        <v>2021</v>
      </c>
      <c r="Y249" t="s">
        <v>52</v>
      </c>
      <c r="Z249">
        <v>3</v>
      </c>
    </row>
    <row r="250" spans="1:26" x14ac:dyDescent="0.45">
      <c r="A250">
        <v>2263</v>
      </c>
      <c r="B250">
        <v>1150</v>
      </c>
      <c r="C250" t="s">
        <v>231</v>
      </c>
      <c r="D250" t="s">
        <v>22</v>
      </c>
      <c r="E250">
        <v>49</v>
      </c>
      <c r="F250">
        <v>736</v>
      </c>
      <c r="G250" t="s">
        <v>232</v>
      </c>
      <c r="H250" t="s">
        <v>35</v>
      </c>
      <c r="I250" t="s">
        <v>122</v>
      </c>
      <c r="J250" t="s">
        <v>82</v>
      </c>
      <c r="K250" t="s">
        <v>102</v>
      </c>
      <c r="L250" t="s">
        <v>76</v>
      </c>
      <c r="M250" t="s">
        <v>160</v>
      </c>
      <c r="N250" t="s">
        <v>79</v>
      </c>
      <c r="O250" t="s">
        <v>161</v>
      </c>
      <c r="P250">
        <v>4</v>
      </c>
      <c r="Q250" t="b">
        <v>0</v>
      </c>
      <c r="R250" s="1">
        <v>44641.114583333336</v>
      </c>
      <c r="V250" s="2">
        <v>44641.114583333336</v>
      </c>
      <c r="W250">
        <v>3</v>
      </c>
      <c r="X250">
        <v>2022</v>
      </c>
      <c r="Y250" t="s">
        <v>35</v>
      </c>
      <c r="Z250">
        <v>4</v>
      </c>
    </row>
    <row r="251" spans="1:26" x14ac:dyDescent="0.45">
      <c r="A251">
        <v>2265</v>
      </c>
      <c r="B251">
        <v>1471</v>
      </c>
      <c r="C251" t="s">
        <v>234</v>
      </c>
      <c r="D251" t="s">
        <v>22</v>
      </c>
      <c r="E251">
        <v>40</v>
      </c>
      <c r="F251">
        <v>686</v>
      </c>
      <c r="G251" t="s">
        <v>235</v>
      </c>
      <c r="H251" t="s">
        <v>85</v>
      </c>
      <c r="I251" t="s">
        <v>116</v>
      </c>
      <c r="J251" t="s">
        <v>117</v>
      </c>
      <c r="K251" t="s">
        <v>27</v>
      </c>
      <c r="L251" t="s">
        <v>56</v>
      </c>
      <c r="M251" t="s">
        <v>179</v>
      </c>
      <c r="N251" t="s">
        <v>79</v>
      </c>
      <c r="O251" t="s">
        <v>161</v>
      </c>
      <c r="P251">
        <v>5</v>
      </c>
      <c r="Q251" t="b">
        <v>1</v>
      </c>
      <c r="R251" s="1">
        <v>44010.924305555556</v>
      </c>
      <c r="S251" s="1">
        <v>44015.622916666667</v>
      </c>
      <c r="T251" t="s">
        <v>40</v>
      </c>
      <c r="U251" t="b">
        <v>0</v>
      </c>
      <c r="V251" s="2">
        <v>44010.924305555556</v>
      </c>
      <c r="W251">
        <v>6</v>
      </c>
      <c r="X251">
        <v>2020</v>
      </c>
      <c r="Y251" t="s">
        <v>85</v>
      </c>
      <c r="Z251">
        <v>5</v>
      </c>
    </row>
    <row r="252" spans="1:26" x14ac:dyDescent="0.45">
      <c r="A252">
        <v>2267</v>
      </c>
      <c r="B252">
        <v>1486</v>
      </c>
      <c r="C252" t="s">
        <v>236</v>
      </c>
      <c r="D252" t="s">
        <v>42</v>
      </c>
      <c r="E252">
        <v>29</v>
      </c>
      <c r="F252">
        <v>695</v>
      </c>
      <c r="G252" t="s">
        <v>237</v>
      </c>
      <c r="H252" t="s">
        <v>73</v>
      </c>
      <c r="I252" t="s">
        <v>74</v>
      </c>
      <c r="J252" t="s">
        <v>157</v>
      </c>
      <c r="K252" t="s">
        <v>66</v>
      </c>
      <c r="L252" t="s">
        <v>56</v>
      </c>
      <c r="M252" t="s">
        <v>88</v>
      </c>
      <c r="N252" t="s">
        <v>89</v>
      </c>
      <c r="O252" t="s">
        <v>90</v>
      </c>
      <c r="P252">
        <v>5</v>
      </c>
      <c r="Q252" t="b">
        <v>1</v>
      </c>
      <c r="R252" s="1">
        <v>44469.18472222222</v>
      </c>
      <c r="S252" s="1">
        <v>44472.245833333334</v>
      </c>
      <c r="T252" t="s">
        <v>32</v>
      </c>
      <c r="U252" t="b">
        <v>0</v>
      </c>
      <c r="V252" s="2">
        <v>44469.18472222222</v>
      </c>
      <c r="W252">
        <v>9</v>
      </c>
      <c r="X252">
        <v>2021</v>
      </c>
      <c r="Y252" t="s">
        <v>73</v>
      </c>
      <c r="Z252">
        <v>5</v>
      </c>
    </row>
    <row r="253" spans="1:26" x14ac:dyDescent="0.45">
      <c r="A253">
        <v>2268</v>
      </c>
      <c r="B253">
        <v>1094</v>
      </c>
      <c r="C253" t="s">
        <v>238</v>
      </c>
      <c r="D253" t="s">
        <v>42</v>
      </c>
      <c r="E253">
        <v>36</v>
      </c>
      <c r="F253">
        <v>683</v>
      </c>
      <c r="G253" t="s">
        <v>239</v>
      </c>
      <c r="H253" t="s">
        <v>172</v>
      </c>
      <c r="I253" t="s">
        <v>177</v>
      </c>
      <c r="J253" t="s">
        <v>178</v>
      </c>
      <c r="K253" t="s">
        <v>66</v>
      </c>
      <c r="L253" t="s">
        <v>67</v>
      </c>
      <c r="M253" t="s">
        <v>165</v>
      </c>
      <c r="N253" t="s">
        <v>166</v>
      </c>
      <c r="O253" t="s">
        <v>167</v>
      </c>
      <c r="P253">
        <v>2</v>
      </c>
      <c r="Q253" t="b">
        <v>0</v>
      </c>
      <c r="R253" s="1">
        <v>44549.351388888892</v>
      </c>
      <c r="V253" s="2">
        <v>44549.351388888892</v>
      </c>
      <c r="W253">
        <v>12</v>
      </c>
      <c r="X253">
        <v>2021</v>
      </c>
      <c r="Y253" t="s">
        <v>172</v>
      </c>
      <c r="Z253">
        <v>2</v>
      </c>
    </row>
    <row r="254" spans="1:26" x14ac:dyDescent="0.45">
      <c r="A254">
        <v>2269</v>
      </c>
      <c r="B254">
        <v>1369</v>
      </c>
      <c r="C254" t="s">
        <v>240</v>
      </c>
      <c r="D254" t="s">
        <v>42</v>
      </c>
      <c r="E254">
        <v>71</v>
      </c>
      <c r="F254">
        <v>758</v>
      </c>
      <c r="G254" t="s">
        <v>241</v>
      </c>
      <c r="H254" t="s">
        <v>93</v>
      </c>
      <c r="I254" t="s">
        <v>112</v>
      </c>
      <c r="J254" t="s">
        <v>242</v>
      </c>
      <c r="K254" t="s">
        <v>37</v>
      </c>
      <c r="L254" t="s">
        <v>67</v>
      </c>
      <c r="M254" t="s">
        <v>233</v>
      </c>
      <c r="N254" t="s">
        <v>89</v>
      </c>
      <c r="O254" t="s">
        <v>90</v>
      </c>
      <c r="P254">
        <v>1</v>
      </c>
      <c r="Q254" t="b">
        <v>0</v>
      </c>
      <c r="R254" s="1">
        <v>43964.822916666664</v>
      </c>
      <c r="V254" s="2">
        <v>43964.822916666664</v>
      </c>
      <c r="W254">
        <v>5</v>
      </c>
      <c r="X254">
        <v>2020</v>
      </c>
      <c r="Y254" t="s">
        <v>93</v>
      </c>
      <c r="Z254">
        <v>1</v>
      </c>
    </row>
    <row r="255" spans="1:26" x14ac:dyDescent="0.45">
      <c r="A255">
        <v>2270</v>
      </c>
      <c r="B255">
        <v>1094</v>
      </c>
      <c r="C255" t="s">
        <v>238</v>
      </c>
      <c r="D255" t="s">
        <v>42</v>
      </c>
      <c r="E255">
        <v>36</v>
      </c>
      <c r="F255">
        <v>683</v>
      </c>
      <c r="G255" t="s">
        <v>239</v>
      </c>
      <c r="H255" t="s">
        <v>172</v>
      </c>
      <c r="I255" t="s">
        <v>177</v>
      </c>
      <c r="J255" t="s">
        <v>178</v>
      </c>
      <c r="K255" t="s">
        <v>46</v>
      </c>
      <c r="L255" t="s">
        <v>67</v>
      </c>
      <c r="M255" t="s">
        <v>233</v>
      </c>
      <c r="N255" t="s">
        <v>89</v>
      </c>
      <c r="O255" t="s">
        <v>90</v>
      </c>
      <c r="P255">
        <v>3</v>
      </c>
      <c r="Q255" t="b">
        <v>0</v>
      </c>
      <c r="R255" s="1">
        <v>45010.785416666666</v>
      </c>
      <c r="V255" s="2">
        <v>45010.785416666666</v>
      </c>
      <c r="W255">
        <v>3</v>
      </c>
      <c r="X255">
        <v>2023</v>
      </c>
      <c r="Y255" t="s">
        <v>172</v>
      </c>
      <c r="Z255">
        <v>3</v>
      </c>
    </row>
    <row r="256" spans="1:26" x14ac:dyDescent="0.45">
      <c r="A256">
        <v>2271</v>
      </c>
      <c r="B256">
        <v>1117</v>
      </c>
      <c r="C256" t="s">
        <v>243</v>
      </c>
      <c r="D256" t="s">
        <v>22</v>
      </c>
      <c r="E256">
        <v>53</v>
      </c>
      <c r="F256">
        <v>727</v>
      </c>
      <c r="G256" t="s">
        <v>244</v>
      </c>
      <c r="H256" t="s">
        <v>73</v>
      </c>
      <c r="I256" t="s">
        <v>74</v>
      </c>
      <c r="J256" t="s">
        <v>245</v>
      </c>
      <c r="K256" t="s">
        <v>102</v>
      </c>
      <c r="L256" t="s">
        <v>76</v>
      </c>
      <c r="M256" t="s">
        <v>77</v>
      </c>
      <c r="N256" t="s">
        <v>78</v>
      </c>
      <c r="O256" t="s">
        <v>79</v>
      </c>
      <c r="P256">
        <v>1</v>
      </c>
      <c r="Q256" t="b">
        <v>1</v>
      </c>
      <c r="R256" s="1">
        <v>45157.105555555558</v>
      </c>
      <c r="S256" s="1">
        <v>45162</v>
      </c>
      <c r="T256" t="s">
        <v>32</v>
      </c>
      <c r="U256" t="b">
        <v>0</v>
      </c>
      <c r="V256" s="2">
        <v>45157.105555555558</v>
      </c>
      <c r="W256">
        <v>8</v>
      </c>
      <c r="X256">
        <v>2023</v>
      </c>
      <c r="Y256" t="s">
        <v>73</v>
      </c>
      <c r="Z256">
        <v>1</v>
      </c>
    </row>
    <row r="257" spans="1:26" x14ac:dyDescent="0.45">
      <c r="A257">
        <v>2272</v>
      </c>
      <c r="B257">
        <v>1140</v>
      </c>
      <c r="C257" t="s">
        <v>246</v>
      </c>
      <c r="D257" t="s">
        <v>42</v>
      </c>
      <c r="E257">
        <v>47</v>
      </c>
      <c r="F257">
        <v>721</v>
      </c>
      <c r="G257" t="s">
        <v>247</v>
      </c>
      <c r="H257" t="s">
        <v>85</v>
      </c>
      <c r="I257" t="s">
        <v>116</v>
      </c>
      <c r="J257" t="s">
        <v>117</v>
      </c>
      <c r="K257" t="s">
        <v>102</v>
      </c>
      <c r="L257" t="s">
        <v>76</v>
      </c>
      <c r="M257" t="s">
        <v>160</v>
      </c>
      <c r="N257" t="s">
        <v>79</v>
      </c>
      <c r="O257" t="s">
        <v>161</v>
      </c>
      <c r="P257">
        <v>4</v>
      </c>
      <c r="Q257" t="b">
        <v>1</v>
      </c>
      <c r="R257" s="1">
        <v>45034.53402777778</v>
      </c>
      <c r="S257" s="1">
        <v>45036.350694444445</v>
      </c>
      <c r="T257" t="s">
        <v>32</v>
      </c>
      <c r="U257" t="b">
        <v>0</v>
      </c>
      <c r="V257" s="2">
        <v>45034.53402777778</v>
      </c>
      <c r="W257">
        <v>4</v>
      </c>
      <c r="X257">
        <v>2023</v>
      </c>
      <c r="Y257" t="s">
        <v>85</v>
      </c>
      <c r="Z257">
        <v>4</v>
      </c>
    </row>
    <row r="258" spans="1:26" x14ac:dyDescent="0.45">
      <c r="A258">
        <v>2273</v>
      </c>
      <c r="B258">
        <v>1185</v>
      </c>
      <c r="C258" t="s">
        <v>248</v>
      </c>
      <c r="D258" t="s">
        <v>22</v>
      </c>
      <c r="E258">
        <v>49</v>
      </c>
      <c r="F258">
        <v>701</v>
      </c>
      <c r="G258" t="s">
        <v>249</v>
      </c>
      <c r="H258" t="s">
        <v>35</v>
      </c>
      <c r="I258" t="s">
        <v>36</v>
      </c>
      <c r="J258" t="s">
        <v>36</v>
      </c>
      <c r="K258" t="s">
        <v>37</v>
      </c>
      <c r="L258" t="s">
        <v>76</v>
      </c>
      <c r="M258" t="s">
        <v>126</v>
      </c>
      <c r="N258" t="s">
        <v>98</v>
      </c>
      <c r="O258" t="s">
        <v>99</v>
      </c>
      <c r="P258">
        <v>4</v>
      </c>
      <c r="Q258" t="b">
        <v>1</v>
      </c>
      <c r="R258" s="1">
        <v>44310.820138888892</v>
      </c>
      <c r="S258" s="1">
        <v>44314.494444444441</v>
      </c>
      <c r="T258" t="s">
        <v>32</v>
      </c>
      <c r="U258" t="b">
        <v>0</v>
      </c>
      <c r="V258" s="2">
        <v>44310.820138888892</v>
      </c>
      <c r="W258">
        <v>4</v>
      </c>
      <c r="X258">
        <v>2021</v>
      </c>
      <c r="Y258" t="s">
        <v>35</v>
      </c>
      <c r="Z258">
        <v>4</v>
      </c>
    </row>
    <row r="259" spans="1:26" x14ac:dyDescent="0.45">
      <c r="A259">
        <v>2274</v>
      </c>
      <c r="B259">
        <v>1362</v>
      </c>
      <c r="C259" t="s">
        <v>250</v>
      </c>
      <c r="D259" t="s">
        <v>22</v>
      </c>
      <c r="E259">
        <v>62</v>
      </c>
      <c r="F259">
        <v>753</v>
      </c>
      <c r="G259" t="s">
        <v>251</v>
      </c>
      <c r="H259" t="s">
        <v>129</v>
      </c>
      <c r="I259" t="s">
        <v>130</v>
      </c>
      <c r="J259" t="s">
        <v>252</v>
      </c>
      <c r="K259" t="s">
        <v>37</v>
      </c>
      <c r="L259" t="s">
        <v>76</v>
      </c>
      <c r="M259" t="s">
        <v>126</v>
      </c>
      <c r="N259" t="s">
        <v>98</v>
      </c>
      <c r="O259" t="s">
        <v>99</v>
      </c>
      <c r="P259">
        <v>5</v>
      </c>
      <c r="Q259" t="b">
        <v>1</v>
      </c>
      <c r="R259" s="1">
        <v>45231.186805555553</v>
      </c>
      <c r="S259" s="1">
        <v>45236.588194444441</v>
      </c>
      <c r="T259" t="s">
        <v>60</v>
      </c>
      <c r="U259" t="b">
        <v>0</v>
      </c>
      <c r="V259" s="2">
        <v>45231.186805555553</v>
      </c>
      <c r="W259">
        <v>11</v>
      </c>
      <c r="X259">
        <v>2023</v>
      </c>
      <c r="Y259" t="s">
        <v>129</v>
      </c>
      <c r="Z259">
        <v>5</v>
      </c>
    </row>
    <row r="260" spans="1:26" x14ac:dyDescent="0.45">
      <c r="A260">
        <v>2275</v>
      </c>
      <c r="B260">
        <v>1260</v>
      </c>
      <c r="C260" t="s">
        <v>253</v>
      </c>
      <c r="D260" t="s">
        <v>22</v>
      </c>
      <c r="E260">
        <v>32</v>
      </c>
      <c r="F260">
        <v>694</v>
      </c>
      <c r="G260" t="s">
        <v>254</v>
      </c>
      <c r="H260" t="s">
        <v>172</v>
      </c>
      <c r="I260" t="s">
        <v>177</v>
      </c>
      <c r="J260" t="s">
        <v>202</v>
      </c>
      <c r="K260" t="s">
        <v>102</v>
      </c>
      <c r="L260" t="s">
        <v>96</v>
      </c>
      <c r="M260" t="s">
        <v>97</v>
      </c>
      <c r="N260" t="s">
        <v>98</v>
      </c>
      <c r="O260" t="s">
        <v>99</v>
      </c>
      <c r="P260">
        <v>5</v>
      </c>
      <c r="Q260" t="b">
        <v>0</v>
      </c>
      <c r="R260" s="1">
        <v>44426.518750000003</v>
      </c>
      <c r="V260" s="2">
        <v>44426.518750000003</v>
      </c>
      <c r="W260">
        <v>8</v>
      </c>
      <c r="X260">
        <v>2021</v>
      </c>
      <c r="Y260" t="s">
        <v>172</v>
      </c>
      <c r="Z260">
        <v>5</v>
      </c>
    </row>
    <row r="261" spans="1:26" x14ac:dyDescent="0.45">
      <c r="A261">
        <v>2276</v>
      </c>
      <c r="B261">
        <v>1389</v>
      </c>
      <c r="C261" t="s">
        <v>255</v>
      </c>
      <c r="D261" t="s">
        <v>22</v>
      </c>
      <c r="E261">
        <v>69</v>
      </c>
      <c r="F261">
        <v>748</v>
      </c>
      <c r="G261" t="s">
        <v>256</v>
      </c>
      <c r="H261" t="s">
        <v>73</v>
      </c>
      <c r="I261" t="s">
        <v>74</v>
      </c>
      <c r="J261" t="s">
        <v>75</v>
      </c>
      <c r="K261" t="s">
        <v>27</v>
      </c>
      <c r="L261" t="s">
        <v>28</v>
      </c>
      <c r="M261" t="s">
        <v>29</v>
      </c>
      <c r="N261" t="s">
        <v>30</v>
      </c>
      <c r="O261" t="s">
        <v>31</v>
      </c>
      <c r="P261">
        <v>4</v>
      </c>
      <c r="Q261" t="b">
        <v>1</v>
      </c>
      <c r="R261" s="1">
        <v>44914.442361111112</v>
      </c>
      <c r="S261" s="1">
        <v>44915.689583333333</v>
      </c>
      <c r="T261" t="s">
        <v>109</v>
      </c>
      <c r="U261" t="b">
        <v>0</v>
      </c>
      <c r="V261" s="2">
        <v>44914.442361111112</v>
      </c>
      <c r="W261">
        <v>12</v>
      </c>
      <c r="X261">
        <v>2022</v>
      </c>
      <c r="Y261" t="s">
        <v>73</v>
      </c>
      <c r="Z261">
        <v>4</v>
      </c>
    </row>
    <row r="262" spans="1:26" x14ac:dyDescent="0.45">
      <c r="A262">
        <v>2277</v>
      </c>
      <c r="B262">
        <v>1184</v>
      </c>
      <c r="C262" t="s">
        <v>257</v>
      </c>
      <c r="D262" t="s">
        <v>22</v>
      </c>
      <c r="E262">
        <v>26</v>
      </c>
      <c r="F262">
        <v>637</v>
      </c>
      <c r="G262" t="s">
        <v>258</v>
      </c>
      <c r="H262" t="s">
        <v>35</v>
      </c>
      <c r="I262" t="s">
        <v>36</v>
      </c>
      <c r="J262" t="s">
        <v>123</v>
      </c>
      <c r="K262" t="s">
        <v>66</v>
      </c>
      <c r="L262" t="s">
        <v>76</v>
      </c>
      <c r="M262" t="s">
        <v>160</v>
      </c>
      <c r="N262" t="s">
        <v>79</v>
      </c>
      <c r="O262" t="s">
        <v>161</v>
      </c>
      <c r="P262">
        <v>4</v>
      </c>
      <c r="Q262" t="b">
        <v>0</v>
      </c>
      <c r="R262" s="1">
        <v>44754.123611111114</v>
      </c>
      <c r="V262" s="2">
        <v>44754.123611111114</v>
      </c>
      <c r="W262">
        <v>7</v>
      </c>
      <c r="X262">
        <v>2022</v>
      </c>
      <c r="Y262" t="s">
        <v>35</v>
      </c>
      <c r="Z262">
        <v>4</v>
      </c>
    </row>
    <row r="263" spans="1:26" x14ac:dyDescent="0.45">
      <c r="A263">
        <v>2278</v>
      </c>
      <c r="B263">
        <v>1127</v>
      </c>
      <c r="C263" t="s">
        <v>259</v>
      </c>
      <c r="D263" t="s">
        <v>22</v>
      </c>
      <c r="E263">
        <v>71</v>
      </c>
      <c r="F263">
        <v>752</v>
      </c>
      <c r="G263" t="s">
        <v>260</v>
      </c>
      <c r="H263" t="s">
        <v>73</v>
      </c>
      <c r="I263" t="s">
        <v>74</v>
      </c>
      <c r="J263" t="s">
        <v>245</v>
      </c>
      <c r="K263" t="s">
        <v>27</v>
      </c>
      <c r="L263" t="s">
        <v>28</v>
      </c>
      <c r="M263" t="s">
        <v>142</v>
      </c>
      <c r="N263" t="s">
        <v>143</v>
      </c>
      <c r="O263" t="s">
        <v>144</v>
      </c>
      <c r="P263">
        <v>3</v>
      </c>
      <c r="Q263" t="b">
        <v>1</v>
      </c>
      <c r="R263" s="1">
        <v>44380.751388888886</v>
      </c>
      <c r="S263" s="1">
        <v>44383.241666666669</v>
      </c>
      <c r="T263" t="s">
        <v>32</v>
      </c>
      <c r="U263" t="b">
        <v>0</v>
      </c>
      <c r="V263" s="2">
        <v>44380.751388888886</v>
      </c>
      <c r="W263">
        <v>7</v>
      </c>
      <c r="X263">
        <v>2021</v>
      </c>
      <c r="Y263" t="s">
        <v>73</v>
      </c>
      <c r="Z263">
        <v>3</v>
      </c>
    </row>
    <row r="264" spans="1:26" x14ac:dyDescent="0.45">
      <c r="A264">
        <v>2279</v>
      </c>
      <c r="B264">
        <v>1327</v>
      </c>
      <c r="C264" t="s">
        <v>261</v>
      </c>
      <c r="D264" t="s">
        <v>42</v>
      </c>
      <c r="E264">
        <v>20</v>
      </c>
      <c r="F264">
        <v>649</v>
      </c>
      <c r="G264" t="s">
        <v>262</v>
      </c>
      <c r="H264" t="s">
        <v>129</v>
      </c>
      <c r="I264" t="s">
        <v>263</v>
      </c>
      <c r="J264" t="s">
        <v>264</v>
      </c>
      <c r="K264" t="s">
        <v>37</v>
      </c>
      <c r="L264" t="s">
        <v>28</v>
      </c>
      <c r="M264" t="s">
        <v>38</v>
      </c>
      <c r="N264" t="s">
        <v>31</v>
      </c>
      <c r="O264" t="s">
        <v>39</v>
      </c>
      <c r="P264">
        <v>4</v>
      </c>
      <c r="Q264" t="b">
        <v>1</v>
      </c>
      <c r="R264" s="1">
        <v>44049.362500000003</v>
      </c>
      <c r="S264" s="1">
        <v>44055.130555555559</v>
      </c>
      <c r="T264" t="s">
        <v>60</v>
      </c>
      <c r="U264" t="b">
        <v>0</v>
      </c>
      <c r="V264" s="2">
        <v>44049.362500000003</v>
      </c>
      <c r="W264">
        <v>8</v>
      </c>
      <c r="X264">
        <v>2020</v>
      </c>
      <c r="Y264" t="s">
        <v>129</v>
      </c>
      <c r="Z264">
        <v>4</v>
      </c>
    </row>
    <row r="265" spans="1:26" x14ac:dyDescent="0.45">
      <c r="A265">
        <v>2280</v>
      </c>
      <c r="B265">
        <v>1244</v>
      </c>
      <c r="C265" t="s">
        <v>265</v>
      </c>
      <c r="D265" t="s">
        <v>42</v>
      </c>
      <c r="E265">
        <v>71</v>
      </c>
      <c r="F265">
        <v>748</v>
      </c>
      <c r="G265" t="s">
        <v>266</v>
      </c>
      <c r="H265" t="s">
        <v>85</v>
      </c>
      <c r="I265" t="s">
        <v>86</v>
      </c>
      <c r="J265" t="s">
        <v>87</v>
      </c>
      <c r="K265" t="s">
        <v>55</v>
      </c>
      <c r="L265" t="s">
        <v>96</v>
      </c>
      <c r="M265" t="s">
        <v>103</v>
      </c>
      <c r="N265" t="s">
        <v>31</v>
      </c>
      <c r="O265" t="s">
        <v>104</v>
      </c>
      <c r="P265">
        <v>2</v>
      </c>
      <c r="Q265" t="b">
        <v>1</v>
      </c>
      <c r="R265" s="1">
        <v>43897.197916666664</v>
      </c>
      <c r="S265" s="1">
        <v>43898.629861111112</v>
      </c>
      <c r="T265" t="s">
        <v>60</v>
      </c>
      <c r="U265" t="b">
        <v>0</v>
      </c>
      <c r="V265" s="2">
        <v>43897.197916666664</v>
      </c>
      <c r="W265">
        <v>3</v>
      </c>
      <c r="X265">
        <v>2020</v>
      </c>
      <c r="Y265" t="s">
        <v>85</v>
      </c>
      <c r="Z265">
        <v>2</v>
      </c>
    </row>
    <row r="266" spans="1:26" x14ac:dyDescent="0.45">
      <c r="A266">
        <v>2281</v>
      </c>
      <c r="B266">
        <v>1226</v>
      </c>
      <c r="C266" t="s">
        <v>267</v>
      </c>
      <c r="D266" t="s">
        <v>42</v>
      </c>
      <c r="E266">
        <v>22</v>
      </c>
      <c r="F266">
        <v>656</v>
      </c>
      <c r="G266" t="s">
        <v>268</v>
      </c>
      <c r="H266" t="s">
        <v>52</v>
      </c>
      <c r="I266" t="s">
        <v>150</v>
      </c>
      <c r="J266" t="s">
        <v>151</v>
      </c>
      <c r="K266" t="s">
        <v>66</v>
      </c>
      <c r="L266" t="s">
        <v>67</v>
      </c>
      <c r="M266" t="s">
        <v>233</v>
      </c>
      <c r="N266" t="s">
        <v>89</v>
      </c>
      <c r="O266" t="s">
        <v>90</v>
      </c>
      <c r="P266">
        <v>5</v>
      </c>
      <c r="Q266" t="b">
        <v>1</v>
      </c>
      <c r="R266" s="1">
        <v>44725.511805555558</v>
      </c>
      <c r="S266" s="1">
        <v>44731.73541666667</v>
      </c>
      <c r="T266" t="s">
        <v>32</v>
      </c>
      <c r="U266" t="b">
        <v>0</v>
      </c>
      <c r="V266" s="2">
        <v>44725.511805555558</v>
      </c>
      <c r="W266">
        <v>6</v>
      </c>
      <c r="X266">
        <v>2022</v>
      </c>
      <c r="Y266" t="s">
        <v>52</v>
      </c>
      <c r="Z266">
        <v>5</v>
      </c>
    </row>
    <row r="267" spans="1:26" x14ac:dyDescent="0.45">
      <c r="A267">
        <v>2282</v>
      </c>
      <c r="B267">
        <v>1000</v>
      </c>
      <c r="C267" t="s">
        <v>83</v>
      </c>
      <c r="D267" t="s">
        <v>22</v>
      </c>
      <c r="E267">
        <v>74</v>
      </c>
      <c r="F267">
        <v>747</v>
      </c>
      <c r="G267" t="s">
        <v>84</v>
      </c>
      <c r="H267" t="s">
        <v>85</v>
      </c>
      <c r="I267" t="s">
        <v>86</v>
      </c>
      <c r="J267" t="s">
        <v>87</v>
      </c>
      <c r="K267" t="s">
        <v>27</v>
      </c>
      <c r="L267" t="s">
        <v>56</v>
      </c>
      <c r="M267" t="s">
        <v>57</v>
      </c>
      <c r="N267" t="s">
        <v>58</v>
      </c>
      <c r="O267" t="s">
        <v>59</v>
      </c>
      <c r="P267">
        <v>2</v>
      </c>
      <c r="Q267" t="b">
        <v>1</v>
      </c>
      <c r="R267" s="1">
        <v>44322.76458333333</v>
      </c>
      <c r="S267" s="1">
        <v>44329.171527777777</v>
      </c>
      <c r="T267" t="s">
        <v>32</v>
      </c>
      <c r="U267" t="b">
        <v>0</v>
      </c>
      <c r="V267" s="2">
        <v>44322.76458333333</v>
      </c>
      <c r="W267">
        <v>5</v>
      </c>
      <c r="X267">
        <v>2021</v>
      </c>
      <c r="Y267" t="s">
        <v>85</v>
      </c>
      <c r="Z267">
        <v>2</v>
      </c>
    </row>
    <row r="268" spans="1:26" x14ac:dyDescent="0.45">
      <c r="A268">
        <v>2283</v>
      </c>
      <c r="B268">
        <v>1243</v>
      </c>
      <c r="C268" t="s">
        <v>269</v>
      </c>
      <c r="D268" t="s">
        <v>42</v>
      </c>
      <c r="E268">
        <v>14</v>
      </c>
      <c r="H268" t="s">
        <v>73</v>
      </c>
      <c r="I268" t="s">
        <v>140</v>
      </c>
      <c r="J268" t="s">
        <v>213</v>
      </c>
      <c r="K268" t="s">
        <v>27</v>
      </c>
      <c r="L268" t="s">
        <v>56</v>
      </c>
      <c r="M268" t="s">
        <v>197</v>
      </c>
      <c r="N268" t="s">
        <v>198</v>
      </c>
      <c r="O268" t="s">
        <v>199</v>
      </c>
      <c r="P268">
        <v>2</v>
      </c>
      <c r="Q268" t="b">
        <v>0</v>
      </c>
      <c r="R268" s="1">
        <v>44200.666666666664</v>
      </c>
      <c r="V268" s="2">
        <v>44200.666666666664</v>
      </c>
      <c r="W268">
        <v>1</v>
      </c>
      <c r="X268">
        <v>2021</v>
      </c>
      <c r="Y268" t="s">
        <v>73</v>
      </c>
      <c r="Z268">
        <v>2</v>
      </c>
    </row>
    <row r="269" spans="1:26" x14ac:dyDescent="0.45">
      <c r="A269">
        <v>2284</v>
      </c>
      <c r="B269">
        <v>1344</v>
      </c>
      <c r="C269" t="s">
        <v>270</v>
      </c>
      <c r="D269" t="s">
        <v>22</v>
      </c>
      <c r="E269">
        <v>63</v>
      </c>
      <c r="F269">
        <v>749</v>
      </c>
      <c r="G269" t="s">
        <v>271</v>
      </c>
      <c r="H269" t="s">
        <v>129</v>
      </c>
      <c r="I269" t="s">
        <v>130</v>
      </c>
      <c r="J269" t="s">
        <v>272</v>
      </c>
      <c r="K269" t="s">
        <v>102</v>
      </c>
      <c r="L269" t="s">
        <v>56</v>
      </c>
      <c r="M269" t="s">
        <v>179</v>
      </c>
      <c r="N269" t="s">
        <v>79</v>
      </c>
      <c r="O269" t="s">
        <v>161</v>
      </c>
      <c r="P269">
        <v>4</v>
      </c>
      <c r="Q269" t="b">
        <v>1</v>
      </c>
      <c r="R269" s="1">
        <v>44591.486805555556</v>
      </c>
      <c r="S269" s="1">
        <v>44597.668055555558</v>
      </c>
      <c r="T269" t="s">
        <v>40</v>
      </c>
      <c r="U269" t="b">
        <v>0</v>
      </c>
      <c r="V269" s="2">
        <v>44591.486805555556</v>
      </c>
      <c r="W269">
        <v>1</v>
      </c>
      <c r="X269">
        <v>2022</v>
      </c>
      <c r="Y269" t="s">
        <v>129</v>
      </c>
      <c r="Z269">
        <v>4</v>
      </c>
    </row>
    <row r="270" spans="1:26" x14ac:dyDescent="0.45">
      <c r="A270">
        <v>2285</v>
      </c>
      <c r="B270">
        <v>1435</v>
      </c>
      <c r="C270" t="s">
        <v>273</v>
      </c>
      <c r="D270" t="s">
        <v>22</v>
      </c>
      <c r="E270">
        <v>52</v>
      </c>
      <c r="F270">
        <v>715</v>
      </c>
      <c r="G270" t="s">
        <v>274</v>
      </c>
      <c r="H270" t="s">
        <v>172</v>
      </c>
      <c r="I270" t="s">
        <v>177</v>
      </c>
      <c r="J270" t="s">
        <v>178</v>
      </c>
      <c r="K270" t="s">
        <v>55</v>
      </c>
      <c r="L270" t="s">
        <v>76</v>
      </c>
      <c r="M270" t="s">
        <v>77</v>
      </c>
      <c r="N270" t="s">
        <v>78</v>
      </c>
      <c r="O270" t="s">
        <v>79</v>
      </c>
      <c r="P270">
        <v>3</v>
      </c>
      <c r="Q270" t="b">
        <v>0</v>
      </c>
      <c r="R270" s="1">
        <v>44003.80972222222</v>
      </c>
      <c r="V270" s="2">
        <v>44003.80972222222</v>
      </c>
      <c r="W270">
        <v>6</v>
      </c>
      <c r="X270">
        <v>2020</v>
      </c>
      <c r="Y270" t="s">
        <v>172</v>
      </c>
      <c r="Z270">
        <v>3</v>
      </c>
    </row>
    <row r="271" spans="1:26" x14ac:dyDescent="0.45">
      <c r="A271">
        <v>2286</v>
      </c>
      <c r="B271">
        <v>1024</v>
      </c>
      <c r="C271" t="s">
        <v>275</v>
      </c>
      <c r="D271" t="s">
        <v>42</v>
      </c>
      <c r="E271">
        <v>53</v>
      </c>
      <c r="F271">
        <v>730</v>
      </c>
      <c r="G271" t="s">
        <v>207</v>
      </c>
      <c r="H271" t="s">
        <v>129</v>
      </c>
      <c r="I271" t="s">
        <v>130</v>
      </c>
      <c r="J271" t="s">
        <v>252</v>
      </c>
      <c r="K271" t="s">
        <v>66</v>
      </c>
      <c r="L271" t="s">
        <v>56</v>
      </c>
      <c r="M271" t="s">
        <v>197</v>
      </c>
      <c r="N271" t="s">
        <v>198</v>
      </c>
      <c r="O271" t="s">
        <v>199</v>
      </c>
      <c r="P271">
        <v>4</v>
      </c>
      <c r="Q271" t="b">
        <v>1</v>
      </c>
      <c r="R271" s="1">
        <v>44270.984722222223</v>
      </c>
      <c r="S271" s="1">
        <v>44277.51458333333</v>
      </c>
      <c r="T271" t="s">
        <v>60</v>
      </c>
      <c r="U271" t="b">
        <v>0</v>
      </c>
      <c r="V271" s="2">
        <v>44270.984722222223</v>
      </c>
      <c r="W271">
        <v>3</v>
      </c>
      <c r="X271">
        <v>2021</v>
      </c>
      <c r="Y271" t="s">
        <v>129</v>
      </c>
      <c r="Z271">
        <v>4</v>
      </c>
    </row>
    <row r="272" spans="1:26" x14ac:dyDescent="0.45">
      <c r="A272">
        <v>2287</v>
      </c>
      <c r="B272">
        <v>1104</v>
      </c>
      <c r="C272" t="s">
        <v>276</v>
      </c>
      <c r="D272" t="s">
        <v>42</v>
      </c>
      <c r="E272">
        <v>79</v>
      </c>
      <c r="F272">
        <v>760</v>
      </c>
      <c r="G272" t="s">
        <v>277</v>
      </c>
      <c r="H272" t="s">
        <v>129</v>
      </c>
      <c r="I272" t="s">
        <v>263</v>
      </c>
      <c r="J272" t="s">
        <v>278</v>
      </c>
      <c r="K272" t="s">
        <v>37</v>
      </c>
      <c r="L272" t="s">
        <v>28</v>
      </c>
      <c r="M272" t="s">
        <v>142</v>
      </c>
      <c r="N272" t="s">
        <v>143</v>
      </c>
      <c r="O272" t="s">
        <v>144</v>
      </c>
      <c r="P272">
        <v>1</v>
      </c>
      <c r="Q272" t="b">
        <v>1</v>
      </c>
      <c r="R272" s="1">
        <v>44197.611111111109</v>
      </c>
      <c r="S272" s="1">
        <v>44204.591666666667</v>
      </c>
      <c r="T272" t="s">
        <v>60</v>
      </c>
      <c r="U272" t="b">
        <v>0</v>
      </c>
      <c r="V272" s="2">
        <v>44197.611111111109</v>
      </c>
      <c r="W272">
        <v>1</v>
      </c>
      <c r="X272">
        <v>2021</v>
      </c>
      <c r="Y272" t="s">
        <v>129</v>
      </c>
      <c r="Z272">
        <v>1</v>
      </c>
    </row>
    <row r="273" spans="1:26" x14ac:dyDescent="0.45">
      <c r="A273">
        <v>2288</v>
      </c>
      <c r="B273">
        <v>1218</v>
      </c>
      <c r="C273" t="s">
        <v>152</v>
      </c>
      <c r="D273" t="s">
        <v>22</v>
      </c>
      <c r="E273">
        <v>71</v>
      </c>
      <c r="F273">
        <v>752</v>
      </c>
      <c r="G273" t="s">
        <v>153</v>
      </c>
      <c r="H273" t="s">
        <v>85</v>
      </c>
      <c r="I273" t="s">
        <v>116</v>
      </c>
      <c r="J273" t="s">
        <v>154</v>
      </c>
      <c r="K273" t="s">
        <v>102</v>
      </c>
      <c r="L273" t="s">
        <v>56</v>
      </c>
      <c r="M273" t="s">
        <v>197</v>
      </c>
      <c r="N273" t="s">
        <v>198</v>
      </c>
      <c r="O273" t="s">
        <v>199</v>
      </c>
      <c r="P273">
        <v>2</v>
      </c>
      <c r="Q273" t="b">
        <v>0</v>
      </c>
      <c r="R273" s="1">
        <v>43889.500694444447</v>
      </c>
      <c r="V273" s="2">
        <v>43889.500694444447</v>
      </c>
      <c r="W273">
        <v>2</v>
      </c>
      <c r="X273">
        <v>2020</v>
      </c>
      <c r="Y273" t="s">
        <v>85</v>
      </c>
      <c r="Z273">
        <v>2</v>
      </c>
    </row>
    <row r="274" spans="1:26" x14ac:dyDescent="0.45">
      <c r="A274">
        <v>2289</v>
      </c>
      <c r="B274">
        <v>1051</v>
      </c>
      <c r="C274" t="s">
        <v>279</v>
      </c>
      <c r="D274" t="s">
        <v>42</v>
      </c>
      <c r="E274">
        <v>41</v>
      </c>
      <c r="F274">
        <v>697</v>
      </c>
      <c r="G274" t="s">
        <v>280</v>
      </c>
      <c r="H274" t="s">
        <v>63</v>
      </c>
      <c r="I274" t="s">
        <v>64</v>
      </c>
      <c r="J274" t="s">
        <v>281</v>
      </c>
      <c r="K274" t="s">
        <v>46</v>
      </c>
      <c r="L274" t="s">
        <v>96</v>
      </c>
      <c r="M274" t="s">
        <v>97</v>
      </c>
      <c r="N274" t="s">
        <v>98</v>
      </c>
      <c r="O274" t="s">
        <v>99</v>
      </c>
      <c r="P274">
        <v>5</v>
      </c>
      <c r="Q274" t="b">
        <v>1</v>
      </c>
      <c r="R274" s="1">
        <v>44040.173611111109</v>
      </c>
      <c r="S274" s="1">
        <v>44040.45416666667</v>
      </c>
      <c r="T274" t="s">
        <v>40</v>
      </c>
      <c r="U274" t="b">
        <v>0</v>
      </c>
      <c r="V274" s="2">
        <v>44040.173611111109</v>
      </c>
      <c r="W274">
        <v>7</v>
      </c>
      <c r="X274">
        <v>2020</v>
      </c>
      <c r="Y274" t="s">
        <v>63</v>
      </c>
      <c r="Z274">
        <v>5</v>
      </c>
    </row>
    <row r="275" spans="1:26" x14ac:dyDescent="0.45">
      <c r="A275">
        <v>2290</v>
      </c>
      <c r="B275">
        <v>1025</v>
      </c>
      <c r="C275" t="s">
        <v>282</v>
      </c>
      <c r="D275" t="s">
        <v>42</v>
      </c>
      <c r="E275">
        <v>76</v>
      </c>
      <c r="F275">
        <v>742</v>
      </c>
      <c r="G275" t="s">
        <v>283</v>
      </c>
      <c r="H275" t="s">
        <v>52</v>
      </c>
      <c r="I275" t="s">
        <v>53</v>
      </c>
      <c r="J275" t="s">
        <v>284</v>
      </c>
      <c r="K275" t="s">
        <v>102</v>
      </c>
      <c r="L275" t="s">
        <v>76</v>
      </c>
      <c r="M275" t="s">
        <v>77</v>
      </c>
      <c r="N275" t="s">
        <v>78</v>
      </c>
      <c r="O275" t="s">
        <v>79</v>
      </c>
      <c r="P275">
        <v>5</v>
      </c>
      <c r="Q275" t="b">
        <v>1</v>
      </c>
      <c r="R275" s="1">
        <v>43989.134722222225</v>
      </c>
      <c r="S275" s="1">
        <v>43994.979166666664</v>
      </c>
      <c r="T275" t="s">
        <v>60</v>
      </c>
      <c r="U275" t="b">
        <v>0</v>
      </c>
      <c r="V275" s="2">
        <v>43989.134722222225</v>
      </c>
      <c r="W275">
        <v>6</v>
      </c>
      <c r="X275">
        <v>2020</v>
      </c>
      <c r="Y275" t="s">
        <v>52</v>
      </c>
      <c r="Z275">
        <v>5</v>
      </c>
    </row>
    <row r="276" spans="1:26" x14ac:dyDescent="0.45">
      <c r="A276">
        <v>2291</v>
      </c>
      <c r="B276">
        <v>1278</v>
      </c>
      <c r="C276" t="s">
        <v>61</v>
      </c>
      <c r="D276" t="s">
        <v>42</v>
      </c>
      <c r="E276">
        <v>18</v>
      </c>
      <c r="F276">
        <v>607</v>
      </c>
      <c r="G276" t="s">
        <v>62</v>
      </c>
      <c r="H276" t="s">
        <v>63</v>
      </c>
      <c r="I276" t="s">
        <v>64</v>
      </c>
      <c r="J276" t="s">
        <v>65</v>
      </c>
      <c r="K276" t="s">
        <v>27</v>
      </c>
      <c r="L276" t="s">
        <v>96</v>
      </c>
      <c r="M276" t="s">
        <v>97</v>
      </c>
      <c r="N276" t="s">
        <v>98</v>
      </c>
      <c r="O276" t="s">
        <v>99</v>
      </c>
      <c r="P276">
        <v>4</v>
      </c>
      <c r="Q276" t="b">
        <v>1</v>
      </c>
      <c r="R276" s="1">
        <v>44456.839583333334</v>
      </c>
      <c r="S276" s="1">
        <v>44457.065972222219</v>
      </c>
      <c r="T276" t="s">
        <v>109</v>
      </c>
      <c r="U276" t="b">
        <v>0</v>
      </c>
      <c r="V276" s="2">
        <v>44456.839583333334</v>
      </c>
      <c r="W276">
        <v>9</v>
      </c>
      <c r="X276">
        <v>2021</v>
      </c>
      <c r="Y276" t="s">
        <v>63</v>
      </c>
      <c r="Z276">
        <v>4</v>
      </c>
    </row>
    <row r="277" spans="1:26" x14ac:dyDescent="0.45">
      <c r="A277">
        <v>2292</v>
      </c>
      <c r="B277">
        <v>1418</v>
      </c>
      <c r="C277" t="s">
        <v>285</v>
      </c>
      <c r="D277" t="s">
        <v>22</v>
      </c>
      <c r="E277">
        <v>28</v>
      </c>
      <c r="F277">
        <v>682</v>
      </c>
      <c r="G277" t="s">
        <v>286</v>
      </c>
      <c r="H277" t="s">
        <v>35</v>
      </c>
      <c r="I277" t="s">
        <v>122</v>
      </c>
      <c r="J277" t="s">
        <v>135</v>
      </c>
      <c r="K277" t="s">
        <v>37</v>
      </c>
      <c r="L277" t="s">
        <v>76</v>
      </c>
      <c r="M277" t="s">
        <v>77</v>
      </c>
      <c r="N277" t="s">
        <v>78</v>
      </c>
      <c r="O277" t="s">
        <v>79</v>
      </c>
      <c r="P277">
        <v>2</v>
      </c>
      <c r="Q277" t="b">
        <v>1</v>
      </c>
      <c r="R277" s="1">
        <v>43878.029861111114</v>
      </c>
      <c r="S277" s="1">
        <v>43878.411805555559</v>
      </c>
      <c r="T277" t="s">
        <v>40</v>
      </c>
      <c r="U277" t="b">
        <v>0</v>
      </c>
      <c r="V277" s="2">
        <v>43878.029861111114</v>
      </c>
      <c r="W277">
        <v>2</v>
      </c>
      <c r="X277">
        <v>2020</v>
      </c>
      <c r="Y277" t="s">
        <v>35</v>
      </c>
      <c r="Z277">
        <v>2</v>
      </c>
    </row>
    <row r="278" spans="1:26" x14ac:dyDescent="0.45">
      <c r="A278">
        <v>2293</v>
      </c>
      <c r="B278">
        <v>1453</v>
      </c>
      <c r="C278" t="s">
        <v>287</v>
      </c>
      <c r="D278" t="s">
        <v>22</v>
      </c>
      <c r="E278">
        <v>15</v>
      </c>
      <c r="H278" t="s">
        <v>52</v>
      </c>
      <c r="I278" t="s">
        <v>53</v>
      </c>
      <c r="J278" t="s">
        <v>54</v>
      </c>
      <c r="K278" t="s">
        <v>102</v>
      </c>
      <c r="L278" t="s">
        <v>76</v>
      </c>
      <c r="M278" t="s">
        <v>77</v>
      </c>
      <c r="N278" t="s">
        <v>78</v>
      </c>
      <c r="O278" t="s">
        <v>79</v>
      </c>
      <c r="P278">
        <v>1</v>
      </c>
      <c r="Q278" t="b">
        <v>1</v>
      </c>
      <c r="R278" s="1">
        <v>44873.742361111108</v>
      </c>
      <c r="S278" s="1">
        <v>44876.929166666669</v>
      </c>
      <c r="T278" t="s">
        <v>60</v>
      </c>
      <c r="U278" t="b">
        <v>0</v>
      </c>
      <c r="V278" s="2">
        <v>44873.742361111108</v>
      </c>
      <c r="W278">
        <v>11</v>
      </c>
      <c r="X278">
        <v>2022</v>
      </c>
      <c r="Y278" t="s">
        <v>52</v>
      </c>
      <c r="Z278">
        <v>1</v>
      </c>
    </row>
    <row r="279" spans="1:26" x14ac:dyDescent="0.45">
      <c r="A279">
        <v>2294</v>
      </c>
      <c r="B279">
        <v>1481</v>
      </c>
      <c r="C279" t="s">
        <v>288</v>
      </c>
      <c r="D279" t="s">
        <v>42</v>
      </c>
      <c r="E279">
        <v>34</v>
      </c>
      <c r="F279">
        <v>697</v>
      </c>
      <c r="G279" t="s">
        <v>289</v>
      </c>
      <c r="H279" t="s">
        <v>35</v>
      </c>
      <c r="I279" t="s">
        <v>36</v>
      </c>
      <c r="J279" t="s">
        <v>123</v>
      </c>
      <c r="K279" t="s">
        <v>37</v>
      </c>
      <c r="L279" t="s">
        <v>96</v>
      </c>
      <c r="M279" t="s">
        <v>97</v>
      </c>
      <c r="N279" t="s">
        <v>98</v>
      </c>
      <c r="O279" t="s">
        <v>99</v>
      </c>
      <c r="P279">
        <v>2</v>
      </c>
      <c r="Q279" t="b">
        <v>1</v>
      </c>
      <c r="R279" s="1">
        <v>44534.132638888892</v>
      </c>
      <c r="S279" s="1">
        <v>44540.285416666666</v>
      </c>
      <c r="T279" t="s">
        <v>32</v>
      </c>
      <c r="U279" t="b">
        <v>0</v>
      </c>
      <c r="V279" s="2">
        <v>44534.132638888892</v>
      </c>
      <c r="W279">
        <v>12</v>
      </c>
      <c r="X279">
        <v>2021</v>
      </c>
      <c r="Y279" t="s">
        <v>35</v>
      </c>
      <c r="Z279">
        <v>2</v>
      </c>
    </row>
    <row r="280" spans="1:26" x14ac:dyDescent="0.45">
      <c r="A280">
        <v>2295</v>
      </c>
      <c r="B280">
        <v>1373</v>
      </c>
      <c r="C280" t="s">
        <v>206</v>
      </c>
      <c r="D280" t="s">
        <v>42</v>
      </c>
      <c r="E280">
        <v>55</v>
      </c>
      <c r="F280">
        <v>707</v>
      </c>
      <c r="G280" t="s">
        <v>207</v>
      </c>
      <c r="H280" t="s">
        <v>24</v>
      </c>
      <c r="I280" t="s">
        <v>44</v>
      </c>
      <c r="J280" t="s">
        <v>208</v>
      </c>
      <c r="K280" t="s">
        <v>46</v>
      </c>
      <c r="L280" t="s">
        <v>96</v>
      </c>
      <c r="M280" t="s">
        <v>118</v>
      </c>
      <c r="N280" t="s">
        <v>90</v>
      </c>
      <c r="O280" t="s">
        <v>119</v>
      </c>
      <c r="P280">
        <v>5</v>
      </c>
      <c r="Q280" t="b">
        <v>0</v>
      </c>
      <c r="R280" s="1">
        <v>45102.72152777778</v>
      </c>
      <c r="V280" s="2">
        <v>45102.72152777778</v>
      </c>
      <c r="W280">
        <v>6</v>
      </c>
      <c r="X280">
        <v>2023</v>
      </c>
      <c r="Y280" t="s">
        <v>24</v>
      </c>
      <c r="Z280">
        <v>5</v>
      </c>
    </row>
    <row r="281" spans="1:26" x14ac:dyDescent="0.45">
      <c r="A281">
        <v>2296</v>
      </c>
      <c r="B281">
        <v>1048</v>
      </c>
      <c r="C281" t="s">
        <v>290</v>
      </c>
      <c r="D281" t="s">
        <v>42</v>
      </c>
      <c r="E281">
        <v>28</v>
      </c>
      <c r="F281">
        <v>692</v>
      </c>
      <c r="G281" t="s">
        <v>291</v>
      </c>
      <c r="H281" t="s">
        <v>172</v>
      </c>
      <c r="I281" t="s">
        <v>177</v>
      </c>
      <c r="J281" t="s">
        <v>178</v>
      </c>
      <c r="K281" t="s">
        <v>37</v>
      </c>
      <c r="L281" t="s">
        <v>76</v>
      </c>
      <c r="M281" t="s">
        <v>132</v>
      </c>
      <c r="N281" t="s">
        <v>59</v>
      </c>
      <c r="O281" t="s">
        <v>98</v>
      </c>
      <c r="P281">
        <v>4</v>
      </c>
      <c r="Q281" t="b">
        <v>1</v>
      </c>
      <c r="R281" s="1">
        <v>44648.619444444441</v>
      </c>
      <c r="S281" s="1">
        <v>44650.238194444442</v>
      </c>
      <c r="T281" t="s">
        <v>32</v>
      </c>
      <c r="U281" t="b">
        <v>0</v>
      </c>
      <c r="V281" s="2">
        <v>44648.619444444441</v>
      </c>
      <c r="W281">
        <v>3</v>
      </c>
      <c r="X281">
        <v>2022</v>
      </c>
      <c r="Y281" t="s">
        <v>172</v>
      </c>
      <c r="Z281">
        <v>4</v>
      </c>
    </row>
    <row r="282" spans="1:26" x14ac:dyDescent="0.45">
      <c r="A282">
        <v>2297</v>
      </c>
      <c r="B282">
        <v>1226</v>
      </c>
      <c r="C282" t="s">
        <v>267</v>
      </c>
      <c r="D282" t="s">
        <v>42</v>
      </c>
      <c r="E282">
        <v>22</v>
      </c>
      <c r="F282">
        <v>656</v>
      </c>
      <c r="G282" t="s">
        <v>268</v>
      </c>
      <c r="H282" t="s">
        <v>52</v>
      </c>
      <c r="I282" t="s">
        <v>150</v>
      </c>
      <c r="J282" t="s">
        <v>151</v>
      </c>
      <c r="K282" t="s">
        <v>37</v>
      </c>
      <c r="L282" t="s">
        <v>67</v>
      </c>
      <c r="M282" t="s">
        <v>233</v>
      </c>
      <c r="N282" t="s">
        <v>89</v>
      </c>
      <c r="O282" t="s">
        <v>90</v>
      </c>
      <c r="P282">
        <v>4</v>
      </c>
      <c r="Q282" t="b">
        <v>0</v>
      </c>
      <c r="R282" s="1">
        <v>45210.332638888889</v>
      </c>
      <c r="V282" s="2">
        <v>45210.332638888889</v>
      </c>
      <c r="W282">
        <v>10</v>
      </c>
      <c r="X282">
        <v>2023</v>
      </c>
      <c r="Y282" t="s">
        <v>52</v>
      </c>
      <c r="Z282">
        <v>4</v>
      </c>
    </row>
    <row r="283" spans="1:26" x14ac:dyDescent="0.45">
      <c r="A283">
        <v>2298</v>
      </c>
      <c r="B283">
        <v>1243</v>
      </c>
      <c r="C283" t="s">
        <v>269</v>
      </c>
      <c r="D283" t="s">
        <v>42</v>
      </c>
      <c r="E283">
        <v>14</v>
      </c>
      <c r="H283" t="s">
        <v>73</v>
      </c>
      <c r="I283" t="s">
        <v>140</v>
      </c>
      <c r="J283" t="s">
        <v>213</v>
      </c>
      <c r="K283" t="s">
        <v>46</v>
      </c>
      <c r="L283" t="s">
        <v>67</v>
      </c>
      <c r="M283" t="s">
        <v>233</v>
      </c>
      <c r="N283" t="s">
        <v>89</v>
      </c>
      <c r="O283" t="s">
        <v>90</v>
      </c>
      <c r="P283">
        <v>1</v>
      </c>
      <c r="Q283" t="b">
        <v>0</v>
      </c>
      <c r="R283" s="1">
        <v>43867.267361111109</v>
      </c>
      <c r="V283" s="2">
        <v>43867.267361111109</v>
      </c>
      <c r="W283">
        <v>2</v>
      </c>
      <c r="X283">
        <v>2020</v>
      </c>
      <c r="Y283" t="s">
        <v>73</v>
      </c>
      <c r="Z283">
        <v>1</v>
      </c>
    </row>
    <row r="284" spans="1:26" x14ac:dyDescent="0.45">
      <c r="A284">
        <v>2299</v>
      </c>
      <c r="B284">
        <v>1148</v>
      </c>
      <c r="C284" t="s">
        <v>292</v>
      </c>
      <c r="D284" t="s">
        <v>22</v>
      </c>
      <c r="E284">
        <v>38</v>
      </c>
      <c r="F284">
        <v>687</v>
      </c>
      <c r="G284" t="s">
        <v>293</v>
      </c>
      <c r="H284" t="s">
        <v>129</v>
      </c>
      <c r="I284" t="s">
        <v>130</v>
      </c>
      <c r="J284" t="s">
        <v>252</v>
      </c>
      <c r="K284" t="s">
        <v>27</v>
      </c>
      <c r="L284" t="s">
        <v>67</v>
      </c>
      <c r="M284" t="s">
        <v>233</v>
      </c>
      <c r="N284" t="s">
        <v>89</v>
      </c>
      <c r="O284" t="s">
        <v>90</v>
      </c>
      <c r="P284">
        <v>1</v>
      </c>
      <c r="Q284" t="b">
        <v>1</v>
      </c>
      <c r="R284" s="1">
        <v>44365.038194444445</v>
      </c>
      <c r="S284" s="1">
        <v>44370.874305555553</v>
      </c>
      <c r="T284" t="s">
        <v>60</v>
      </c>
      <c r="U284" t="b">
        <v>0</v>
      </c>
      <c r="V284" s="2">
        <v>44365.038194444445</v>
      </c>
      <c r="W284">
        <v>6</v>
      </c>
      <c r="X284">
        <v>2021</v>
      </c>
      <c r="Y284" t="s">
        <v>129</v>
      </c>
      <c r="Z284">
        <v>1</v>
      </c>
    </row>
    <row r="285" spans="1:26" x14ac:dyDescent="0.45">
      <c r="A285">
        <v>2300</v>
      </c>
      <c r="B285">
        <v>1093</v>
      </c>
      <c r="C285" t="s">
        <v>294</v>
      </c>
      <c r="D285" t="s">
        <v>42</v>
      </c>
      <c r="E285">
        <v>28</v>
      </c>
      <c r="F285">
        <v>699</v>
      </c>
      <c r="G285" t="s">
        <v>295</v>
      </c>
      <c r="H285" t="s">
        <v>85</v>
      </c>
      <c r="I285" t="s">
        <v>116</v>
      </c>
      <c r="J285" t="s">
        <v>117</v>
      </c>
      <c r="K285" t="s">
        <v>102</v>
      </c>
      <c r="L285" t="s">
        <v>56</v>
      </c>
      <c r="M285" t="s">
        <v>197</v>
      </c>
      <c r="N285" t="s">
        <v>198</v>
      </c>
      <c r="O285" t="s">
        <v>199</v>
      </c>
      <c r="P285">
        <v>4</v>
      </c>
      <c r="Q285" t="b">
        <v>1</v>
      </c>
      <c r="R285" s="1">
        <v>44382.727777777778</v>
      </c>
      <c r="S285" s="1">
        <v>44384.429166666669</v>
      </c>
      <c r="T285" t="s">
        <v>60</v>
      </c>
      <c r="U285" t="b">
        <v>0</v>
      </c>
      <c r="V285" s="2">
        <v>44382.727777777778</v>
      </c>
      <c r="W285">
        <v>7</v>
      </c>
      <c r="X285">
        <v>2021</v>
      </c>
      <c r="Y285" t="s">
        <v>85</v>
      </c>
      <c r="Z285">
        <v>4</v>
      </c>
    </row>
    <row r="286" spans="1:26" x14ac:dyDescent="0.45">
      <c r="A286">
        <v>2301</v>
      </c>
      <c r="B286">
        <v>1258</v>
      </c>
      <c r="C286" t="s">
        <v>296</v>
      </c>
      <c r="D286" t="s">
        <v>22</v>
      </c>
      <c r="E286">
        <v>65</v>
      </c>
      <c r="F286">
        <v>751</v>
      </c>
      <c r="G286" t="s">
        <v>297</v>
      </c>
      <c r="H286" t="s">
        <v>93</v>
      </c>
      <c r="I286" t="s">
        <v>112</v>
      </c>
      <c r="J286" t="s">
        <v>242</v>
      </c>
      <c r="K286" t="s">
        <v>66</v>
      </c>
      <c r="L286" t="s">
        <v>96</v>
      </c>
      <c r="M286" t="s">
        <v>103</v>
      </c>
      <c r="N286" t="s">
        <v>31</v>
      </c>
      <c r="O286" t="s">
        <v>104</v>
      </c>
      <c r="P286">
        <v>3</v>
      </c>
      <c r="Q286" t="b">
        <v>1</v>
      </c>
      <c r="R286" s="1">
        <v>44746.636111111111</v>
      </c>
      <c r="S286" s="1">
        <v>44752.615277777775</v>
      </c>
      <c r="T286" t="s">
        <v>60</v>
      </c>
      <c r="U286" t="b">
        <v>0</v>
      </c>
      <c r="V286" s="2">
        <v>44746.636111111111</v>
      </c>
      <c r="W286">
        <v>7</v>
      </c>
      <c r="X286">
        <v>2022</v>
      </c>
      <c r="Y286" t="s">
        <v>93</v>
      </c>
      <c r="Z286">
        <v>3</v>
      </c>
    </row>
    <row r="287" spans="1:26" x14ac:dyDescent="0.45">
      <c r="A287">
        <v>2302</v>
      </c>
      <c r="B287">
        <v>1180</v>
      </c>
      <c r="C287" t="s">
        <v>298</v>
      </c>
      <c r="D287" t="s">
        <v>42</v>
      </c>
      <c r="E287">
        <v>74</v>
      </c>
      <c r="F287">
        <v>757</v>
      </c>
      <c r="G287" t="s">
        <v>299</v>
      </c>
      <c r="H287" t="s">
        <v>63</v>
      </c>
      <c r="I287" t="s">
        <v>300</v>
      </c>
      <c r="J287" t="s">
        <v>301</v>
      </c>
      <c r="K287" t="s">
        <v>55</v>
      </c>
      <c r="L287" t="s">
        <v>28</v>
      </c>
      <c r="M287" t="s">
        <v>38</v>
      </c>
      <c r="N287" t="s">
        <v>31</v>
      </c>
      <c r="O287" t="s">
        <v>39</v>
      </c>
      <c r="P287">
        <v>5</v>
      </c>
      <c r="Q287" t="b">
        <v>1</v>
      </c>
      <c r="R287" s="1">
        <v>45192.310416666667</v>
      </c>
      <c r="S287" s="1">
        <v>45196.646527777775</v>
      </c>
      <c r="T287" t="s">
        <v>109</v>
      </c>
      <c r="U287" t="b">
        <v>0</v>
      </c>
      <c r="V287" s="2">
        <v>45192.310416666667</v>
      </c>
      <c r="W287">
        <v>9</v>
      </c>
      <c r="X287">
        <v>2023</v>
      </c>
      <c r="Y287" t="s">
        <v>63</v>
      </c>
      <c r="Z287">
        <v>5</v>
      </c>
    </row>
    <row r="288" spans="1:26" x14ac:dyDescent="0.45">
      <c r="A288">
        <v>2303</v>
      </c>
      <c r="B288">
        <v>1082</v>
      </c>
      <c r="C288" t="s">
        <v>302</v>
      </c>
      <c r="D288" t="s">
        <v>42</v>
      </c>
      <c r="E288">
        <v>24</v>
      </c>
      <c r="F288">
        <v>600</v>
      </c>
      <c r="G288" t="s">
        <v>303</v>
      </c>
      <c r="H288" t="s">
        <v>73</v>
      </c>
      <c r="I288" t="s">
        <v>140</v>
      </c>
      <c r="J288" t="s">
        <v>228</v>
      </c>
      <c r="K288" t="s">
        <v>66</v>
      </c>
      <c r="L288" t="s">
        <v>96</v>
      </c>
      <c r="M288" t="s">
        <v>136</v>
      </c>
      <c r="N288" t="s">
        <v>30</v>
      </c>
      <c r="O288" t="s">
        <v>137</v>
      </c>
      <c r="P288">
        <v>2</v>
      </c>
      <c r="Q288" t="b">
        <v>1</v>
      </c>
      <c r="R288" s="1">
        <v>45125.393750000003</v>
      </c>
      <c r="S288" s="1">
        <v>45129.82708333333</v>
      </c>
      <c r="T288" t="s">
        <v>40</v>
      </c>
      <c r="U288" t="b">
        <v>0</v>
      </c>
      <c r="V288" s="2">
        <v>45125.393750000003</v>
      </c>
      <c r="W288">
        <v>7</v>
      </c>
      <c r="X288">
        <v>2023</v>
      </c>
      <c r="Y288" t="s">
        <v>73</v>
      </c>
      <c r="Z288">
        <v>2</v>
      </c>
    </row>
    <row r="289" spans="1:26" x14ac:dyDescent="0.45">
      <c r="A289">
        <v>2304</v>
      </c>
      <c r="B289">
        <v>1207</v>
      </c>
      <c r="C289" t="s">
        <v>304</v>
      </c>
      <c r="D289" t="s">
        <v>42</v>
      </c>
      <c r="E289">
        <v>37</v>
      </c>
      <c r="F289">
        <v>691</v>
      </c>
      <c r="G289" t="s">
        <v>305</v>
      </c>
      <c r="H289" t="s">
        <v>52</v>
      </c>
      <c r="I289" t="s">
        <v>150</v>
      </c>
      <c r="J289" t="s">
        <v>306</v>
      </c>
      <c r="K289" t="s">
        <v>102</v>
      </c>
      <c r="L289" t="s">
        <v>96</v>
      </c>
      <c r="M289" t="s">
        <v>103</v>
      </c>
      <c r="N289" t="s">
        <v>31</v>
      </c>
      <c r="O289" t="s">
        <v>104</v>
      </c>
      <c r="P289">
        <v>5</v>
      </c>
      <c r="Q289" t="b">
        <v>1</v>
      </c>
      <c r="R289" s="1">
        <v>44517.991666666669</v>
      </c>
      <c r="S289" s="1">
        <v>44518.584027777775</v>
      </c>
      <c r="T289" t="s">
        <v>60</v>
      </c>
      <c r="U289" t="b">
        <v>0</v>
      </c>
      <c r="V289" s="2">
        <v>44517.991666666669</v>
      </c>
      <c r="W289">
        <v>11</v>
      </c>
      <c r="X289">
        <v>2021</v>
      </c>
      <c r="Y289" t="s">
        <v>52</v>
      </c>
      <c r="Z289">
        <v>5</v>
      </c>
    </row>
    <row r="290" spans="1:26" x14ac:dyDescent="0.45">
      <c r="A290">
        <v>2305</v>
      </c>
      <c r="B290">
        <v>1288</v>
      </c>
      <c r="C290" t="s">
        <v>307</v>
      </c>
      <c r="D290" t="s">
        <v>42</v>
      </c>
      <c r="E290">
        <v>72</v>
      </c>
      <c r="F290">
        <v>756</v>
      </c>
      <c r="G290" t="s">
        <v>308</v>
      </c>
      <c r="H290" t="s">
        <v>35</v>
      </c>
      <c r="I290" t="s">
        <v>36</v>
      </c>
      <c r="J290" t="s">
        <v>36</v>
      </c>
      <c r="K290" t="s">
        <v>66</v>
      </c>
      <c r="L290" t="s">
        <v>76</v>
      </c>
      <c r="M290" t="s">
        <v>77</v>
      </c>
      <c r="N290" t="s">
        <v>78</v>
      </c>
      <c r="O290" t="s">
        <v>79</v>
      </c>
      <c r="P290">
        <v>3</v>
      </c>
      <c r="Q290" t="b">
        <v>1</v>
      </c>
      <c r="R290" s="1">
        <v>45178.844444444447</v>
      </c>
      <c r="S290" s="1">
        <v>45185.838194444441</v>
      </c>
      <c r="T290" t="s">
        <v>109</v>
      </c>
      <c r="U290" t="b">
        <v>0</v>
      </c>
      <c r="V290" s="2">
        <v>45178.844444444447</v>
      </c>
      <c r="W290">
        <v>9</v>
      </c>
      <c r="X290">
        <v>2023</v>
      </c>
      <c r="Y290" t="s">
        <v>35</v>
      </c>
      <c r="Z290">
        <v>3</v>
      </c>
    </row>
    <row r="291" spans="1:26" x14ac:dyDescent="0.45">
      <c r="A291">
        <v>2306</v>
      </c>
      <c r="B291">
        <v>1129</v>
      </c>
      <c r="C291" t="s">
        <v>309</v>
      </c>
      <c r="D291" t="s">
        <v>42</v>
      </c>
      <c r="E291">
        <v>14</v>
      </c>
      <c r="H291" t="s">
        <v>35</v>
      </c>
      <c r="I291" t="s">
        <v>36</v>
      </c>
      <c r="J291" t="s">
        <v>123</v>
      </c>
      <c r="K291" t="s">
        <v>66</v>
      </c>
      <c r="L291" t="s">
        <v>76</v>
      </c>
      <c r="M291" t="s">
        <v>132</v>
      </c>
      <c r="N291" t="s">
        <v>59</v>
      </c>
      <c r="O291" t="s">
        <v>98</v>
      </c>
      <c r="P291">
        <v>1</v>
      </c>
      <c r="Q291" t="b">
        <v>1</v>
      </c>
      <c r="R291" s="1">
        <v>44005.696527777778</v>
      </c>
      <c r="S291" s="1">
        <v>44007.135416666664</v>
      </c>
      <c r="T291" t="s">
        <v>40</v>
      </c>
      <c r="U291" t="b">
        <v>0</v>
      </c>
      <c r="V291" s="2">
        <v>44005.696527777778</v>
      </c>
      <c r="W291">
        <v>6</v>
      </c>
      <c r="X291">
        <v>2020</v>
      </c>
      <c r="Y291" t="s">
        <v>35</v>
      </c>
      <c r="Z291">
        <v>1</v>
      </c>
    </row>
    <row r="292" spans="1:26" x14ac:dyDescent="0.45">
      <c r="A292">
        <v>2307</v>
      </c>
      <c r="B292">
        <v>1076</v>
      </c>
      <c r="C292" t="s">
        <v>310</v>
      </c>
      <c r="D292" t="s">
        <v>22</v>
      </c>
      <c r="E292">
        <v>24</v>
      </c>
      <c r="F292">
        <v>632</v>
      </c>
      <c r="G292" t="s">
        <v>311</v>
      </c>
      <c r="H292" t="s">
        <v>52</v>
      </c>
      <c r="I292" t="s">
        <v>53</v>
      </c>
      <c r="J292" t="s">
        <v>54</v>
      </c>
      <c r="K292" t="s">
        <v>55</v>
      </c>
      <c r="L292" t="s">
        <v>67</v>
      </c>
      <c r="M292" t="s">
        <v>68</v>
      </c>
      <c r="N292" t="s">
        <v>69</v>
      </c>
      <c r="O292" t="s">
        <v>70</v>
      </c>
      <c r="P292">
        <v>5</v>
      </c>
      <c r="Q292" t="b">
        <v>0</v>
      </c>
      <c r="R292" s="1">
        <v>45014.295138888891</v>
      </c>
      <c r="V292" s="2">
        <v>45014.295138888891</v>
      </c>
      <c r="W292">
        <v>3</v>
      </c>
      <c r="X292">
        <v>2023</v>
      </c>
      <c r="Y292" t="s">
        <v>52</v>
      </c>
      <c r="Z292">
        <v>5</v>
      </c>
    </row>
    <row r="293" spans="1:26" x14ac:dyDescent="0.45">
      <c r="A293">
        <v>2308</v>
      </c>
      <c r="B293">
        <v>1084</v>
      </c>
      <c r="C293" t="s">
        <v>312</v>
      </c>
      <c r="D293" t="s">
        <v>22</v>
      </c>
      <c r="E293">
        <v>46</v>
      </c>
      <c r="F293">
        <v>727</v>
      </c>
      <c r="G293" t="s">
        <v>313</v>
      </c>
      <c r="H293" t="s">
        <v>52</v>
      </c>
      <c r="I293" t="s">
        <v>53</v>
      </c>
      <c r="J293" t="s">
        <v>284</v>
      </c>
      <c r="K293" t="s">
        <v>27</v>
      </c>
      <c r="L293" t="s">
        <v>28</v>
      </c>
      <c r="M293" t="s">
        <v>142</v>
      </c>
      <c r="N293" t="s">
        <v>143</v>
      </c>
      <c r="O293" t="s">
        <v>144</v>
      </c>
      <c r="P293">
        <v>5</v>
      </c>
      <c r="Q293" t="b">
        <v>1</v>
      </c>
      <c r="R293" s="1">
        <v>43904.344444444447</v>
      </c>
      <c r="S293" s="1">
        <v>43904.988194444442</v>
      </c>
      <c r="T293" t="s">
        <v>40</v>
      </c>
      <c r="U293" t="b">
        <v>0</v>
      </c>
      <c r="V293" s="2">
        <v>43904.344444444447</v>
      </c>
      <c r="W293">
        <v>3</v>
      </c>
      <c r="X293">
        <v>2020</v>
      </c>
      <c r="Y293" t="s">
        <v>52</v>
      </c>
      <c r="Z293">
        <v>5</v>
      </c>
    </row>
    <row r="294" spans="1:26" x14ac:dyDescent="0.45">
      <c r="A294">
        <v>2309</v>
      </c>
      <c r="B294">
        <v>1215</v>
      </c>
      <c r="C294" t="s">
        <v>314</v>
      </c>
      <c r="D294" t="s">
        <v>42</v>
      </c>
      <c r="E294">
        <v>44</v>
      </c>
      <c r="F294">
        <v>730</v>
      </c>
      <c r="G294" t="s">
        <v>315</v>
      </c>
      <c r="H294" t="s">
        <v>129</v>
      </c>
      <c r="I294" t="s">
        <v>263</v>
      </c>
      <c r="J294" t="s">
        <v>316</v>
      </c>
      <c r="K294" t="s">
        <v>46</v>
      </c>
      <c r="L294" t="s">
        <v>96</v>
      </c>
      <c r="M294" t="s">
        <v>103</v>
      </c>
      <c r="N294" t="s">
        <v>31</v>
      </c>
      <c r="O294" t="s">
        <v>104</v>
      </c>
      <c r="P294">
        <v>4</v>
      </c>
      <c r="Q294" t="b">
        <v>1</v>
      </c>
      <c r="R294" s="1">
        <v>44934.489583333336</v>
      </c>
      <c r="S294" s="1">
        <v>44939.693055555559</v>
      </c>
      <c r="T294" t="s">
        <v>60</v>
      </c>
      <c r="U294" t="b">
        <v>1</v>
      </c>
      <c r="V294" s="2">
        <v>44934.489583333336</v>
      </c>
      <c r="W294">
        <v>1</v>
      </c>
      <c r="X294">
        <v>2023</v>
      </c>
      <c r="Y294" t="s">
        <v>129</v>
      </c>
      <c r="Z294">
        <v>4</v>
      </c>
    </row>
    <row r="295" spans="1:26" x14ac:dyDescent="0.45">
      <c r="A295">
        <v>2310</v>
      </c>
      <c r="B295">
        <v>1095</v>
      </c>
      <c r="C295" t="s">
        <v>317</v>
      </c>
      <c r="D295" t="s">
        <v>42</v>
      </c>
      <c r="E295">
        <v>67</v>
      </c>
      <c r="F295">
        <v>743</v>
      </c>
      <c r="G295" t="s">
        <v>318</v>
      </c>
      <c r="H295" t="s">
        <v>172</v>
      </c>
      <c r="I295" t="s">
        <v>177</v>
      </c>
      <c r="J295" t="s">
        <v>178</v>
      </c>
      <c r="K295" t="s">
        <v>37</v>
      </c>
      <c r="L295" t="s">
        <v>28</v>
      </c>
      <c r="M295" t="s">
        <v>38</v>
      </c>
      <c r="N295" t="s">
        <v>31</v>
      </c>
      <c r="O295" t="s">
        <v>39</v>
      </c>
      <c r="P295">
        <v>1</v>
      </c>
      <c r="Q295" t="b">
        <v>1</v>
      </c>
      <c r="R295" s="1">
        <v>44147.904861111114</v>
      </c>
      <c r="S295" s="1">
        <v>44153.917361111111</v>
      </c>
      <c r="T295" t="s">
        <v>40</v>
      </c>
      <c r="U295" t="b">
        <v>0</v>
      </c>
      <c r="V295" s="2">
        <v>44147.904861111114</v>
      </c>
      <c r="W295">
        <v>11</v>
      </c>
      <c r="X295">
        <v>2020</v>
      </c>
      <c r="Y295" t="s">
        <v>172</v>
      </c>
      <c r="Z295">
        <v>1</v>
      </c>
    </row>
    <row r="296" spans="1:26" x14ac:dyDescent="0.45">
      <c r="A296">
        <v>2311</v>
      </c>
      <c r="B296">
        <v>1036</v>
      </c>
      <c r="C296" t="s">
        <v>319</v>
      </c>
      <c r="D296" t="s">
        <v>22</v>
      </c>
      <c r="E296">
        <v>45</v>
      </c>
      <c r="F296">
        <v>703</v>
      </c>
      <c r="G296" t="s">
        <v>320</v>
      </c>
      <c r="H296" t="s">
        <v>85</v>
      </c>
      <c r="I296" t="s">
        <v>86</v>
      </c>
      <c r="J296" t="s">
        <v>182</v>
      </c>
      <c r="K296" t="s">
        <v>66</v>
      </c>
      <c r="L296" t="s">
        <v>56</v>
      </c>
      <c r="M296" t="s">
        <v>88</v>
      </c>
      <c r="N296" t="s">
        <v>89</v>
      </c>
      <c r="O296" t="s">
        <v>90</v>
      </c>
      <c r="P296">
        <v>1</v>
      </c>
      <c r="Q296" t="b">
        <v>0</v>
      </c>
      <c r="R296" s="1">
        <v>44522.663888888892</v>
      </c>
      <c r="V296" s="2">
        <v>44522.663888888892</v>
      </c>
      <c r="W296">
        <v>11</v>
      </c>
      <c r="X296">
        <v>2021</v>
      </c>
      <c r="Y296" t="s">
        <v>85</v>
      </c>
      <c r="Z296">
        <v>1</v>
      </c>
    </row>
    <row r="297" spans="1:26" x14ac:dyDescent="0.45">
      <c r="A297">
        <v>2312</v>
      </c>
      <c r="B297">
        <v>1425</v>
      </c>
      <c r="C297" t="s">
        <v>321</v>
      </c>
      <c r="D297" t="s">
        <v>42</v>
      </c>
      <c r="E297">
        <v>23</v>
      </c>
      <c r="F297">
        <v>655</v>
      </c>
      <c r="G297" t="s">
        <v>322</v>
      </c>
      <c r="H297" t="s">
        <v>24</v>
      </c>
      <c r="I297" t="s">
        <v>25</v>
      </c>
      <c r="J297" t="s">
        <v>222</v>
      </c>
      <c r="K297" t="s">
        <v>27</v>
      </c>
      <c r="L297" t="s">
        <v>96</v>
      </c>
      <c r="M297" t="s">
        <v>103</v>
      </c>
      <c r="N297" t="s">
        <v>31</v>
      </c>
      <c r="O297" t="s">
        <v>104</v>
      </c>
      <c r="P297">
        <v>1</v>
      </c>
      <c r="Q297" t="b">
        <v>1</v>
      </c>
      <c r="R297" s="1">
        <v>44056.740277777775</v>
      </c>
      <c r="S297" s="1">
        <v>44058.939583333333</v>
      </c>
      <c r="T297" t="s">
        <v>32</v>
      </c>
      <c r="U297" t="b">
        <v>0</v>
      </c>
      <c r="V297" s="2">
        <v>44056.740277777775</v>
      </c>
      <c r="W297">
        <v>8</v>
      </c>
      <c r="X297">
        <v>2020</v>
      </c>
      <c r="Y297" t="s">
        <v>24</v>
      </c>
      <c r="Z297">
        <v>1</v>
      </c>
    </row>
    <row r="298" spans="1:26" x14ac:dyDescent="0.45">
      <c r="A298">
        <v>2313</v>
      </c>
      <c r="B298">
        <v>1156</v>
      </c>
      <c r="C298" t="s">
        <v>323</v>
      </c>
      <c r="D298" t="s">
        <v>22</v>
      </c>
      <c r="E298">
        <v>51</v>
      </c>
      <c r="F298">
        <v>714</v>
      </c>
      <c r="G298" t="s">
        <v>274</v>
      </c>
      <c r="H298" t="s">
        <v>73</v>
      </c>
      <c r="I298" t="s">
        <v>140</v>
      </c>
      <c r="J298" t="s">
        <v>213</v>
      </c>
      <c r="K298" t="s">
        <v>37</v>
      </c>
      <c r="L298" t="s">
        <v>96</v>
      </c>
      <c r="M298" t="s">
        <v>136</v>
      </c>
      <c r="N298" t="s">
        <v>30</v>
      </c>
      <c r="O298" t="s">
        <v>137</v>
      </c>
      <c r="P298">
        <v>3</v>
      </c>
      <c r="Q298" t="b">
        <v>1</v>
      </c>
      <c r="R298" s="1">
        <v>44170.671527777777</v>
      </c>
      <c r="S298" s="1">
        <v>44175.536111111112</v>
      </c>
      <c r="T298" t="s">
        <v>109</v>
      </c>
      <c r="U298" t="b">
        <v>1</v>
      </c>
      <c r="V298" s="2">
        <v>44170.671527777777</v>
      </c>
      <c r="W298">
        <v>12</v>
      </c>
      <c r="X298">
        <v>2020</v>
      </c>
      <c r="Y298" t="s">
        <v>73</v>
      </c>
      <c r="Z298">
        <v>3</v>
      </c>
    </row>
    <row r="299" spans="1:26" x14ac:dyDescent="0.45">
      <c r="A299">
        <v>2314</v>
      </c>
      <c r="B299">
        <v>1261</v>
      </c>
      <c r="C299" t="s">
        <v>324</v>
      </c>
      <c r="D299" t="s">
        <v>22</v>
      </c>
      <c r="E299">
        <v>20</v>
      </c>
      <c r="F299">
        <v>645</v>
      </c>
      <c r="G299" t="s">
        <v>325</v>
      </c>
      <c r="H299" t="s">
        <v>85</v>
      </c>
      <c r="I299" t="s">
        <v>116</v>
      </c>
      <c r="J299" t="s">
        <v>154</v>
      </c>
      <c r="K299" t="s">
        <v>66</v>
      </c>
      <c r="L299" t="s">
        <v>56</v>
      </c>
      <c r="M299" t="s">
        <v>197</v>
      </c>
      <c r="N299" t="s">
        <v>198</v>
      </c>
      <c r="O299" t="s">
        <v>199</v>
      </c>
      <c r="P299">
        <v>3</v>
      </c>
      <c r="Q299" t="b">
        <v>1</v>
      </c>
      <c r="R299" s="1">
        <v>44595.322916666664</v>
      </c>
      <c r="S299" s="1">
        <v>44598.123611111114</v>
      </c>
      <c r="T299" t="s">
        <v>109</v>
      </c>
      <c r="U299" t="b">
        <v>1</v>
      </c>
      <c r="V299" s="2">
        <v>44595.322916666664</v>
      </c>
      <c r="W299">
        <v>2</v>
      </c>
      <c r="X299">
        <v>2022</v>
      </c>
      <c r="Y299" t="s">
        <v>85</v>
      </c>
      <c r="Z299">
        <v>3</v>
      </c>
    </row>
    <row r="300" spans="1:26" x14ac:dyDescent="0.45">
      <c r="A300">
        <v>2315</v>
      </c>
      <c r="B300">
        <v>1312</v>
      </c>
      <c r="C300" t="s">
        <v>326</v>
      </c>
      <c r="D300" t="s">
        <v>42</v>
      </c>
      <c r="E300">
        <v>62</v>
      </c>
      <c r="F300">
        <v>746</v>
      </c>
      <c r="G300" t="s">
        <v>327</v>
      </c>
      <c r="H300" t="s">
        <v>93</v>
      </c>
      <c r="I300" t="s">
        <v>112</v>
      </c>
      <c r="J300" t="s">
        <v>113</v>
      </c>
      <c r="K300" t="s">
        <v>46</v>
      </c>
      <c r="L300" t="s">
        <v>96</v>
      </c>
      <c r="M300" t="s">
        <v>118</v>
      </c>
      <c r="N300" t="s">
        <v>90</v>
      </c>
      <c r="O300" t="s">
        <v>119</v>
      </c>
      <c r="P300">
        <v>3</v>
      </c>
      <c r="Q300" t="b">
        <v>0</v>
      </c>
      <c r="R300" s="1">
        <v>45098.601388888892</v>
      </c>
      <c r="V300" s="2">
        <v>45098.601388888892</v>
      </c>
      <c r="W300">
        <v>6</v>
      </c>
      <c r="X300">
        <v>2023</v>
      </c>
      <c r="Y300" t="s">
        <v>93</v>
      </c>
      <c r="Z300">
        <v>3</v>
      </c>
    </row>
    <row r="301" spans="1:26" x14ac:dyDescent="0.45">
      <c r="A301">
        <v>2316</v>
      </c>
      <c r="B301">
        <v>1044</v>
      </c>
      <c r="C301" t="s">
        <v>328</v>
      </c>
      <c r="D301" t="s">
        <v>22</v>
      </c>
      <c r="E301">
        <v>28</v>
      </c>
      <c r="F301">
        <v>684</v>
      </c>
      <c r="G301" t="s">
        <v>329</v>
      </c>
      <c r="H301" t="s">
        <v>85</v>
      </c>
      <c r="I301" t="s">
        <v>116</v>
      </c>
      <c r="J301" t="s">
        <v>330</v>
      </c>
      <c r="K301" t="s">
        <v>102</v>
      </c>
      <c r="L301" t="s">
        <v>96</v>
      </c>
      <c r="M301" t="s">
        <v>103</v>
      </c>
      <c r="N301" t="s">
        <v>31</v>
      </c>
      <c r="O301" t="s">
        <v>104</v>
      </c>
      <c r="P301">
        <v>1</v>
      </c>
      <c r="Q301" t="b">
        <v>0</v>
      </c>
      <c r="R301" s="1">
        <v>44350.126388888886</v>
      </c>
      <c r="V301" s="2">
        <v>44350.126388888886</v>
      </c>
      <c r="W301">
        <v>6</v>
      </c>
      <c r="X301">
        <v>2021</v>
      </c>
      <c r="Y301" t="s">
        <v>85</v>
      </c>
      <c r="Z301">
        <v>1</v>
      </c>
    </row>
    <row r="302" spans="1:26" x14ac:dyDescent="0.45">
      <c r="A302">
        <v>2317</v>
      </c>
      <c r="B302">
        <v>1324</v>
      </c>
      <c r="C302" t="s">
        <v>21</v>
      </c>
      <c r="D302" t="s">
        <v>22</v>
      </c>
      <c r="E302">
        <v>29</v>
      </c>
      <c r="F302">
        <v>698</v>
      </c>
      <c r="G302" t="s">
        <v>23</v>
      </c>
      <c r="H302" t="s">
        <v>24</v>
      </c>
      <c r="I302" t="s">
        <v>25</v>
      </c>
      <c r="J302" t="s">
        <v>26</v>
      </c>
      <c r="K302" t="s">
        <v>55</v>
      </c>
      <c r="L302" t="s">
        <v>67</v>
      </c>
      <c r="M302" t="s">
        <v>165</v>
      </c>
      <c r="N302" t="s">
        <v>166</v>
      </c>
      <c r="O302" t="s">
        <v>167</v>
      </c>
      <c r="P302">
        <v>2</v>
      </c>
      <c r="Q302" t="b">
        <v>1</v>
      </c>
      <c r="R302" s="1">
        <v>44111.972222222219</v>
      </c>
      <c r="S302" s="1">
        <v>44117.165277777778</v>
      </c>
      <c r="T302" t="s">
        <v>32</v>
      </c>
      <c r="U302" t="b">
        <v>0</v>
      </c>
      <c r="V302" s="2">
        <v>44111.972222222219</v>
      </c>
      <c r="W302">
        <v>10</v>
      </c>
      <c r="X302">
        <v>2020</v>
      </c>
      <c r="Y302" t="s">
        <v>24</v>
      </c>
      <c r="Z302">
        <v>2</v>
      </c>
    </row>
    <row r="303" spans="1:26" x14ac:dyDescent="0.45">
      <c r="A303">
        <v>2318</v>
      </c>
      <c r="B303">
        <v>1363</v>
      </c>
      <c r="C303" t="s">
        <v>33</v>
      </c>
      <c r="D303" t="s">
        <v>22</v>
      </c>
      <c r="E303">
        <v>62</v>
      </c>
      <c r="F303">
        <v>760</v>
      </c>
      <c r="G303" t="s">
        <v>34</v>
      </c>
      <c r="H303" t="s">
        <v>35</v>
      </c>
      <c r="I303" t="s">
        <v>36</v>
      </c>
      <c r="J303" t="s">
        <v>36</v>
      </c>
      <c r="K303" t="s">
        <v>37</v>
      </c>
      <c r="L303" t="s">
        <v>56</v>
      </c>
      <c r="M303" t="s">
        <v>88</v>
      </c>
      <c r="N303" t="s">
        <v>89</v>
      </c>
      <c r="O303" t="s">
        <v>90</v>
      </c>
      <c r="P303">
        <v>3</v>
      </c>
      <c r="Q303" t="b">
        <v>1</v>
      </c>
      <c r="R303" s="1">
        <v>45166.65902777778</v>
      </c>
      <c r="S303" s="1">
        <v>45173.14166666667</v>
      </c>
      <c r="T303" t="s">
        <v>32</v>
      </c>
      <c r="U303" t="b">
        <v>0</v>
      </c>
      <c r="V303" s="2">
        <v>45166.65902777778</v>
      </c>
      <c r="W303">
        <v>8</v>
      </c>
      <c r="X303">
        <v>2023</v>
      </c>
      <c r="Y303" t="s">
        <v>35</v>
      </c>
      <c r="Z303">
        <v>3</v>
      </c>
    </row>
    <row r="304" spans="1:26" x14ac:dyDescent="0.45">
      <c r="A304">
        <v>2319</v>
      </c>
      <c r="B304">
        <v>1387</v>
      </c>
      <c r="C304" t="s">
        <v>41</v>
      </c>
      <c r="D304" t="s">
        <v>42</v>
      </c>
      <c r="E304">
        <v>50</v>
      </c>
      <c r="F304">
        <v>706</v>
      </c>
      <c r="G304" t="s">
        <v>43</v>
      </c>
      <c r="H304" t="s">
        <v>24</v>
      </c>
      <c r="I304" t="s">
        <v>44</v>
      </c>
      <c r="J304" t="s">
        <v>45</v>
      </c>
      <c r="K304" t="s">
        <v>27</v>
      </c>
      <c r="L304" t="s">
        <v>96</v>
      </c>
      <c r="M304" t="s">
        <v>118</v>
      </c>
      <c r="N304" t="s">
        <v>90</v>
      </c>
      <c r="O304" t="s">
        <v>119</v>
      </c>
      <c r="P304">
        <v>4</v>
      </c>
      <c r="Q304" t="b">
        <v>1</v>
      </c>
      <c r="R304" s="1">
        <v>43832.918749999997</v>
      </c>
      <c r="S304" s="1">
        <v>43835.341666666667</v>
      </c>
      <c r="T304" t="s">
        <v>60</v>
      </c>
      <c r="U304" t="b">
        <v>0</v>
      </c>
      <c r="V304" s="2">
        <v>43832.918749999997</v>
      </c>
      <c r="W304">
        <v>1</v>
      </c>
      <c r="X304">
        <v>2020</v>
      </c>
      <c r="Y304" t="s">
        <v>24</v>
      </c>
      <c r="Z304">
        <v>4</v>
      </c>
    </row>
    <row r="305" spans="1:26" x14ac:dyDescent="0.45">
      <c r="A305">
        <v>2320</v>
      </c>
      <c r="B305">
        <v>1310</v>
      </c>
      <c r="C305" t="s">
        <v>50</v>
      </c>
      <c r="D305" t="s">
        <v>42</v>
      </c>
      <c r="E305">
        <v>57</v>
      </c>
      <c r="F305">
        <v>709</v>
      </c>
      <c r="G305" t="s">
        <v>51</v>
      </c>
      <c r="H305" t="s">
        <v>52</v>
      </c>
      <c r="I305" t="s">
        <v>53</v>
      </c>
      <c r="J305" t="s">
        <v>54</v>
      </c>
      <c r="K305" t="s">
        <v>102</v>
      </c>
      <c r="L305" t="s">
        <v>28</v>
      </c>
      <c r="M305" t="s">
        <v>142</v>
      </c>
      <c r="N305" t="s">
        <v>143</v>
      </c>
      <c r="O305" t="s">
        <v>144</v>
      </c>
      <c r="P305">
        <v>4</v>
      </c>
      <c r="Q305" t="b">
        <v>0</v>
      </c>
      <c r="R305" s="1">
        <v>44377.006249999999</v>
      </c>
      <c r="V305" s="2">
        <v>44377.006249999999</v>
      </c>
      <c r="W305">
        <v>6</v>
      </c>
      <c r="X305">
        <v>2021</v>
      </c>
      <c r="Y305" t="s">
        <v>52</v>
      </c>
      <c r="Z305">
        <v>4</v>
      </c>
    </row>
    <row r="306" spans="1:26" x14ac:dyDescent="0.45">
      <c r="A306">
        <v>2321</v>
      </c>
      <c r="B306">
        <v>1278</v>
      </c>
      <c r="C306" t="s">
        <v>61</v>
      </c>
      <c r="D306" t="s">
        <v>42</v>
      </c>
      <c r="E306">
        <v>18</v>
      </c>
      <c r="F306">
        <v>607</v>
      </c>
      <c r="G306" t="s">
        <v>62</v>
      </c>
      <c r="H306" t="s">
        <v>63</v>
      </c>
      <c r="I306" t="s">
        <v>64</v>
      </c>
      <c r="J306" t="s">
        <v>65</v>
      </c>
      <c r="K306" t="s">
        <v>102</v>
      </c>
      <c r="L306" t="s">
        <v>76</v>
      </c>
      <c r="M306" t="s">
        <v>132</v>
      </c>
      <c r="N306" t="s">
        <v>59</v>
      </c>
      <c r="O306" t="s">
        <v>98</v>
      </c>
      <c r="P306">
        <v>2</v>
      </c>
      <c r="Q306" t="b">
        <v>0</v>
      </c>
      <c r="R306" s="1">
        <v>44079.113194444442</v>
      </c>
      <c r="V306" s="2">
        <v>44079.113194444442</v>
      </c>
      <c r="W306">
        <v>9</v>
      </c>
      <c r="X306">
        <v>2020</v>
      </c>
      <c r="Y306" t="s">
        <v>63</v>
      </c>
      <c r="Z306">
        <v>2</v>
      </c>
    </row>
    <row r="307" spans="1:26" x14ac:dyDescent="0.45">
      <c r="A307">
        <v>2322</v>
      </c>
      <c r="B307">
        <v>1098</v>
      </c>
      <c r="C307" t="s">
        <v>71</v>
      </c>
      <c r="D307" t="s">
        <v>22</v>
      </c>
      <c r="E307">
        <v>22</v>
      </c>
      <c r="F307">
        <v>628</v>
      </c>
      <c r="G307" t="s">
        <v>72</v>
      </c>
      <c r="H307" t="s">
        <v>73</v>
      </c>
      <c r="I307" t="s">
        <v>74</v>
      </c>
      <c r="J307" t="s">
        <v>75</v>
      </c>
      <c r="K307" t="s">
        <v>37</v>
      </c>
      <c r="L307" t="s">
        <v>56</v>
      </c>
      <c r="M307" t="s">
        <v>88</v>
      </c>
      <c r="N307" t="s">
        <v>89</v>
      </c>
      <c r="O307" t="s">
        <v>90</v>
      </c>
      <c r="P307">
        <v>3</v>
      </c>
      <c r="Q307" t="b">
        <v>1</v>
      </c>
      <c r="R307" s="1">
        <v>44562.091666666667</v>
      </c>
      <c r="S307" s="1">
        <v>44566.792361111111</v>
      </c>
      <c r="T307" t="s">
        <v>60</v>
      </c>
      <c r="U307" t="b">
        <v>0</v>
      </c>
      <c r="V307" s="2">
        <v>44562.091666666667</v>
      </c>
      <c r="W307">
        <v>1</v>
      </c>
      <c r="X307">
        <v>2022</v>
      </c>
      <c r="Y307" t="s">
        <v>73</v>
      </c>
      <c r="Z307">
        <v>3</v>
      </c>
    </row>
    <row r="308" spans="1:26" x14ac:dyDescent="0.45">
      <c r="A308">
        <v>2323</v>
      </c>
      <c r="B308">
        <v>1237</v>
      </c>
      <c r="C308" t="s">
        <v>80</v>
      </c>
      <c r="D308" t="s">
        <v>42</v>
      </c>
      <c r="E308">
        <v>18</v>
      </c>
      <c r="F308">
        <v>637</v>
      </c>
      <c r="G308" t="s">
        <v>81</v>
      </c>
      <c r="H308" t="s">
        <v>35</v>
      </c>
      <c r="I308" t="s">
        <v>36</v>
      </c>
      <c r="J308" t="s">
        <v>82</v>
      </c>
      <c r="K308" t="s">
        <v>37</v>
      </c>
      <c r="L308" t="s">
        <v>28</v>
      </c>
      <c r="M308" t="s">
        <v>38</v>
      </c>
      <c r="N308" t="s">
        <v>31</v>
      </c>
      <c r="O308" t="s">
        <v>39</v>
      </c>
      <c r="P308">
        <v>2</v>
      </c>
      <c r="Q308" t="b">
        <v>1</v>
      </c>
      <c r="R308" s="1">
        <v>44089.605555555558</v>
      </c>
      <c r="S308" s="1">
        <v>44095.354861111111</v>
      </c>
      <c r="T308" t="s">
        <v>40</v>
      </c>
      <c r="U308" t="b">
        <v>0</v>
      </c>
      <c r="V308" s="2">
        <v>44089.605555555558</v>
      </c>
      <c r="W308">
        <v>9</v>
      </c>
      <c r="X308">
        <v>2020</v>
      </c>
      <c r="Y308" t="s">
        <v>35</v>
      </c>
      <c r="Z308">
        <v>2</v>
      </c>
    </row>
    <row r="309" spans="1:26" x14ac:dyDescent="0.45">
      <c r="A309">
        <v>2324</v>
      </c>
      <c r="B309">
        <v>1000</v>
      </c>
      <c r="C309" t="s">
        <v>83</v>
      </c>
      <c r="D309" t="s">
        <v>22</v>
      </c>
      <c r="E309">
        <v>74</v>
      </c>
      <c r="F309">
        <v>747</v>
      </c>
      <c r="G309" t="s">
        <v>84</v>
      </c>
      <c r="H309" t="s">
        <v>85</v>
      </c>
      <c r="I309" t="s">
        <v>86</v>
      </c>
      <c r="J309" t="s">
        <v>87</v>
      </c>
      <c r="K309" t="s">
        <v>27</v>
      </c>
      <c r="L309" t="s">
        <v>67</v>
      </c>
      <c r="M309" t="s">
        <v>165</v>
      </c>
      <c r="N309" t="s">
        <v>166</v>
      </c>
      <c r="O309" t="s">
        <v>167</v>
      </c>
      <c r="P309">
        <v>4</v>
      </c>
      <c r="Q309" t="b">
        <v>1</v>
      </c>
      <c r="R309" s="1">
        <v>45175.511111111111</v>
      </c>
      <c r="S309" s="1">
        <v>45179.223611111112</v>
      </c>
      <c r="T309" t="s">
        <v>109</v>
      </c>
      <c r="U309" t="b">
        <v>0</v>
      </c>
      <c r="V309" s="2">
        <v>45175.511111111111</v>
      </c>
      <c r="W309">
        <v>9</v>
      </c>
      <c r="X309">
        <v>2023</v>
      </c>
      <c r="Y309" t="s">
        <v>85</v>
      </c>
      <c r="Z309">
        <v>4</v>
      </c>
    </row>
    <row r="310" spans="1:26" x14ac:dyDescent="0.45">
      <c r="A310">
        <v>2325</v>
      </c>
      <c r="B310">
        <v>1300</v>
      </c>
      <c r="C310" t="s">
        <v>91</v>
      </c>
      <c r="D310" t="s">
        <v>22</v>
      </c>
      <c r="E310">
        <v>41</v>
      </c>
      <c r="F310">
        <v>682</v>
      </c>
      <c r="G310" t="s">
        <v>92</v>
      </c>
      <c r="H310" t="s">
        <v>93</v>
      </c>
      <c r="I310" t="s">
        <v>94</v>
      </c>
      <c r="J310" t="s">
        <v>95</v>
      </c>
      <c r="K310" t="s">
        <v>66</v>
      </c>
      <c r="L310" t="s">
        <v>67</v>
      </c>
      <c r="M310" t="s">
        <v>68</v>
      </c>
      <c r="N310" t="s">
        <v>69</v>
      </c>
      <c r="O310" t="s">
        <v>70</v>
      </c>
      <c r="P310">
        <v>4</v>
      </c>
      <c r="Q310" t="b">
        <v>1</v>
      </c>
      <c r="R310" s="1">
        <v>44757.3125</v>
      </c>
      <c r="S310" s="1">
        <v>44761.745138888888</v>
      </c>
      <c r="T310" t="s">
        <v>109</v>
      </c>
      <c r="U310" t="b">
        <v>0</v>
      </c>
      <c r="V310" s="2">
        <v>44757.3125</v>
      </c>
      <c r="W310">
        <v>7</v>
      </c>
      <c r="X310">
        <v>2022</v>
      </c>
      <c r="Y310" t="s">
        <v>93</v>
      </c>
      <c r="Z310">
        <v>4</v>
      </c>
    </row>
    <row r="311" spans="1:26" x14ac:dyDescent="0.45">
      <c r="A311">
        <v>2326</v>
      </c>
      <c r="B311">
        <v>1110</v>
      </c>
      <c r="C311" t="s">
        <v>100</v>
      </c>
      <c r="D311" t="s">
        <v>42</v>
      </c>
      <c r="E311">
        <v>19</v>
      </c>
      <c r="F311">
        <v>672</v>
      </c>
      <c r="G311" t="s">
        <v>101</v>
      </c>
      <c r="H311" t="s">
        <v>35</v>
      </c>
      <c r="I311" t="s">
        <v>36</v>
      </c>
      <c r="J311" t="s">
        <v>36</v>
      </c>
      <c r="K311" t="s">
        <v>66</v>
      </c>
      <c r="L311" t="s">
        <v>28</v>
      </c>
      <c r="M311" t="s">
        <v>47</v>
      </c>
      <c r="N311" t="s">
        <v>48</v>
      </c>
      <c r="O311" t="s">
        <v>49</v>
      </c>
      <c r="P311">
        <v>3</v>
      </c>
      <c r="Q311" t="b">
        <v>1</v>
      </c>
      <c r="R311" s="1">
        <v>44042.527083333334</v>
      </c>
      <c r="S311" s="1">
        <v>44046.268750000003</v>
      </c>
      <c r="T311" t="s">
        <v>32</v>
      </c>
      <c r="U311" t="b">
        <v>0</v>
      </c>
      <c r="V311" s="2">
        <v>44042.527083333334</v>
      </c>
      <c r="W311">
        <v>7</v>
      </c>
      <c r="X311">
        <v>2020</v>
      </c>
      <c r="Y311" t="s">
        <v>35</v>
      </c>
      <c r="Z311">
        <v>3</v>
      </c>
    </row>
    <row r="312" spans="1:26" x14ac:dyDescent="0.45">
      <c r="A312">
        <v>2327</v>
      </c>
      <c r="B312">
        <v>1331</v>
      </c>
      <c r="C312" t="s">
        <v>105</v>
      </c>
      <c r="D312" t="s">
        <v>22</v>
      </c>
      <c r="E312">
        <v>18</v>
      </c>
      <c r="F312">
        <v>623</v>
      </c>
      <c r="G312" t="s">
        <v>106</v>
      </c>
      <c r="H312" t="s">
        <v>93</v>
      </c>
      <c r="I312" t="s">
        <v>94</v>
      </c>
      <c r="J312" t="s">
        <v>107</v>
      </c>
      <c r="K312" t="s">
        <v>27</v>
      </c>
      <c r="L312" t="s">
        <v>76</v>
      </c>
      <c r="M312" t="s">
        <v>77</v>
      </c>
      <c r="N312" t="s">
        <v>78</v>
      </c>
      <c r="O312" t="s">
        <v>79</v>
      </c>
      <c r="P312">
        <v>3</v>
      </c>
      <c r="Q312" t="b">
        <v>1</v>
      </c>
      <c r="R312" s="1">
        <v>44303.289583333331</v>
      </c>
      <c r="S312" s="1">
        <v>44305.927777777775</v>
      </c>
      <c r="T312" t="s">
        <v>32</v>
      </c>
      <c r="U312" t="b">
        <v>0</v>
      </c>
      <c r="V312" s="2">
        <v>44303.289583333331</v>
      </c>
      <c r="W312">
        <v>4</v>
      </c>
      <c r="X312">
        <v>2021</v>
      </c>
      <c r="Y312" t="s">
        <v>93</v>
      </c>
      <c r="Z312">
        <v>3</v>
      </c>
    </row>
    <row r="313" spans="1:26" x14ac:dyDescent="0.45">
      <c r="A313">
        <v>2328</v>
      </c>
      <c r="B313">
        <v>1146</v>
      </c>
      <c r="C313" t="s">
        <v>110</v>
      </c>
      <c r="D313" t="s">
        <v>22</v>
      </c>
      <c r="E313">
        <v>71</v>
      </c>
      <c r="F313">
        <v>749</v>
      </c>
      <c r="G313" t="s">
        <v>111</v>
      </c>
      <c r="H313" t="s">
        <v>93</v>
      </c>
      <c r="I313" t="s">
        <v>112</v>
      </c>
      <c r="J313" t="s">
        <v>113</v>
      </c>
      <c r="K313" t="s">
        <v>37</v>
      </c>
      <c r="L313" t="s">
        <v>56</v>
      </c>
      <c r="M313" t="s">
        <v>88</v>
      </c>
      <c r="N313" t="s">
        <v>89</v>
      </c>
      <c r="O313" t="s">
        <v>90</v>
      </c>
      <c r="P313">
        <v>5</v>
      </c>
      <c r="Q313" t="b">
        <v>0</v>
      </c>
      <c r="R313" s="1">
        <v>44766.334722222222</v>
      </c>
      <c r="V313" s="2">
        <v>44766.334722222222</v>
      </c>
      <c r="W313">
        <v>7</v>
      </c>
      <c r="X313">
        <v>2022</v>
      </c>
      <c r="Y313" t="s">
        <v>93</v>
      </c>
      <c r="Z313">
        <v>5</v>
      </c>
    </row>
    <row r="314" spans="1:26" x14ac:dyDescent="0.45">
      <c r="A314">
        <v>2329</v>
      </c>
      <c r="B314">
        <v>1070</v>
      </c>
      <c r="C314" t="s">
        <v>114</v>
      </c>
      <c r="D314" t="s">
        <v>22</v>
      </c>
      <c r="E314">
        <v>21</v>
      </c>
      <c r="F314">
        <v>609</v>
      </c>
      <c r="G314" t="s">
        <v>115</v>
      </c>
      <c r="H314" t="s">
        <v>85</v>
      </c>
      <c r="I314" t="s">
        <v>116</v>
      </c>
      <c r="J314" t="s">
        <v>117</v>
      </c>
      <c r="K314" t="s">
        <v>37</v>
      </c>
      <c r="L314" t="s">
        <v>96</v>
      </c>
      <c r="M314" t="s">
        <v>118</v>
      </c>
      <c r="N314" t="s">
        <v>90</v>
      </c>
      <c r="O314" t="s">
        <v>119</v>
      </c>
      <c r="P314">
        <v>2</v>
      </c>
      <c r="Q314" t="b">
        <v>0</v>
      </c>
      <c r="R314" s="1">
        <v>43873.966666666667</v>
      </c>
      <c r="V314" s="2">
        <v>43873.966666666667</v>
      </c>
      <c r="W314">
        <v>2</v>
      </c>
      <c r="X314">
        <v>2020</v>
      </c>
      <c r="Y314" t="s">
        <v>85</v>
      </c>
      <c r="Z314">
        <v>2</v>
      </c>
    </row>
    <row r="315" spans="1:26" x14ac:dyDescent="0.45">
      <c r="A315">
        <v>2330</v>
      </c>
      <c r="B315">
        <v>1216</v>
      </c>
      <c r="C315" t="s">
        <v>120</v>
      </c>
      <c r="D315" t="s">
        <v>22</v>
      </c>
      <c r="E315">
        <v>68</v>
      </c>
      <c r="F315">
        <v>747</v>
      </c>
      <c r="G315" t="s">
        <v>121</v>
      </c>
      <c r="H315" t="s">
        <v>35</v>
      </c>
      <c r="I315" t="s">
        <v>122</v>
      </c>
      <c r="J315" t="s">
        <v>123</v>
      </c>
      <c r="K315" t="s">
        <v>46</v>
      </c>
      <c r="L315" t="s">
        <v>56</v>
      </c>
      <c r="M315" t="s">
        <v>57</v>
      </c>
      <c r="N315" t="s">
        <v>58</v>
      </c>
      <c r="O315" t="s">
        <v>59</v>
      </c>
      <c r="P315">
        <v>5</v>
      </c>
      <c r="Q315" t="b">
        <v>1</v>
      </c>
      <c r="R315" s="1">
        <v>44250.677777777775</v>
      </c>
      <c r="S315" s="1">
        <v>44257.657638888886</v>
      </c>
      <c r="T315" t="s">
        <v>60</v>
      </c>
      <c r="U315" t="b">
        <v>0</v>
      </c>
      <c r="V315" s="2">
        <v>44250.677777777775</v>
      </c>
      <c r="W315">
        <v>2</v>
      </c>
      <c r="X315">
        <v>2021</v>
      </c>
      <c r="Y315" t="s">
        <v>35</v>
      </c>
      <c r="Z315">
        <v>5</v>
      </c>
    </row>
    <row r="316" spans="1:26" x14ac:dyDescent="0.45">
      <c r="A316">
        <v>2332</v>
      </c>
      <c r="B316">
        <v>1152</v>
      </c>
      <c r="C316" t="s">
        <v>124</v>
      </c>
      <c r="D316" t="s">
        <v>22</v>
      </c>
      <c r="E316">
        <v>38</v>
      </c>
      <c r="F316">
        <v>698</v>
      </c>
      <c r="G316" t="s">
        <v>125</v>
      </c>
      <c r="H316" t="s">
        <v>85</v>
      </c>
      <c r="I316" t="s">
        <v>86</v>
      </c>
      <c r="J316" t="s">
        <v>87</v>
      </c>
      <c r="K316" t="s">
        <v>46</v>
      </c>
      <c r="L316" t="s">
        <v>96</v>
      </c>
      <c r="M316" t="s">
        <v>97</v>
      </c>
      <c r="N316" t="s">
        <v>98</v>
      </c>
      <c r="O316" t="s">
        <v>99</v>
      </c>
      <c r="P316">
        <v>5</v>
      </c>
      <c r="Q316" t="b">
        <v>0</v>
      </c>
      <c r="R316" s="1">
        <v>45232.070833333331</v>
      </c>
      <c r="V316" s="2">
        <v>45232.070833333331</v>
      </c>
      <c r="W316">
        <v>11</v>
      </c>
      <c r="X316">
        <v>2023</v>
      </c>
      <c r="Y316" t="s">
        <v>85</v>
      </c>
      <c r="Z316">
        <v>5</v>
      </c>
    </row>
    <row r="317" spans="1:26" x14ac:dyDescent="0.45">
      <c r="A317">
        <v>2333</v>
      </c>
      <c r="B317">
        <v>1045</v>
      </c>
      <c r="C317" t="s">
        <v>127</v>
      </c>
      <c r="D317" t="s">
        <v>42</v>
      </c>
      <c r="E317">
        <v>26</v>
      </c>
      <c r="F317">
        <v>616</v>
      </c>
      <c r="G317" t="s">
        <v>128</v>
      </c>
      <c r="H317" t="s">
        <v>129</v>
      </c>
      <c r="I317" t="s">
        <v>130</v>
      </c>
      <c r="J317" t="s">
        <v>131</v>
      </c>
      <c r="K317" t="s">
        <v>66</v>
      </c>
      <c r="L317" t="s">
        <v>76</v>
      </c>
      <c r="M317" t="s">
        <v>132</v>
      </c>
      <c r="N317" t="s">
        <v>59</v>
      </c>
      <c r="O317" t="s">
        <v>98</v>
      </c>
      <c r="P317">
        <v>5</v>
      </c>
      <c r="Q317" t="b">
        <v>1</v>
      </c>
      <c r="R317" s="1">
        <v>44461.9</v>
      </c>
      <c r="S317" s="1">
        <v>44463.302777777775</v>
      </c>
      <c r="T317" t="s">
        <v>109</v>
      </c>
      <c r="U317" t="b">
        <v>0</v>
      </c>
      <c r="V317" s="2">
        <v>44461.9</v>
      </c>
      <c r="W317">
        <v>9</v>
      </c>
      <c r="X317">
        <v>2021</v>
      </c>
      <c r="Y317" t="s">
        <v>129</v>
      </c>
      <c r="Z317">
        <v>5</v>
      </c>
    </row>
    <row r="318" spans="1:26" x14ac:dyDescent="0.45">
      <c r="A318">
        <v>2334</v>
      </c>
      <c r="B318">
        <v>1454</v>
      </c>
      <c r="C318" t="s">
        <v>133</v>
      </c>
      <c r="D318" t="s">
        <v>42</v>
      </c>
      <c r="E318">
        <v>79</v>
      </c>
      <c r="F318">
        <v>745</v>
      </c>
      <c r="G318" t="s">
        <v>134</v>
      </c>
      <c r="H318" t="s">
        <v>35</v>
      </c>
      <c r="I318" t="s">
        <v>122</v>
      </c>
      <c r="J318" t="s">
        <v>135</v>
      </c>
      <c r="K318" t="s">
        <v>27</v>
      </c>
      <c r="L318" t="s">
        <v>28</v>
      </c>
      <c r="M318" t="s">
        <v>29</v>
      </c>
      <c r="N318" t="s">
        <v>30</v>
      </c>
      <c r="O318" t="s">
        <v>31</v>
      </c>
      <c r="P318">
        <v>5</v>
      </c>
      <c r="Q318" t="b">
        <v>1</v>
      </c>
      <c r="R318" s="1">
        <v>44321.581250000003</v>
      </c>
      <c r="S318" s="1">
        <v>44328.067361111112</v>
      </c>
      <c r="T318" t="s">
        <v>109</v>
      </c>
      <c r="U318" t="b">
        <v>1</v>
      </c>
      <c r="V318" s="2">
        <v>44321.581250000003</v>
      </c>
      <c r="W318">
        <v>5</v>
      </c>
      <c r="X318">
        <v>2021</v>
      </c>
      <c r="Y318" t="s">
        <v>35</v>
      </c>
      <c r="Z318">
        <v>5</v>
      </c>
    </row>
    <row r="319" spans="1:26" x14ac:dyDescent="0.45">
      <c r="A319">
        <v>2335</v>
      </c>
      <c r="B319">
        <v>1352</v>
      </c>
      <c r="C319" t="s">
        <v>138</v>
      </c>
      <c r="D319" t="s">
        <v>22</v>
      </c>
      <c r="E319">
        <v>28</v>
      </c>
      <c r="F319">
        <v>699</v>
      </c>
      <c r="G319" t="s">
        <v>139</v>
      </c>
      <c r="H319" t="s">
        <v>73</v>
      </c>
      <c r="I319" t="s">
        <v>140</v>
      </c>
      <c r="J319" t="s">
        <v>141</v>
      </c>
      <c r="K319" t="s">
        <v>27</v>
      </c>
      <c r="L319" t="s">
        <v>96</v>
      </c>
      <c r="M319" t="s">
        <v>97</v>
      </c>
      <c r="N319" t="s">
        <v>98</v>
      </c>
      <c r="O319" t="s">
        <v>99</v>
      </c>
      <c r="P319">
        <v>2</v>
      </c>
      <c r="Q319" t="b">
        <v>1</v>
      </c>
      <c r="R319" s="1">
        <v>44495.845138888886</v>
      </c>
      <c r="S319" s="1">
        <v>44499.282638888886</v>
      </c>
      <c r="T319" t="s">
        <v>32</v>
      </c>
      <c r="U319" t="b">
        <v>0</v>
      </c>
      <c r="V319" s="2">
        <v>44495.845138888886</v>
      </c>
      <c r="W319">
        <v>10</v>
      </c>
      <c r="X319">
        <v>2021</v>
      </c>
      <c r="Y319" t="s">
        <v>73</v>
      </c>
      <c r="Z319">
        <v>2</v>
      </c>
    </row>
    <row r="320" spans="1:26" x14ac:dyDescent="0.45">
      <c r="A320">
        <v>2336</v>
      </c>
      <c r="B320">
        <v>1452</v>
      </c>
      <c r="C320" t="s">
        <v>145</v>
      </c>
      <c r="D320" t="s">
        <v>42</v>
      </c>
      <c r="E320">
        <v>48</v>
      </c>
      <c r="F320">
        <v>725</v>
      </c>
      <c r="G320" t="s">
        <v>146</v>
      </c>
      <c r="H320" t="s">
        <v>93</v>
      </c>
      <c r="I320" t="s">
        <v>112</v>
      </c>
      <c r="J320" t="s">
        <v>147</v>
      </c>
      <c r="K320" t="s">
        <v>102</v>
      </c>
      <c r="L320" t="s">
        <v>96</v>
      </c>
      <c r="M320" t="s">
        <v>136</v>
      </c>
      <c r="N320" t="s">
        <v>30</v>
      </c>
      <c r="O320" t="s">
        <v>137</v>
      </c>
      <c r="P320">
        <v>4</v>
      </c>
      <c r="Q320" t="b">
        <v>1</v>
      </c>
      <c r="R320" s="1">
        <v>45268.838194444441</v>
      </c>
      <c r="S320" s="1">
        <v>45275.768055555556</v>
      </c>
      <c r="T320" t="s">
        <v>60</v>
      </c>
      <c r="U320" t="b">
        <v>0</v>
      </c>
      <c r="V320" s="2">
        <v>45268.838194444441</v>
      </c>
      <c r="W320">
        <v>12</v>
      </c>
      <c r="X320">
        <v>2023</v>
      </c>
      <c r="Y320" t="s">
        <v>93</v>
      </c>
      <c r="Z320">
        <v>4</v>
      </c>
    </row>
    <row r="321" spans="1:26" x14ac:dyDescent="0.45">
      <c r="A321">
        <v>2337</v>
      </c>
      <c r="B321">
        <v>1144</v>
      </c>
      <c r="C321" t="s">
        <v>148</v>
      </c>
      <c r="D321" t="s">
        <v>42</v>
      </c>
      <c r="E321">
        <v>69</v>
      </c>
      <c r="F321">
        <v>743</v>
      </c>
      <c r="G321" t="s">
        <v>149</v>
      </c>
      <c r="H321" t="s">
        <v>52</v>
      </c>
      <c r="I321" t="s">
        <v>150</v>
      </c>
      <c r="J321" t="s">
        <v>151</v>
      </c>
      <c r="K321" t="s">
        <v>37</v>
      </c>
      <c r="L321" t="s">
        <v>56</v>
      </c>
      <c r="M321" t="s">
        <v>57</v>
      </c>
      <c r="N321" t="s">
        <v>58</v>
      </c>
      <c r="O321" t="s">
        <v>59</v>
      </c>
      <c r="P321">
        <v>1</v>
      </c>
      <c r="Q321" t="b">
        <v>1</v>
      </c>
      <c r="R321" s="1">
        <v>44855.537499999999</v>
      </c>
      <c r="S321" s="1">
        <v>44862.177777777775</v>
      </c>
      <c r="T321" t="s">
        <v>40</v>
      </c>
      <c r="U321" t="b">
        <v>0</v>
      </c>
      <c r="V321" s="2">
        <v>44855.537499999999</v>
      </c>
      <c r="W321">
        <v>10</v>
      </c>
      <c r="X321">
        <v>2022</v>
      </c>
      <c r="Y321" t="s">
        <v>52</v>
      </c>
      <c r="Z321">
        <v>1</v>
      </c>
    </row>
    <row r="322" spans="1:26" x14ac:dyDescent="0.45">
      <c r="A322">
        <v>2338</v>
      </c>
      <c r="B322">
        <v>1218</v>
      </c>
      <c r="C322" t="s">
        <v>152</v>
      </c>
      <c r="D322" t="s">
        <v>22</v>
      </c>
      <c r="E322">
        <v>71</v>
      </c>
      <c r="F322">
        <v>752</v>
      </c>
      <c r="G322" t="s">
        <v>153</v>
      </c>
      <c r="H322" t="s">
        <v>85</v>
      </c>
      <c r="I322" t="s">
        <v>116</v>
      </c>
      <c r="J322" t="s">
        <v>154</v>
      </c>
      <c r="K322" t="s">
        <v>46</v>
      </c>
      <c r="L322" t="s">
        <v>67</v>
      </c>
      <c r="M322" t="s">
        <v>165</v>
      </c>
      <c r="N322" t="s">
        <v>166</v>
      </c>
      <c r="O322" t="s">
        <v>167</v>
      </c>
      <c r="P322">
        <v>1</v>
      </c>
      <c r="Q322" t="b">
        <v>1</v>
      </c>
      <c r="R322" s="1">
        <v>44927.419444444444</v>
      </c>
      <c r="S322" s="1">
        <v>44929.700694444444</v>
      </c>
      <c r="T322" t="s">
        <v>32</v>
      </c>
      <c r="U322" t="b">
        <v>0</v>
      </c>
      <c r="V322" s="2">
        <v>44927.419444444444</v>
      </c>
      <c r="W322">
        <v>1</v>
      </c>
      <c r="X322">
        <v>2023</v>
      </c>
      <c r="Y322" t="s">
        <v>85</v>
      </c>
      <c r="Z322">
        <v>1</v>
      </c>
    </row>
    <row r="323" spans="1:26" x14ac:dyDescent="0.45">
      <c r="A323">
        <v>2339</v>
      </c>
      <c r="B323">
        <v>1029</v>
      </c>
      <c r="C323" t="s">
        <v>155</v>
      </c>
      <c r="D323" t="s">
        <v>42</v>
      </c>
      <c r="E323">
        <v>60</v>
      </c>
      <c r="F323">
        <v>757</v>
      </c>
      <c r="G323" t="s">
        <v>156</v>
      </c>
      <c r="H323" t="s">
        <v>73</v>
      </c>
      <c r="I323" t="s">
        <v>74</v>
      </c>
      <c r="J323" t="s">
        <v>157</v>
      </c>
      <c r="K323" t="s">
        <v>102</v>
      </c>
      <c r="L323" t="s">
        <v>56</v>
      </c>
      <c r="M323" t="s">
        <v>179</v>
      </c>
      <c r="N323" t="s">
        <v>79</v>
      </c>
      <c r="O323" t="s">
        <v>161</v>
      </c>
      <c r="P323">
        <v>1</v>
      </c>
      <c r="Q323" t="b">
        <v>1</v>
      </c>
      <c r="R323" s="1">
        <v>44412.060416666667</v>
      </c>
      <c r="S323" s="1">
        <v>44415.865972222222</v>
      </c>
      <c r="T323" t="s">
        <v>40</v>
      </c>
      <c r="U323" t="b">
        <v>0</v>
      </c>
      <c r="V323" s="2">
        <v>44412.060416666667</v>
      </c>
      <c r="W323">
        <v>8</v>
      </c>
      <c r="X323">
        <v>2021</v>
      </c>
      <c r="Y323" t="s">
        <v>73</v>
      </c>
      <c r="Z323">
        <v>1</v>
      </c>
    </row>
    <row r="324" spans="1:26" x14ac:dyDescent="0.45">
      <c r="A324">
        <v>2340</v>
      </c>
      <c r="B324">
        <v>1171</v>
      </c>
      <c r="C324" t="s">
        <v>158</v>
      </c>
      <c r="D324" t="s">
        <v>42</v>
      </c>
      <c r="E324">
        <v>65</v>
      </c>
      <c r="F324">
        <v>746</v>
      </c>
      <c r="G324" t="s">
        <v>159</v>
      </c>
      <c r="H324" t="s">
        <v>52</v>
      </c>
      <c r="I324" t="s">
        <v>150</v>
      </c>
      <c r="J324" t="s">
        <v>151</v>
      </c>
      <c r="K324" t="s">
        <v>37</v>
      </c>
      <c r="L324" t="s">
        <v>56</v>
      </c>
      <c r="M324" t="s">
        <v>179</v>
      </c>
      <c r="N324" t="s">
        <v>79</v>
      </c>
      <c r="O324" t="s">
        <v>161</v>
      </c>
      <c r="P324">
        <v>2</v>
      </c>
      <c r="Q324" t="b">
        <v>1</v>
      </c>
      <c r="R324" s="1">
        <v>44910.411805555559</v>
      </c>
      <c r="S324" s="1">
        <v>44912.720138888886</v>
      </c>
      <c r="T324" t="s">
        <v>60</v>
      </c>
      <c r="U324" t="b">
        <v>0</v>
      </c>
      <c r="V324" s="2">
        <v>44910.411805555559</v>
      </c>
      <c r="W324">
        <v>12</v>
      </c>
      <c r="X324">
        <v>2022</v>
      </c>
      <c r="Y324" t="s">
        <v>52</v>
      </c>
      <c r="Z324">
        <v>2</v>
      </c>
    </row>
    <row r="325" spans="1:26" x14ac:dyDescent="0.45">
      <c r="A325">
        <v>2341</v>
      </c>
      <c r="B325">
        <v>1101</v>
      </c>
      <c r="C325" t="s">
        <v>162</v>
      </c>
      <c r="D325" t="s">
        <v>42</v>
      </c>
      <c r="E325">
        <v>60</v>
      </c>
      <c r="F325">
        <v>755</v>
      </c>
      <c r="G325" t="s">
        <v>163</v>
      </c>
      <c r="H325" t="s">
        <v>63</v>
      </c>
      <c r="I325" t="s">
        <v>64</v>
      </c>
      <c r="J325" t="s">
        <v>164</v>
      </c>
      <c r="K325" t="s">
        <v>55</v>
      </c>
      <c r="L325" t="s">
        <v>76</v>
      </c>
      <c r="M325" t="s">
        <v>132</v>
      </c>
      <c r="N325" t="s">
        <v>59</v>
      </c>
      <c r="O325" t="s">
        <v>98</v>
      </c>
      <c r="P325">
        <v>4</v>
      </c>
      <c r="Q325" t="b">
        <v>0</v>
      </c>
      <c r="R325" s="1">
        <v>43926.435416666667</v>
      </c>
      <c r="V325" s="2">
        <v>43926.435416666667</v>
      </c>
      <c r="W325">
        <v>4</v>
      </c>
      <c r="X325">
        <v>2020</v>
      </c>
      <c r="Y325" t="s">
        <v>63</v>
      </c>
      <c r="Z325">
        <v>4</v>
      </c>
    </row>
    <row r="326" spans="1:26" x14ac:dyDescent="0.45">
      <c r="A326">
        <v>2342</v>
      </c>
      <c r="B326">
        <v>1018</v>
      </c>
      <c r="C326" t="s">
        <v>168</v>
      </c>
      <c r="D326" t="s">
        <v>42</v>
      </c>
      <c r="E326">
        <v>49</v>
      </c>
      <c r="F326">
        <v>726</v>
      </c>
      <c r="G326" t="s">
        <v>169</v>
      </c>
      <c r="H326" t="s">
        <v>63</v>
      </c>
      <c r="I326" t="s">
        <v>64</v>
      </c>
      <c r="J326" t="s">
        <v>65</v>
      </c>
      <c r="K326" t="s">
        <v>102</v>
      </c>
      <c r="L326" t="s">
        <v>28</v>
      </c>
      <c r="M326" t="s">
        <v>29</v>
      </c>
      <c r="N326" t="s">
        <v>30</v>
      </c>
      <c r="O326" t="s">
        <v>31</v>
      </c>
      <c r="P326">
        <v>5</v>
      </c>
      <c r="Q326" t="b">
        <v>0</v>
      </c>
      <c r="R326" s="1">
        <v>44720.57708333333</v>
      </c>
      <c r="V326" s="2">
        <v>44720.57708333333</v>
      </c>
      <c r="W326">
        <v>6</v>
      </c>
      <c r="X326">
        <v>2022</v>
      </c>
      <c r="Y326" t="s">
        <v>63</v>
      </c>
      <c r="Z326">
        <v>5</v>
      </c>
    </row>
    <row r="327" spans="1:26" x14ac:dyDescent="0.45">
      <c r="A327">
        <v>2343</v>
      </c>
      <c r="B327">
        <v>1240</v>
      </c>
      <c r="C327" t="s">
        <v>170</v>
      </c>
      <c r="D327" t="s">
        <v>42</v>
      </c>
      <c r="E327">
        <v>54</v>
      </c>
      <c r="F327">
        <v>739</v>
      </c>
      <c r="G327" t="s">
        <v>171</v>
      </c>
      <c r="H327" t="s">
        <v>172</v>
      </c>
      <c r="I327" t="s">
        <v>173</v>
      </c>
      <c r="J327" t="s">
        <v>174</v>
      </c>
      <c r="K327" t="s">
        <v>27</v>
      </c>
      <c r="L327" t="s">
        <v>28</v>
      </c>
      <c r="M327" t="s">
        <v>47</v>
      </c>
      <c r="N327" t="s">
        <v>48</v>
      </c>
      <c r="O327" t="s">
        <v>49</v>
      </c>
      <c r="P327">
        <v>5</v>
      </c>
      <c r="Q327" t="b">
        <v>1</v>
      </c>
      <c r="R327" s="1">
        <v>45234.335416666669</v>
      </c>
      <c r="S327" s="1">
        <v>45235.343055555553</v>
      </c>
      <c r="T327" t="s">
        <v>60</v>
      </c>
      <c r="U327" t="b">
        <v>0</v>
      </c>
      <c r="V327" s="2">
        <v>45234.335416666669</v>
      </c>
      <c r="W327">
        <v>11</v>
      </c>
      <c r="X327">
        <v>2023</v>
      </c>
      <c r="Y327" t="s">
        <v>172</v>
      </c>
      <c r="Z327">
        <v>5</v>
      </c>
    </row>
    <row r="328" spans="1:26" x14ac:dyDescent="0.45">
      <c r="A328">
        <v>2344</v>
      </c>
      <c r="B328">
        <v>1338</v>
      </c>
      <c r="C328" t="s">
        <v>175</v>
      </c>
      <c r="D328" t="s">
        <v>22</v>
      </c>
      <c r="E328">
        <v>35</v>
      </c>
      <c r="F328">
        <v>684</v>
      </c>
      <c r="G328" t="s">
        <v>176</v>
      </c>
      <c r="H328" t="s">
        <v>172</v>
      </c>
      <c r="I328" t="s">
        <v>177</v>
      </c>
      <c r="J328" t="s">
        <v>178</v>
      </c>
      <c r="K328" t="s">
        <v>66</v>
      </c>
      <c r="L328" t="s">
        <v>96</v>
      </c>
      <c r="M328" t="s">
        <v>97</v>
      </c>
      <c r="N328" t="s">
        <v>98</v>
      </c>
      <c r="O328" t="s">
        <v>99</v>
      </c>
      <c r="P328">
        <v>4</v>
      </c>
      <c r="Q328" t="b">
        <v>1</v>
      </c>
      <c r="R328" s="1">
        <v>45052.859722222223</v>
      </c>
      <c r="S328" s="1">
        <v>45057.980555555558</v>
      </c>
      <c r="T328" t="s">
        <v>40</v>
      </c>
      <c r="U328" t="b">
        <v>0</v>
      </c>
      <c r="V328" s="2">
        <v>45052.859722222223</v>
      </c>
      <c r="W328">
        <v>5</v>
      </c>
      <c r="X328">
        <v>2023</v>
      </c>
      <c r="Y328" t="s">
        <v>172</v>
      </c>
      <c r="Z328">
        <v>4</v>
      </c>
    </row>
    <row r="329" spans="1:26" x14ac:dyDescent="0.45">
      <c r="A329">
        <v>2345</v>
      </c>
      <c r="B329">
        <v>1385</v>
      </c>
      <c r="C329" t="s">
        <v>180</v>
      </c>
      <c r="D329" t="s">
        <v>22</v>
      </c>
      <c r="E329">
        <v>57</v>
      </c>
      <c r="F329">
        <v>732</v>
      </c>
      <c r="G329" t="s">
        <v>181</v>
      </c>
      <c r="H329" t="s">
        <v>85</v>
      </c>
      <c r="I329" t="s">
        <v>86</v>
      </c>
      <c r="J329" t="s">
        <v>182</v>
      </c>
      <c r="K329" t="s">
        <v>66</v>
      </c>
      <c r="L329" t="s">
        <v>76</v>
      </c>
      <c r="M329" t="s">
        <v>160</v>
      </c>
      <c r="N329" t="s">
        <v>79</v>
      </c>
      <c r="O329" t="s">
        <v>161</v>
      </c>
      <c r="P329">
        <v>2</v>
      </c>
      <c r="Q329" t="b">
        <v>1</v>
      </c>
      <c r="R329" s="1">
        <v>45149.161805555559</v>
      </c>
      <c r="S329" s="1">
        <v>45153.275694444441</v>
      </c>
      <c r="T329" t="s">
        <v>60</v>
      </c>
      <c r="U329" t="b">
        <v>0</v>
      </c>
      <c r="V329" s="2">
        <v>45149.161805555559</v>
      </c>
      <c r="W329">
        <v>8</v>
      </c>
      <c r="X329">
        <v>2023</v>
      </c>
      <c r="Y329" t="s">
        <v>85</v>
      </c>
      <c r="Z329">
        <v>2</v>
      </c>
    </row>
    <row r="330" spans="1:26" x14ac:dyDescent="0.45">
      <c r="A330">
        <v>2346</v>
      </c>
      <c r="B330">
        <v>1065</v>
      </c>
      <c r="C330" t="s">
        <v>183</v>
      </c>
      <c r="D330" t="s">
        <v>42</v>
      </c>
      <c r="E330">
        <v>23</v>
      </c>
      <c r="F330">
        <v>639</v>
      </c>
      <c r="G330" t="s">
        <v>184</v>
      </c>
      <c r="H330" t="s">
        <v>24</v>
      </c>
      <c r="I330" t="s">
        <v>44</v>
      </c>
      <c r="J330" t="s">
        <v>45</v>
      </c>
      <c r="K330" t="s">
        <v>27</v>
      </c>
      <c r="L330" t="s">
        <v>28</v>
      </c>
      <c r="M330" t="s">
        <v>29</v>
      </c>
      <c r="N330" t="s">
        <v>30</v>
      </c>
      <c r="O330" t="s">
        <v>31</v>
      </c>
      <c r="P330">
        <v>4</v>
      </c>
      <c r="Q330" t="b">
        <v>1</v>
      </c>
      <c r="R330" s="1">
        <v>44459.82708333333</v>
      </c>
      <c r="S330" s="1">
        <v>44464.522222222222</v>
      </c>
      <c r="T330" t="s">
        <v>60</v>
      </c>
      <c r="U330" t="b">
        <v>0</v>
      </c>
      <c r="V330" s="2">
        <v>44459.82708333333</v>
      </c>
      <c r="W330">
        <v>9</v>
      </c>
      <c r="X330">
        <v>2021</v>
      </c>
      <c r="Y330" t="s">
        <v>24</v>
      </c>
      <c r="Z330">
        <v>4</v>
      </c>
    </row>
    <row r="331" spans="1:26" x14ac:dyDescent="0.45">
      <c r="A331">
        <v>2347</v>
      </c>
      <c r="B331">
        <v>1445</v>
      </c>
      <c r="C331" t="s">
        <v>185</v>
      </c>
      <c r="D331" t="s">
        <v>22</v>
      </c>
      <c r="E331">
        <v>17</v>
      </c>
      <c r="H331" t="s">
        <v>85</v>
      </c>
      <c r="I331" t="s">
        <v>116</v>
      </c>
      <c r="J331" t="s">
        <v>117</v>
      </c>
      <c r="K331" t="s">
        <v>102</v>
      </c>
      <c r="L331" t="s">
        <v>67</v>
      </c>
      <c r="M331" t="s">
        <v>108</v>
      </c>
      <c r="N331" t="s">
        <v>99</v>
      </c>
      <c r="O331" t="s">
        <v>30</v>
      </c>
      <c r="P331">
        <v>1</v>
      </c>
      <c r="Q331" t="b">
        <v>1</v>
      </c>
      <c r="R331" s="1">
        <v>43853.140277777777</v>
      </c>
      <c r="S331" s="1">
        <v>43859.089583333334</v>
      </c>
      <c r="T331" t="s">
        <v>109</v>
      </c>
      <c r="U331" t="b">
        <v>0</v>
      </c>
      <c r="V331" s="2">
        <v>43853.140277777777</v>
      </c>
      <c r="W331">
        <v>1</v>
      </c>
      <c r="X331">
        <v>2020</v>
      </c>
      <c r="Y331" t="s">
        <v>85</v>
      </c>
      <c r="Z331">
        <v>1</v>
      </c>
    </row>
    <row r="332" spans="1:26" x14ac:dyDescent="0.45">
      <c r="A332">
        <v>2348</v>
      </c>
      <c r="B332">
        <v>1113</v>
      </c>
      <c r="C332" t="s">
        <v>186</v>
      </c>
      <c r="D332" t="s">
        <v>22</v>
      </c>
      <c r="E332">
        <v>73</v>
      </c>
      <c r="F332">
        <v>743</v>
      </c>
      <c r="G332" t="s">
        <v>187</v>
      </c>
      <c r="H332" t="s">
        <v>24</v>
      </c>
      <c r="I332" t="s">
        <v>25</v>
      </c>
      <c r="J332" t="s">
        <v>188</v>
      </c>
      <c r="K332" t="s">
        <v>46</v>
      </c>
      <c r="L332" t="s">
        <v>67</v>
      </c>
      <c r="M332" t="s">
        <v>165</v>
      </c>
      <c r="N332" t="s">
        <v>166</v>
      </c>
      <c r="O332" t="s">
        <v>167</v>
      </c>
      <c r="P332">
        <v>3</v>
      </c>
      <c r="Q332" t="b">
        <v>0</v>
      </c>
      <c r="R332" s="1">
        <v>44609.400694444441</v>
      </c>
      <c r="V332" s="2">
        <v>44609.400694444441</v>
      </c>
      <c r="W332">
        <v>2</v>
      </c>
      <c r="X332">
        <v>2022</v>
      </c>
      <c r="Y332" t="s">
        <v>24</v>
      </c>
      <c r="Z332">
        <v>3</v>
      </c>
    </row>
    <row r="333" spans="1:26" x14ac:dyDescent="0.45">
      <c r="A333">
        <v>2350</v>
      </c>
      <c r="B333">
        <v>1267</v>
      </c>
      <c r="C333" t="s">
        <v>189</v>
      </c>
      <c r="D333" t="s">
        <v>22</v>
      </c>
      <c r="E333">
        <v>32</v>
      </c>
      <c r="F333">
        <v>687</v>
      </c>
      <c r="G333" t="s">
        <v>190</v>
      </c>
      <c r="H333" t="s">
        <v>63</v>
      </c>
      <c r="I333" t="s">
        <v>64</v>
      </c>
      <c r="J333" t="s">
        <v>164</v>
      </c>
      <c r="K333" t="s">
        <v>55</v>
      </c>
      <c r="L333" t="s">
        <v>28</v>
      </c>
      <c r="M333" t="s">
        <v>38</v>
      </c>
      <c r="N333" t="s">
        <v>31</v>
      </c>
      <c r="O333" t="s">
        <v>39</v>
      </c>
      <c r="P333">
        <v>3</v>
      </c>
      <c r="Q333" t="b">
        <v>0</v>
      </c>
      <c r="R333" s="1">
        <v>44075.877083333333</v>
      </c>
      <c r="V333" s="2">
        <v>44075.877083333333</v>
      </c>
      <c r="W333">
        <v>9</v>
      </c>
      <c r="X333">
        <v>2020</v>
      </c>
      <c r="Y333" t="s">
        <v>63</v>
      </c>
      <c r="Z333">
        <v>3</v>
      </c>
    </row>
    <row r="334" spans="1:26" x14ac:dyDescent="0.45">
      <c r="A334">
        <v>2351</v>
      </c>
      <c r="B334">
        <v>1466</v>
      </c>
      <c r="C334" t="s">
        <v>191</v>
      </c>
      <c r="D334" t="s">
        <v>22</v>
      </c>
      <c r="E334">
        <v>73</v>
      </c>
      <c r="F334">
        <v>742</v>
      </c>
      <c r="G334" t="s">
        <v>192</v>
      </c>
      <c r="H334" t="s">
        <v>85</v>
      </c>
      <c r="I334" t="s">
        <v>116</v>
      </c>
      <c r="J334" t="s">
        <v>117</v>
      </c>
      <c r="K334" t="s">
        <v>37</v>
      </c>
      <c r="L334" t="s">
        <v>67</v>
      </c>
      <c r="M334" t="s">
        <v>165</v>
      </c>
      <c r="N334" t="s">
        <v>166</v>
      </c>
      <c r="O334" t="s">
        <v>167</v>
      </c>
      <c r="P334">
        <v>1</v>
      </c>
      <c r="Q334" t="b">
        <v>1</v>
      </c>
      <c r="R334" s="1">
        <v>44444.399305555555</v>
      </c>
      <c r="S334" s="1">
        <v>44444.808333333334</v>
      </c>
      <c r="T334" t="s">
        <v>60</v>
      </c>
      <c r="U334" t="b">
        <v>0</v>
      </c>
      <c r="V334" s="2">
        <v>44444.399305555555</v>
      </c>
      <c r="W334">
        <v>9</v>
      </c>
      <c r="X334">
        <v>2021</v>
      </c>
      <c r="Y334" t="s">
        <v>85</v>
      </c>
      <c r="Z334">
        <v>1</v>
      </c>
    </row>
    <row r="335" spans="1:26" x14ac:dyDescent="0.45">
      <c r="A335">
        <v>2352</v>
      </c>
      <c r="B335">
        <v>1468</v>
      </c>
      <c r="C335" t="s">
        <v>193</v>
      </c>
      <c r="D335" t="s">
        <v>22</v>
      </c>
      <c r="E335">
        <v>62</v>
      </c>
      <c r="F335">
        <v>756</v>
      </c>
      <c r="G335" t="s">
        <v>194</v>
      </c>
      <c r="H335" t="s">
        <v>73</v>
      </c>
      <c r="I335" t="s">
        <v>74</v>
      </c>
      <c r="J335" t="s">
        <v>157</v>
      </c>
      <c r="K335" t="s">
        <v>102</v>
      </c>
      <c r="L335" t="s">
        <v>56</v>
      </c>
      <c r="M335" t="s">
        <v>197</v>
      </c>
      <c r="N335" t="s">
        <v>198</v>
      </c>
      <c r="O335" t="s">
        <v>199</v>
      </c>
      <c r="P335">
        <v>4</v>
      </c>
      <c r="Q335" t="b">
        <v>0</v>
      </c>
      <c r="R335" s="1">
        <v>44769.166666666664</v>
      </c>
      <c r="V335" s="2">
        <v>44769.166666666664</v>
      </c>
      <c r="W335">
        <v>7</v>
      </c>
      <c r="X335">
        <v>2022</v>
      </c>
      <c r="Y335" t="s">
        <v>73</v>
      </c>
      <c r="Z335">
        <v>4</v>
      </c>
    </row>
    <row r="336" spans="1:26" x14ac:dyDescent="0.45">
      <c r="A336">
        <v>2353</v>
      </c>
      <c r="B336">
        <v>1498</v>
      </c>
      <c r="C336" t="s">
        <v>195</v>
      </c>
      <c r="D336" t="s">
        <v>42</v>
      </c>
      <c r="E336">
        <v>17</v>
      </c>
      <c r="H336" t="s">
        <v>52</v>
      </c>
      <c r="I336" t="s">
        <v>53</v>
      </c>
      <c r="J336" t="s">
        <v>196</v>
      </c>
      <c r="K336" t="s">
        <v>102</v>
      </c>
      <c r="L336" t="s">
        <v>67</v>
      </c>
      <c r="M336" t="s">
        <v>233</v>
      </c>
      <c r="N336" t="s">
        <v>89</v>
      </c>
      <c r="O336" t="s">
        <v>90</v>
      </c>
      <c r="P336">
        <v>5</v>
      </c>
      <c r="Q336" t="b">
        <v>1</v>
      </c>
      <c r="R336" s="1">
        <v>43870.402777777781</v>
      </c>
      <c r="S336" s="1">
        <v>43872.173611111109</v>
      </c>
      <c r="T336" t="s">
        <v>40</v>
      </c>
      <c r="U336" t="b">
        <v>0</v>
      </c>
      <c r="V336" s="2">
        <v>43870.402777777781</v>
      </c>
      <c r="W336">
        <v>2</v>
      </c>
      <c r="X336">
        <v>2020</v>
      </c>
      <c r="Y336" t="s">
        <v>52</v>
      </c>
      <c r="Z336">
        <v>5</v>
      </c>
    </row>
    <row r="337" spans="1:26" x14ac:dyDescent="0.45">
      <c r="A337">
        <v>2354</v>
      </c>
      <c r="B337">
        <v>1172</v>
      </c>
      <c r="C337" t="s">
        <v>200</v>
      </c>
      <c r="D337" t="s">
        <v>22</v>
      </c>
      <c r="E337">
        <v>18</v>
      </c>
      <c r="F337">
        <v>653</v>
      </c>
      <c r="G337" t="s">
        <v>201</v>
      </c>
      <c r="H337" t="s">
        <v>172</v>
      </c>
      <c r="I337" t="s">
        <v>177</v>
      </c>
      <c r="J337" t="s">
        <v>202</v>
      </c>
      <c r="K337" t="s">
        <v>27</v>
      </c>
      <c r="L337" t="s">
        <v>67</v>
      </c>
      <c r="M337" t="s">
        <v>108</v>
      </c>
      <c r="N337" t="s">
        <v>99</v>
      </c>
      <c r="O337" t="s">
        <v>30</v>
      </c>
      <c r="P337">
        <v>4</v>
      </c>
      <c r="Q337" t="b">
        <v>1</v>
      </c>
      <c r="R337" s="1">
        <v>44981.32916666667</v>
      </c>
      <c r="S337" s="1">
        <v>44982.545138888891</v>
      </c>
      <c r="T337" t="s">
        <v>109</v>
      </c>
      <c r="U337" t="b">
        <v>0</v>
      </c>
      <c r="V337" s="2">
        <v>44981.32916666667</v>
      </c>
      <c r="W337">
        <v>2</v>
      </c>
      <c r="X337">
        <v>2023</v>
      </c>
      <c r="Y337" t="s">
        <v>172</v>
      </c>
      <c r="Z337">
        <v>4</v>
      </c>
    </row>
    <row r="338" spans="1:26" x14ac:dyDescent="0.45">
      <c r="A338">
        <v>2355</v>
      </c>
      <c r="B338">
        <v>1404</v>
      </c>
      <c r="C338" t="s">
        <v>203</v>
      </c>
      <c r="D338" t="s">
        <v>42</v>
      </c>
      <c r="E338">
        <v>77</v>
      </c>
      <c r="F338">
        <v>758</v>
      </c>
      <c r="G338" t="s">
        <v>204</v>
      </c>
      <c r="H338" t="s">
        <v>52</v>
      </c>
      <c r="I338" t="s">
        <v>150</v>
      </c>
      <c r="J338" t="s">
        <v>205</v>
      </c>
      <c r="K338" t="s">
        <v>46</v>
      </c>
      <c r="L338" t="s">
        <v>96</v>
      </c>
      <c r="M338" t="s">
        <v>103</v>
      </c>
      <c r="N338" t="s">
        <v>31</v>
      </c>
      <c r="O338" t="s">
        <v>104</v>
      </c>
      <c r="P338">
        <v>2</v>
      </c>
      <c r="Q338" t="b">
        <v>1</v>
      </c>
      <c r="R338" s="1">
        <v>44701.493750000001</v>
      </c>
      <c r="S338" s="1">
        <v>44704.313194444447</v>
      </c>
      <c r="T338" t="s">
        <v>60</v>
      </c>
      <c r="U338" t="b">
        <v>0</v>
      </c>
      <c r="V338" s="2">
        <v>44701.493750000001</v>
      </c>
      <c r="W338">
        <v>5</v>
      </c>
      <c r="X338">
        <v>2022</v>
      </c>
      <c r="Y338" t="s">
        <v>52</v>
      </c>
      <c r="Z338">
        <v>2</v>
      </c>
    </row>
    <row r="339" spans="1:26" x14ac:dyDescent="0.45">
      <c r="A339">
        <v>2356</v>
      </c>
      <c r="B339">
        <v>1373</v>
      </c>
      <c r="C339" t="s">
        <v>206</v>
      </c>
      <c r="D339" t="s">
        <v>42</v>
      </c>
      <c r="E339">
        <v>55</v>
      </c>
      <c r="F339">
        <v>707</v>
      </c>
      <c r="G339" t="s">
        <v>207</v>
      </c>
      <c r="H339" t="s">
        <v>24</v>
      </c>
      <c r="I339" t="s">
        <v>44</v>
      </c>
      <c r="J339" t="s">
        <v>208</v>
      </c>
      <c r="K339" t="s">
        <v>27</v>
      </c>
      <c r="L339" t="s">
        <v>28</v>
      </c>
      <c r="M339" t="s">
        <v>142</v>
      </c>
      <c r="N339" t="s">
        <v>143</v>
      </c>
      <c r="O339" t="s">
        <v>144</v>
      </c>
      <c r="P339">
        <v>2</v>
      </c>
      <c r="Q339" t="b">
        <v>1</v>
      </c>
      <c r="R339" s="1">
        <v>44271.272916666669</v>
      </c>
      <c r="S339" s="1">
        <v>44276.536111111112</v>
      </c>
      <c r="T339" t="s">
        <v>60</v>
      </c>
      <c r="U339" t="b">
        <v>0</v>
      </c>
      <c r="V339" s="2">
        <v>44271.272916666669</v>
      </c>
      <c r="W339">
        <v>3</v>
      </c>
      <c r="X339">
        <v>2021</v>
      </c>
      <c r="Y339" t="s">
        <v>24</v>
      </c>
      <c r="Z339">
        <v>2</v>
      </c>
    </row>
    <row r="340" spans="1:26" x14ac:dyDescent="0.45">
      <c r="A340">
        <v>2357</v>
      </c>
      <c r="B340">
        <v>1472</v>
      </c>
      <c r="C340" t="s">
        <v>209</v>
      </c>
      <c r="D340" t="s">
        <v>42</v>
      </c>
      <c r="E340">
        <v>46</v>
      </c>
      <c r="F340">
        <v>733</v>
      </c>
      <c r="G340" t="s">
        <v>210</v>
      </c>
      <c r="H340" t="s">
        <v>63</v>
      </c>
      <c r="I340" t="s">
        <v>64</v>
      </c>
      <c r="J340" t="s">
        <v>164</v>
      </c>
      <c r="K340" t="s">
        <v>27</v>
      </c>
      <c r="L340" t="s">
        <v>56</v>
      </c>
      <c r="M340" t="s">
        <v>88</v>
      </c>
      <c r="N340" t="s">
        <v>89</v>
      </c>
      <c r="O340" t="s">
        <v>90</v>
      </c>
      <c r="P340">
        <v>4</v>
      </c>
      <c r="Q340" t="b">
        <v>0</v>
      </c>
      <c r="R340" s="1">
        <v>44051.461111111108</v>
      </c>
      <c r="V340" s="2">
        <v>44051.461111111108</v>
      </c>
      <c r="W340">
        <v>8</v>
      </c>
      <c r="X340">
        <v>2020</v>
      </c>
      <c r="Y340" t="s">
        <v>63</v>
      </c>
      <c r="Z340">
        <v>4</v>
      </c>
    </row>
    <row r="341" spans="1:26" x14ac:dyDescent="0.45">
      <c r="A341">
        <v>2358</v>
      </c>
      <c r="B341">
        <v>1383</v>
      </c>
      <c r="C341" t="s">
        <v>211</v>
      </c>
      <c r="D341" t="s">
        <v>42</v>
      </c>
      <c r="E341">
        <v>44</v>
      </c>
      <c r="F341">
        <v>713</v>
      </c>
      <c r="G341" t="s">
        <v>212</v>
      </c>
      <c r="H341" t="s">
        <v>73</v>
      </c>
      <c r="I341" t="s">
        <v>140</v>
      </c>
      <c r="J341" t="s">
        <v>213</v>
      </c>
      <c r="K341" t="s">
        <v>27</v>
      </c>
      <c r="L341" t="s">
        <v>56</v>
      </c>
      <c r="M341" t="s">
        <v>57</v>
      </c>
      <c r="N341" t="s">
        <v>58</v>
      </c>
      <c r="O341" t="s">
        <v>59</v>
      </c>
      <c r="P341">
        <v>2</v>
      </c>
      <c r="Q341" t="b">
        <v>1</v>
      </c>
      <c r="R341" s="1">
        <v>44807.704861111109</v>
      </c>
      <c r="S341" s="1">
        <v>44808.796527777777</v>
      </c>
      <c r="T341" t="s">
        <v>40</v>
      </c>
      <c r="U341" t="b">
        <v>0</v>
      </c>
      <c r="V341" s="2">
        <v>44807.704861111109</v>
      </c>
      <c r="W341">
        <v>9</v>
      </c>
      <c r="X341">
        <v>2022</v>
      </c>
      <c r="Y341" t="s">
        <v>73</v>
      </c>
      <c r="Z341">
        <v>2</v>
      </c>
    </row>
    <row r="342" spans="1:26" x14ac:dyDescent="0.45">
      <c r="A342">
        <v>2359</v>
      </c>
      <c r="B342">
        <v>1202</v>
      </c>
      <c r="C342" t="s">
        <v>214</v>
      </c>
      <c r="D342" t="s">
        <v>22</v>
      </c>
      <c r="E342">
        <v>57</v>
      </c>
      <c r="F342">
        <v>716</v>
      </c>
      <c r="G342" t="s">
        <v>215</v>
      </c>
      <c r="H342" t="s">
        <v>63</v>
      </c>
      <c r="I342" t="s">
        <v>64</v>
      </c>
      <c r="J342" t="s">
        <v>164</v>
      </c>
      <c r="K342" t="s">
        <v>46</v>
      </c>
      <c r="L342" t="s">
        <v>76</v>
      </c>
      <c r="M342" t="s">
        <v>77</v>
      </c>
      <c r="N342" t="s">
        <v>78</v>
      </c>
      <c r="O342" t="s">
        <v>79</v>
      </c>
      <c r="P342">
        <v>2</v>
      </c>
      <c r="Q342" t="b">
        <v>1</v>
      </c>
      <c r="R342" s="1">
        <v>44450.286111111112</v>
      </c>
      <c r="S342" s="1">
        <v>44455.80972222222</v>
      </c>
      <c r="T342" t="s">
        <v>40</v>
      </c>
      <c r="U342" t="b">
        <v>0</v>
      </c>
      <c r="V342" s="2">
        <v>44450.286111111112</v>
      </c>
      <c r="W342">
        <v>9</v>
      </c>
      <c r="X342">
        <v>2021</v>
      </c>
      <c r="Y342" t="s">
        <v>63</v>
      </c>
      <c r="Z342">
        <v>2</v>
      </c>
    </row>
    <row r="343" spans="1:26" x14ac:dyDescent="0.45">
      <c r="A343">
        <v>2360</v>
      </c>
      <c r="B343">
        <v>1424</v>
      </c>
      <c r="C343" t="s">
        <v>216</v>
      </c>
      <c r="D343" t="s">
        <v>42</v>
      </c>
      <c r="E343">
        <v>31</v>
      </c>
      <c r="F343">
        <v>689</v>
      </c>
      <c r="G343" t="s">
        <v>217</v>
      </c>
      <c r="H343" t="s">
        <v>85</v>
      </c>
      <c r="I343" t="s">
        <v>86</v>
      </c>
      <c r="J343" t="s">
        <v>182</v>
      </c>
      <c r="K343" t="s">
        <v>55</v>
      </c>
      <c r="L343" t="s">
        <v>28</v>
      </c>
      <c r="M343" t="s">
        <v>47</v>
      </c>
      <c r="N343" t="s">
        <v>48</v>
      </c>
      <c r="O343" t="s">
        <v>49</v>
      </c>
      <c r="P343">
        <v>1</v>
      </c>
      <c r="Q343" t="b">
        <v>1</v>
      </c>
      <c r="R343" s="1">
        <v>44153.602083333331</v>
      </c>
      <c r="S343" s="1">
        <v>44154.056250000001</v>
      </c>
      <c r="T343" t="s">
        <v>32</v>
      </c>
      <c r="U343" t="b">
        <v>1</v>
      </c>
      <c r="V343" s="2">
        <v>44153.602083333331</v>
      </c>
      <c r="W343">
        <v>11</v>
      </c>
      <c r="X343">
        <v>2020</v>
      </c>
      <c r="Y343" t="s">
        <v>85</v>
      </c>
      <c r="Z343">
        <v>1</v>
      </c>
    </row>
    <row r="344" spans="1:26" x14ac:dyDescent="0.45">
      <c r="A344">
        <v>2361</v>
      </c>
      <c r="B344">
        <v>1281</v>
      </c>
      <c r="C344" t="s">
        <v>218</v>
      </c>
      <c r="D344" t="s">
        <v>42</v>
      </c>
      <c r="E344">
        <v>77</v>
      </c>
      <c r="F344">
        <v>749</v>
      </c>
      <c r="G344" t="s">
        <v>219</v>
      </c>
      <c r="H344" t="s">
        <v>73</v>
      </c>
      <c r="I344" t="s">
        <v>74</v>
      </c>
      <c r="J344" t="s">
        <v>157</v>
      </c>
      <c r="K344" t="s">
        <v>46</v>
      </c>
      <c r="L344" t="s">
        <v>28</v>
      </c>
      <c r="M344" t="s">
        <v>29</v>
      </c>
      <c r="N344" t="s">
        <v>30</v>
      </c>
      <c r="O344" t="s">
        <v>31</v>
      </c>
      <c r="P344">
        <v>3</v>
      </c>
      <c r="Q344" t="b">
        <v>1</v>
      </c>
      <c r="R344" s="1">
        <v>43932.061805555553</v>
      </c>
      <c r="S344" s="1">
        <v>43933.868055555555</v>
      </c>
      <c r="T344" t="s">
        <v>60</v>
      </c>
      <c r="U344" t="b">
        <v>0</v>
      </c>
      <c r="V344" s="2">
        <v>43932.061805555553</v>
      </c>
      <c r="W344">
        <v>4</v>
      </c>
      <c r="X344">
        <v>2020</v>
      </c>
      <c r="Y344" t="s">
        <v>73</v>
      </c>
      <c r="Z344">
        <v>3</v>
      </c>
    </row>
    <row r="345" spans="1:26" x14ac:dyDescent="0.45">
      <c r="A345">
        <v>2362</v>
      </c>
      <c r="B345">
        <v>1004</v>
      </c>
      <c r="C345" t="s">
        <v>220</v>
      </c>
      <c r="D345" t="s">
        <v>22</v>
      </c>
      <c r="E345">
        <v>33</v>
      </c>
      <c r="F345">
        <v>695</v>
      </c>
      <c r="G345" t="s">
        <v>221</v>
      </c>
      <c r="H345" t="s">
        <v>24</v>
      </c>
      <c r="I345" t="s">
        <v>25</v>
      </c>
      <c r="J345" t="s">
        <v>222</v>
      </c>
      <c r="K345" t="s">
        <v>37</v>
      </c>
      <c r="L345" t="s">
        <v>96</v>
      </c>
      <c r="M345" t="s">
        <v>118</v>
      </c>
      <c r="N345" t="s">
        <v>90</v>
      </c>
      <c r="O345" t="s">
        <v>119</v>
      </c>
      <c r="P345">
        <v>3</v>
      </c>
      <c r="Q345" t="b">
        <v>1</v>
      </c>
      <c r="R345" s="1">
        <v>44700.890972222223</v>
      </c>
      <c r="S345" s="1">
        <v>44704.654166666667</v>
      </c>
      <c r="T345" t="s">
        <v>60</v>
      </c>
      <c r="U345" t="b">
        <v>0</v>
      </c>
      <c r="V345" s="2">
        <v>44700.890972222223</v>
      </c>
      <c r="W345">
        <v>5</v>
      </c>
      <c r="X345">
        <v>2022</v>
      </c>
      <c r="Y345" t="s">
        <v>24</v>
      </c>
      <c r="Z345">
        <v>3</v>
      </c>
    </row>
    <row r="346" spans="1:26" x14ac:dyDescent="0.45">
      <c r="A346">
        <v>2363</v>
      </c>
      <c r="B346">
        <v>1059</v>
      </c>
      <c r="C346" t="s">
        <v>223</v>
      </c>
      <c r="D346" t="s">
        <v>22</v>
      </c>
      <c r="E346">
        <v>37</v>
      </c>
      <c r="F346">
        <v>696</v>
      </c>
      <c r="G346" t="s">
        <v>224</v>
      </c>
      <c r="H346" t="s">
        <v>24</v>
      </c>
      <c r="I346" t="s">
        <v>44</v>
      </c>
      <c r="J346" t="s">
        <v>225</v>
      </c>
      <c r="K346" t="s">
        <v>66</v>
      </c>
      <c r="L346" t="s">
        <v>67</v>
      </c>
      <c r="M346" t="s">
        <v>108</v>
      </c>
      <c r="N346" t="s">
        <v>99</v>
      </c>
      <c r="O346" t="s">
        <v>30</v>
      </c>
      <c r="P346">
        <v>4</v>
      </c>
      <c r="Q346" t="b">
        <v>1</v>
      </c>
      <c r="R346" s="1">
        <v>44592.213194444441</v>
      </c>
      <c r="S346" s="1">
        <v>44597.646527777775</v>
      </c>
      <c r="T346" t="s">
        <v>40</v>
      </c>
      <c r="U346" t="b">
        <v>0</v>
      </c>
      <c r="V346" s="2">
        <v>44592.213194444441</v>
      </c>
      <c r="W346">
        <v>1</v>
      </c>
      <c r="X346">
        <v>2022</v>
      </c>
      <c r="Y346" t="s">
        <v>24</v>
      </c>
      <c r="Z346">
        <v>4</v>
      </c>
    </row>
    <row r="347" spans="1:26" x14ac:dyDescent="0.45">
      <c r="A347">
        <v>2364</v>
      </c>
      <c r="B347">
        <v>1404</v>
      </c>
      <c r="C347" t="s">
        <v>203</v>
      </c>
      <c r="D347" t="s">
        <v>42</v>
      </c>
      <c r="E347">
        <v>77</v>
      </c>
      <c r="F347">
        <v>758</v>
      </c>
      <c r="G347" t="s">
        <v>204</v>
      </c>
      <c r="H347" t="s">
        <v>52</v>
      </c>
      <c r="I347" t="s">
        <v>150</v>
      </c>
      <c r="J347" t="s">
        <v>205</v>
      </c>
      <c r="K347" t="s">
        <v>102</v>
      </c>
      <c r="L347" t="s">
        <v>76</v>
      </c>
      <c r="M347" t="s">
        <v>160</v>
      </c>
      <c r="N347" t="s">
        <v>79</v>
      </c>
      <c r="O347" t="s">
        <v>161</v>
      </c>
      <c r="P347">
        <v>5</v>
      </c>
      <c r="Q347" t="b">
        <v>1</v>
      </c>
      <c r="R347" s="1">
        <v>44337.62222222222</v>
      </c>
      <c r="S347" s="1">
        <v>44338.638194444444</v>
      </c>
      <c r="T347" t="s">
        <v>60</v>
      </c>
      <c r="U347" t="b">
        <v>0</v>
      </c>
      <c r="V347" s="2">
        <v>44337.62222222222</v>
      </c>
      <c r="W347">
        <v>5</v>
      </c>
      <c r="X347">
        <v>2021</v>
      </c>
      <c r="Y347" t="s">
        <v>52</v>
      </c>
      <c r="Z347">
        <v>5</v>
      </c>
    </row>
    <row r="348" spans="1:26" x14ac:dyDescent="0.45">
      <c r="A348">
        <v>2365</v>
      </c>
      <c r="B348">
        <v>1428</v>
      </c>
      <c r="C348" t="s">
        <v>226</v>
      </c>
      <c r="D348" t="s">
        <v>22</v>
      </c>
      <c r="E348">
        <v>66</v>
      </c>
      <c r="F348">
        <v>757</v>
      </c>
      <c r="G348" t="s">
        <v>227</v>
      </c>
      <c r="H348" t="s">
        <v>73</v>
      </c>
      <c r="I348" t="s">
        <v>140</v>
      </c>
      <c r="J348" t="s">
        <v>228</v>
      </c>
      <c r="K348" t="s">
        <v>27</v>
      </c>
      <c r="L348" t="s">
        <v>56</v>
      </c>
      <c r="M348" t="s">
        <v>57</v>
      </c>
      <c r="N348" t="s">
        <v>58</v>
      </c>
      <c r="O348" t="s">
        <v>59</v>
      </c>
      <c r="P348">
        <v>3</v>
      </c>
      <c r="Q348" t="b">
        <v>1</v>
      </c>
      <c r="R348" s="1">
        <v>45209.429166666669</v>
      </c>
      <c r="S348" s="1">
        <v>45212.870833333334</v>
      </c>
      <c r="T348" t="s">
        <v>60</v>
      </c>
      <c r="U348" t="b">
        <v>0</v>
      </c>
      <c r="V348" s="2">
        <v>45209.429166666669</v>
      </c>
      <c r="W348">
        <v>10</v>
      </c>
      <c r="X348">
        <v>2023</v>
      </c>
      <c r="Y348" t="s">
        <v>73</v>
      </c>
      <c r="Z348">
        <v>3</v>
      </c>
    </row>
    <row r="349" spans="1:26" x14ac:dyDescent="0.45">
      <c r="A349">
        <v>2366</v>
      </c>
      <c r="B349">
        <v>1469</v>
      </c>
      <c r="C349" t="s">
        <v>229</v>
      </c>
      <c r="D349" t="s">
        <v>42</v>
      </c>
      <c r="E349">
        <v>46</v>
      </c>
      <c r="F349">
        <v>707</v>
      </c>
      <c r="G349" t="s">
        <v>230</v>
      </c>
      <c r="H349" t="s">
        <v>52</v>
      </c>
      <c r="I349" t="s">
        <v>150</v>
      </c>
      <c r="J349" t="s">
        <v>151</v>
      </c>
      <c r="K349" t="s">
        <v>37</v>
      </c>
      <c r="L349" t="s">
        <v>67</v>
      </c>
      <c r="M349" t="s">
        <v>233</v>
      </c>
      <c r="N349" t="s">
        <v>89</v>
      </c>
      <c r="O349" t="s">
        <v>90</v>
      </c>
      <c r="P349">
        <v>2</v>
      </c>
      <c r="Q349" t="b">
        <v>1</v>
      </c>
      <c r="R349" s="1">
        <v>44052.959722222222</v>
      </c>
      <c r="S349" s="1">
        <v>44055.467361111114</v>
      </c>
      <c r="T349" t="s">
        <v>40</v>
      </c>
      <c r="U349" t="b">
        <v>0</v>
      </c>
      <c r="V349" s="2">
        <v>44052.959722222222</v>
      </c>
      <c r="W349">
        <v>8</v>
      </c>
      <c r="X349">
        <v>2020</v>
      </c>
      <c r="Y349" t="s">
        <v>52</v>
      </c>
      <c r="Z349">
        <v>2</v>
      </c>
    </row>
    <row r="350" spans="1:26" x14ac:dyDescent="0.45">
      <c r="A350">
        <v>2367</v>
      </c>
      <c r="B350">
        <v>1150</v>
      </c>
      <c r="C350" t="s">
        <v>231</v>
      </c>
      <c r="D350" t="s">
        <v>22</v>
      </c>
      <c r="E350">
        <v>49</v>
      </c>
      <c r="F350">
        <v>736</v>
      </c>
      <c r="G350" t="s">
        <v>232</v>
      </c>
      <c r="H350" t="s">
        <v>35</v>
      </c>
      <c r="I350" t="s">
        <v>122</v>
      </c>
      <c r="J350" t="s">
        <v>82</v>
      </c>
      <c r="K350" t="s">
        <v>102</v>
      </c>
      <c r="L350" t="s">
        <v>56</v>
      </c>
      <c r="M350" t="s">
        <v>197</v>
      </c>
      <c r="N350" t="s">
        <v>198</v>
      </c>
      <c r="O350" t="s">
        <v>199</v>
      </c>
      <c r="P350">
        <v>4</v>
      </c>
      <c r="Q350" t="b">
        <v>0</v>
      </c>
      <c r="R350" s="1">
        <v>45212.241666666669</v>
      </c>
      <c r="V350" s="2">
        <v>45212.241666666669</v>
      </c>
      <c r="W350">
        <v>10</v>
      </c>
      <c r="X350">
        <v>2023</v>
      </c>
      <c r="Y350" t="s">
        <v>35</v>
      </c>
      <c r="Z350">
        <v>4</v>
      </c>
    </row>
    <row r="351" spans="1:26" x14ac:dyDescent="0.45">
      <c r="A351">
        <v>2368</v>
      </c>
      <c r="B351">
        <v>1471</v>
      </c>
      <c r="C351" t="s">
        <v>234</v>
      </c>
      <c r="D351" t="s">
        <v>22</v>
      </c>
      <c r="E351">
        <v>40</v>
      </c>
      <c r="F351">
        <v>686</v>
      </c>
      <c r="G351" t="s">
        <v>235</v>
      </c>
      <c r="H351" t="s">
        <v>85</v>
      </c>
      <c r="I351" t="s">
        <v>116</v>
      </c>
      <c r="J351" t="s">
        <v>117</v>
      </c>
      <c r="K351" t="s">
        <v>46</v>
      </c>
      <c r="L351" t="s">
        <v>56</v>
      </c>
      <c r="M351" t="s">
        <v>197</v>
      </c>
      <c r="N351" t="s">
        <v>198</v>
      </c>
      <c r="O351" t="s">
        <v>199</v>
      </c>
      <c r="P351">
        <v>4</v>
      </c>
      <c r="Q351" t="b">
        <v>1</v>
      </c>
      <c r="R351" s="1">
        <v>43946.109027777777</v>
      </c>
      <c r="S351" s="1">
        <v>43949.806250000001</v>
      </c>
      <c r="T351" t="s">
        <v>109</v>
      </c>
      <c r="U351" t="b">
        <v>0</v>
      </c>
      <c r="V351" s="2">
        <v>43946.109027777777</v>
      </c>
      <c r="W351">
        <v>4</v>
      </c>
      <c r="X351">
        <v>2020</v>
      </c>
      <c r="Y351" t="s">
        <v>85</v>
      </c>
      <c r="Z351">
        <v>4</v>
      </c>
    </row>
    <row r="352" spans="1:26" x14ac:dyDescent="0.45">
      <c r="A352">
        <v>2369</v>
      </c>
      <c r="B352">
        <v>1486</v>
      </c>
      <c r="C352" t="s">
        <v>236</v>
      </c>
      <c r="D352" t="s">
        <v>42</v>
      </c>
      <c r="E352">
        <v>29</v>
      </c>
      <c r="F352">
        <v>695</v>
      </c>
      <c r="G352" t="s">
        <v>237</v>
      </c>
      <c r="H352" t="s">
        <v>73</v>
      </c>
      <c r="I352" t="s">
        <v>74</v>
      </c>
      <c r="J352" t="s">
        <v>157</v>
      </c>
      <c r="K352" t="s">
        <v>55</v>
      </c>
      <c r="L352" t="s">
        <v>96</v>
      </c>
      <c r="M352" t="s">
        <v>97</v>
      </c>
      <c r="N352" t="s">
        <v>98</v>
      </c>
      <c r="O352" t="s">
        <v>99</v>
      </c>
      <c r="P352">
        <v>5</v>
      </c>
      <c r="Q352" t="b">
        <v>1</v>
      </c>
      <c r="R352" s="1">
        <v>45045.456944444442</v>
      </c>
      <c r="S352" s="1">
        <v>45052.404166666667</v>
      </c>
      <c r="T352" t="s">
        <v>60</v>
      </c>
      <c r="U352" t="b">
        <v>0</v>
      </c>
      <c r="V352" s="2">
        <v>45045.456944444442</v>
      </c>
      <c r="W352">
        <v>4</v>
      </c>
      <c r="X352">
        <v>2023</v>
      </c>
      <c r="Y352" t="s">
        <v>73</v>
      </c>
      <c r="Z352">
        <v>5</v>
      </c>
    </row>
    <row r="353" spans="1:26" x14ac:dyDescent="0.45">
      <c r="A353">
        <v>2370</v>
      </c>
      <c r="B353">
        <v>1094</v>
      </c>
      <c r="C353" t="s">
        <v>238</v>
      </c>
      <c r="D353" t="s">
        <v>42</v>
      </c>
      <c r="E353">
        <v>36</v>
      </c>
      <c r="F353">
        <v>683</v>
      </c>
      <c r="G353" t="s">
        <v>239</v>
      </c>
      <c r="H353" t="s">
        <v>172</v>
      </c>
      <c r="I353" t="s">
        <v>177</v>
      </c>
      <c r="J353" t="s">
        <v>178</v>
      </c>
      <c r="K353" t="s">
        <v>66</v>
      </c>
      <c r="L353" t="s">
        <v>76</v>
      </c>
      <c r="M353" t="s">
        <v>126</v>
      </c>
      <c r="N353" t="s">
        <v>98</v>
      </c>
      <c r="O353" t="s">
        <v>99</v>
      </c>
      <c r="P353">
        <v>3</v>
      </c>
      <c r="Q353" t="b">
        <v>1</v>
      </c>
      <c r="R353" s="1">
        <v>44689.020138888889</v>
      </c>
      <c r="S353" s="1">
        <v>44690.388194444444</v>
      </c>
      <c r="T353" t="s">
        <v>32</v>
      </c>
      <c r="U353" t="b">
        <v>0</v>
      </c>
      <c r="V353" s="2">
        <v>44689.020138888889</v>
      </c>
      <c r="W353">
        <v>5</v>
      </c>
      <c r="X353">
        <v>2022</v>
      </c>
      <c r="Y353" t="s">
        <v>172</v>
      </c>
      <c r="Z353">
        <v>3</v>
      </c>
    </row>
    <row r="354" spans="1:26" x14ac:dyDescent="0.45">
      <c r="A354">
        <v>2371</v>
      </c>
      <c r="B354">
        <v>1369</v>
      </c>
      <c r="C354" t="s">
        <v>240</v>
      </c>
      <c r="D354" t="s">
        <v>42</v>
      </c>
      <c r="E354">
        <v>71</v>
      </c>
      <c r="F354">
        <v>758</v>
      </c>
      <c r="G354" t="s">
        <v>241</v>
      </c>
      <c r="H354" t="s">
        <v>93</v>
      </c>
      <c r="I354" t="s">
        <v>112</v>
      </c>
      <c r="J354" t="s">
        <v>242</v>
      </c>
      <c r="K354" t="s">
        <v>102</v>
      </c>
      <c r="L354" t="s">
        <v>96</v>
      </c>
      <c r="M354" t="s">
        <v>136</v>
      </c>
      <c r="N354" t="s">
        <v>30</v>
      </c>
      <c r="O354" t="s">
        <v>137</v>
      </c>
      <c r="P354">
        <v>3</v>
      </c>
      <c r="Q354" t="b">
        <v>1</v>
      </c>
      <c r="R354" s="1">
        <v>44588.054861111108</v>
      </c>
      <c r="S354" s="1">
        <v>44592.349305555559</v>
      </c>
      <c r="T354" t="s">
        <v>40</v>
      </c>
      <c r="U354" t="b">
        <v>0</v>
      </c>
      <c r="V354" s="2">
        <v>44588.054861111108</v>
      </c>
      <c r="W354">
        <v>1</v>
      </c>
      <c r="X354">
        <v>2022</v>
      </c>
      <c r="Y354" t="s">
        <v>93</v>
      </c>
      <c r="Z354">
        <v>3</v>
      </c>
    </row>
    <row r="355" spans="1:26" x14ac:dyDescent="0.45">
      <c r="A355">
        <v>2372</v>
      </c>
      <c r="B355">
        <v>1094</v>
      </c>
      <c r="C355" t="s">
        <v>238</v>
      </c>
      <c r="D355" t="s">
        <v>42</v>
      </c>
      <c r="E355">
        <v>36</v>
      </c>
      <c r="F355">
        <v>683</v>
      </c>
      <c r="G355" t="s">
        <v>239</v>
      </c>
      <c r="H355" t="s">
        <v>172</v>
      </c>
      <c r="I355" t="s">
        <v>177</v>
      </c>
      <c r="J355" t="s">
        <v>178</v>
      </c>
      <c r="K355" t="s">
        <v>27</v>
      </c>
      <c r="L355" t="s">
        <v>56</v>
      </c>
      <c r="M355" t="s">
        <v>88</v>
      </c>
      <c r="N355" t="s">
        <v>89</v>
      </c>
      <c r="O355" t="s">
        <v>90</v>
      </c>
      <c r="P355">
        <v>3</v>
      </c>
      <c r="Q355" t="b">
        <v>0</v>
      </c>
      <c r="R355" s="1">
        <v>44519.570833333331</v>
      </c>
      <c r="V355" s="2">
        <v>44519.570833333331</v>
      </c>
      <c r="W355">
        <v>11</v>
      </c>
      <c r="X355">
        <v>2021</v>
      </c>
      <c r="Y355" t="s">
        <v>172</v>
      </c>
      <c r="Z355">
        <v>3</v>
      </c>
    </row>
    <row r="356" spans="1:26" x14ac:dyDescent="0.45">
      <c r="A356">
        <v>2373</v>
      </c>
      <c r="B356">
        <v>1117</v>
      </c>
      <c r="C356" t="s">
        <v>243</v>
      </c>
      <c r="D356" t="s">
        <v>22</v>
      </c>
      <c r="E356">
        <v>53</v>
      </c>
      <c r="F356">
        <v>727</v>
      </c>
      <c r="G356" t="s">
        <v>244</v>
      </c>
      <c r="H356" t="s">
        <v>73</v>
      </c>
      <c r="I356" t="s">
        <v>74</v>
      </c>
      <c r="J356" t="s">
        <v>245</v>
      </c>
      <c r="K356" t="s">
        <v>66</v>
      </c>
      <c r="L356" t="s">
        <v>56</v>
      </c>
      <c r="M356" t="s">
        <v>88</v>
      </c>
      <c r="N356" t="s">
        <v>89</v>
      </c>
      <c r="O356" t="s">
        <v>90</v>
      </c>
      <c r="P356">
        <v>2</v>
      </c>
      <c r="Q356" t="b">
        <v>0</v>
      </c>
      <c r="R356" s="1">
        <v>44098.90625</v>
      </c>
      <c r="V356" s="2">
        <v>44098.90625</v>
      </c>
      <c r="W356">
        <v>9</v>
      </c>
      <c r="X356">
        <v>2020</v>
      </c>
      <c r="Y356" t="s">
        <v>73</v>
      </c>
      <c r="Z356">
        <v>2</v>
      </c>
    </row>
    <row r="357" spans="1:26" x14ac:dyDescent="0.45">
      <c r="A357">
        <v>2374</v>
      </c>
      <c r="B357">
        <v>1140</v>
      </c>
      <c r="C357" t="s">
        <v>246</v>
      </c>
      <c r="D357" t="s">
        <v>42</v>
      </c>
      <c r="E357">
        <v>47</v>
      </c>
      <c r="F357">
        <v>721</v>
      </c>
      <c r="G357" t="s">
        <v>247</v>
      </c>
      <c r="H357" t="s">
        <v>85</v>
      </c>
      <c r="I357" t="s">
        <v>116</v>
      </c>
      <c r="J357" t="s">
        <v>117</v>
      </c>
      <c r="K357" t="s">
        <v>102</v>
      </c>
      <c r="L357" t="s">
        <v>67</v>
      </c>
      <c r="M357" t="s">
        <v>108</v>
      </c>
      <c r="N357" t="s">
        <v>99</v>
      </c>
      <c r="O357" t="s">
        <v>30</v>
      </c>
      <c r="P357">
        <v>2</v>
      </c>
      <c r="Q357" t="b">
        <v>1</v>
      </c>
      <c r="R357" s="1">
        <v>43932.807638888888</v>
      </c>
      <c r="S357" s="1">
        <v>43937.410416666666</v>
      </c>
      <c r="T357" t="s">
        <v>32</v>
      </c>
      <c r="U357" t="b">
        <v>0</v>
      </c>
      <c r="V357" s="2">
        <v>43932.807638888888</v>
      </c>
      <c r="W357">
        <v>4</v>
      </c>
      <c r="X357">
        <v>2020</v>
      </c>
      <c r="Y357" t="s">
        <v>85</v>
      </c>
      <c r="Z357">
        <v>2</v>
      </c>
    </row>
    <row r="358" spans="1:26" x14ac:dyDescent="0.45">
      <c r="A358">
        <v>2375</v>
      </c>
      <c r="B358">
        <v>1185</v>
      </c>
      <c r="C358" t="s">
        <v>248</v>
      </c>
      <c r="D358" t="s">
        <v>22</v>
      </c>
      <c r="E358">
        <v>49</v>
      </c>
      <c r="F358">
        <v>701</v>
      </c>
      <c r="G358" t="s">
        <v>249</v>
      </c>
      <c r="H358" t="s">
        <v>35</v>
      </c>
      <c r="I358" t="s">
        <v>36</v>
      </c>
      <c r="J358" t="s">
        <v>36</v>
      </c>
      <c r="K358" t="s">
        <v>37</v>
      </c>
      <c r="L358" t="s">
        <v>96</v>
      </c>
      <c r="M358" t="s">
        <v>103</v>
      </c>
      <c r="N358" t="s">
        <v>31</v>
      </c>
      <c r="O358" t="s">
        <v>104</v>
      </c>
      <c r="P358">
        <v>4</v>
      </c>
      <c r="Q358" t="b">
        <v>1</v>
      </c>
      <c r="R358" s="1">
        <v>45025.474999999999</v>
      </c>
      <c r="S358" s="1">
        <v>45028.911111111112</v>
      </c>
      <c r="T358" t="s">
        <v>109</v>
      </c>
      <c r="U358" t="b">
        <v>0</v>
      </c>
      <c r="V358" s="2">
        <v>45025.474999999999</v>
      </c>
      <c r="W358">
        <v>4</v>
      </c>
      <c r="X358">
        <v>2023</v>
      </c>
      <c r="Y358" t="s">
        <v>35</v>
      </c>
      <c r="Z358">
        <v>4</v>
      </c>
    </row>
    <row r="359" spans="1:26" x14ac:dyDescent="0.45">
      <c r="A359">
        <v>2376</v>
      </c>
      <c r="B359">
        <v>1362</v>
      </c>
      <c r="C359" t="s">
        <v>250</v>
      </c>
      <c r="D359" t="s">
        <v>22</v>
      </c>
      <c r="E359">
        <v>62</v>
      </c>
      <c r="F359">
        <v>753</v>
      </c>
      <c r="G359" t="s">
        <v>251</v>
      </c>
      <c r="H359" t="s">
        <v>129</v>
      </c>
      <c r="I359" t="s">
        <v>130</v>
      </c>
      <c r="J359" t="s">
        <v>252</v>
      </c>
      <c r="K359" t="s">
        <v>102</v>
      </c>
      <c r="L359" t="s">
        <v>28</v>
      </c>
      <c r="M359" t="s">
        <v>29</v>
      </c>
      <c r="N359" t="s">
        <v>30</v>
      </c>
      <c r="O359" t="s">
        <v>31</v>
      </c>
      <c r="P359">
        <v>5</v>
      </c>
      <c r="Q359" t="b">
        <v>1</v>
      </c>
      <c r="R359" s="1">
        <v>44832.481249999997</v>
      </c>
      <c r="S359" s="1">
        <v>44835.675694444442</v>
      </c>
      <c r="T359" t="s">
        <v>60</v>
      </c>
      <c r="U359" t="b">
        <v>0</v>
      </c>
      <c r="V359" s="2">
        <v>44832.481249999997</v>
      </c>
      <c r="W359">
        <v>9</v>
      </c>
      <c r="X359">
        <v>2022</v>
      </c>
      <c r="Y359" t="s">
        <v>129</v>
      </c>
      <c r="Z359">
        <v>5</v>
      </c>
    </row>
    <row r="360" spans="1:26" x14ac:dyDescent="0.45">
      <c r="A360">
        <v>2377</v>
      </c>
      <c r="B360">
        <v>1260</v>
      </c>
      <c r="C360" t="s">
        <v>253</v>
      </c>
      <c r="D360" t="s">
        <v>22</v>
      </c>
      <c r="E360">
        <v>32</v>
      </c>
      <c r="F360">
        <v>694</v>
      </c>
      <c r="G360" t="s">
        <v>254</v>
      </c>
      <c r="H360" t="s">
        <v>172</v>
      </c>
      <c r="I360" t="s">
        <v>177</v>
      </c>
      <c r="J360" t="s">
        <v>202</v>
      </c>
      <c r="K360" t="s">
        <v>27</v>
      </c>
      <c r="L360" t="s">
        <v>56</v>
      </c>
      <c r="M360" t="s">
        <v>88</v>
      </c>
      <c r="N360" t="s">
        <v>89</v>
      </c>
      <c r="O360" t="s">
        <v>90</v>
      </c>
      <c r="P360">
        <v>5</v>
      </c>
      <c r="Q360" t="b">
        <v>1</v>
      </c>
      <c r="R360" s="1">
        <v>44374.386111111111</v>
      </c>
      <c r="S360" s="1">
        <v>44375.031944444447</v>
      </c>
      <c r="T360" t="s">
        <v>109</v>
      </c>
      <c r="U360" t="b">
        <v>0</v>
      </c>
      <c r="V360" s="2">
        <v>44374.386111111111</v>
      </c>
      <c r="W360">
        <v>6</v>
      </c>
      <c r="X360">
        <v>2021</v>
      </c>
      <c r="Y360" t="s">
        <v>172</v>
      </c>
      <c r="Z360">
        <v>5</v>
      </c>
    </row>
    <row r="361" spans="1:26" x14ac:dyDescent="0.45">
      <c r="A361">
        <v>2378</v>
      </c>
      <c r="B361">
        <v>1389</v>
      </c>
      <c r="C361" t="s">
        <v>255</v>
      </c>
      <c r="D361" t="s">
        <v>22</v>
      </c>
      <c r="E361">
        <v>69</v>
      </c>
      <c r="F361">
        <v>748</v>
      </c>
      <c r="G361" t="s">
        <v>256</v>
      </c>
      <c r="H361" t="s">
        <v>73</v>
      </c>
      <c r="I361" t="s">
        <v>74</v>
      </c>
      <c r="J361" t="s">
        <v>75</v>
      </c>
      <c r="K361" t="s">
        <v>55</v>
      </c>
      <c r="L361" t="s">
        <v>56</v>
      </c>
      <c r="M361" t="s">
        <v>88</v>
      </c>
      <c r="N361" t="s">
        <v>89</v>
      </c>
      <c r="O361" t="s">
        <v>90</v>
      </c>
      <c r="P361">
        <v>5</v>
      </c>
      <c r="Q361" t="b">
        <v>1</v>
      </c>
      <c r="R361" s="1">
        <v>45052.538194444445</v>
      </c>
      <c r="S361" s="1">
        <v>45054.62222222222</v>
      </c>
      <c r="T361" t="s">
        <v>40</v>
      </c>
      <c r="U361" t="b">
        <v>0</v>
      </c>
      <c r="V361" s="2">
        <v>45052.538194444445</v>
      </c>
      <c r="W361">
        <v>5</v>
      </c>
      <c r="X361">
        <v>2023</v>
      </c>
      <c r="Y361" t="s">
        <v>73</v>
      </c>
      <c r="Z361">
        <v>5</v>
      </c>
    </row>
    <row r="362" spans="1:26" x14ac:dyDescent="0.45">
      <c r="A362">
        <v>2380</v>
      </c>
      <c r="B362">
        <v>1184</v>
      </c>
      <c r="C362" t="s">
        <v>257</v>
      </c>
      <c r="D362" t="s">
        <v>22</v>
      </c>
      <c r="E362">
        <v>26</v>
      </c>
      <c r="F362">
        <v>637</v>
      </c>
      <c r="G362" t="s">
        <v>258</v>
      </c>
      <c r="H362" t="s">
        <v>35</v>
      </c>
      <c r="I362" t="s">
        <v>36</v>
      </c>
      <c r="J362" t="s">
        <v>123</v>
      </c>
      <c r="K362" t="s">
        <v>102</v>
      </c>
      <c r="L362" t="s">
        <v>28</v>
      </c>
      <c r="M362" t="s">
        <v>38</v>
      </c>
      <c r="N362" t="s">
        <v>31</v>
      </c>
      <c r="O362" t="s">
        <v>39</v>
      </c>
      <c r="P362">
        <v>5</v>
      </c>
      <c r="Q362" t="b">
        <v>1</v>
      </c>
      <c r="R362" s="1">
        <v>45128.116666666669</v>
      </c>
      <c r="S362" s="1">
        <v>45131.500694444447</v>
      </c>
      <c r="T362" t="s">
        <v>109</v>
      </c>
      <c r="U362" t="b">
        <v>1</v>
      </c>
      <c r="V362" s="2">
        <v>45128.116666666669</v>
      </c>
      <c r="W362">
        <v>7</v>
      </c>
      <c r="X362">
        <v>2023</v>
      </c>
      <c r="Y362" t="s">
        <v>35</v>
      </c>
      <c r="Z362">
        <v>5</v>
      </c>
    </row>
    <row r="363" spans="1:26" x14ac:dyDescent="0.45">
      <c r="A363">
        <v>2381</v>
      </c>
      <c r="B363">
        <v>1127</v>
      </c>
      <c r="C363" t="s">
        <v>259</v>
      </c>
      <c r="D363" t="s">
        <v>22</v>
      </c>
      <c r="E363">
        <v>71</v>
      </c>
      <c r="F363">
        <v>752</v>
      </c>
      <c r="G363" t="s">
        <v>260</v>
      </c>
      <c r="H363" t="s">
        <v>73</v>
      </c>
      <c r="I363" t="s">
        <v>74</v>
      </c>
      <c r="J363" t="s">
        <v>245</v>
      </c>
      <c r="K363" t="s">
        <v>46</v>
      </c>
      <c r="L363" t="s">
        <v>96</v>
      </c>
      <c r="M363" t="s">
        <v>97</v>
      </c>
      <c r="N363" t="s">
        <v>98</v>
      </c>
      <c r="O363" t="s">
        <v>99</v>
      </c>
      <c r="P363">
        <v>2</v>
      </c>
      <c r="Q363" t="b">
        <v>1</v>
      </c>
      <c r="R363" s="1">
        <v>44886.865972222222</v>
      </c>
      <c r="S363" s="1">
        <v>44893.222222222219</v>
      </c>
      <c r="T363" t="s">
        <v>60</v>
      </c>
      <c r="U363" t="b">
        <v>0</v>
      </c>
      <c r="V363" s="2">
        <v>44886.865972222222</v>
      </c>
      <c r="W363">
        <v>11</v>
      </c>
      <c r="X363">
        <v>2022</v>
      </c>
      <c r="Y363" t="s">
        <v>73</v>
      </c>
      <c r="Z363">
        <v>2</v>
      </c>
    </row>
    <row r="364" spans="1:26" x14ac:dyDescent="0.45">
      <c r="A364">
        <v>2382</v>
      </c>
      <c r="B364">
        <v>1327</v>
      </c>
      <c r="C364" t="s">
        <v>261</v>
      </c>
      <c r="D364" t="s">
        <v>42</v>
      </c>
      <c r="E364">
        <v>20</v>
      </c>
      <c r="F364">
        <v>649</v>
      </c>
      <c r="G364" t="s">
        <v>262</v>
      </c>
      <c r="H364" t="s">
        <v>129</v>
      </c>
      <c r="I364" t="s">
        <v>263</v>
      </c>
      <c r="J364" t="s">
        <v>264</v>
      </c>
      <c r="K364" t="s">
        <v>37</v>
      </c>
      <c r="L364" t="s">
        <v>96</v>
      </c>
      <c r="M364" t="s">
        <v>118</v>
      </c>
      <c r="N364" t="s">
        <v>90</v>
      </c>
      <c r="O364" t="s">
        <v>119</v>
      </c>
      <c r="P364">
        <v>3</v>
      </c>
      <c r="Q364" t="b">
        <v>1</v>
      </c>
      <c r="R364" s="1">
        <v>45067.104861111111</v>
      </c>
      <c r="S364" s="1">
        <v>45067.376388888886</v>
      </c>
      <c r="T364" t="s">
        <v>32</v>
      </c>
      <c r="U364" t="b">
        <v>0</v>
      </c>
      <c r="V364" s="2">
        <v>45067.104861111111</v>
      </c>
      <c r="W364">
        <v>5</v>
      </c>
      <c r="X364">
        <v>2023</v>
      </c>
      <c r="Y364" t="s">
        <v>129</v>
      </c>
      <c r="Z364">
        <v>3</v>
      </c>
    </row>
    <row r="365" spans="1:26" x14ac:dyDescent="0.45">
      <c r="A365">
        <v>2383</v>
      </c>
      <c r="B365">
        <v>1244</v>
      </c>
      <c r="C365" t="s">
        <v>265</v>
      </c>
      <c r="D365" t="s">
        <v>42</v>
      </c>
      <c r="E365">
        <v>71</v>
      </c>
      <c r="F365">
        <v>748</v>
      </c>
      <c r="G365" t="s">
        <v>266</v>
      </c>
      <c r="H365" t="s">
        <v>85</v>
      </c>
      <c r="I365" t="s">
        <v>86</v>
      </c>
      <c r="J365" t="s">
        <v>87</v>
      </c>
      <c r="K365" t="s">
        <v>55</v>
      </c>
      <c r="L365" t="s">
        <v>67</v>
      </c>
      <c r="M365" t="s">
        <v>108</v>
      </c>
      <c r="N365" t="s">
        <v>99</v>
      </c>
      <c r="O365" t="s">
        <v>30</v>
      </c>
      <c r="P365">
        <v>1</v>
      </c>
      <c r="Q365" t="b">
        <v>1</v>
      </c>
      <c r="R365" s="1">
        <v>44978.816666666666</v>
      </c>
      <c r="S365" s="1">
        <v>44981.851388888892</v>
      </c>
      <c r="T365" t="s">
        <v>32</v>
      </c>
      <c r="U365" t="b">
        <v>0</v>
      </c>
      <c r="V365" s="2">
        <v>44978.816666666666</v>
      </c>
      <c r="W365">
        <v>2</v>
      </c>
      <c r="X365">
        <v>2023</v>
      </c>
      <c r="Y365" t="s">
        <v>85</v>
      </c>
      <c r="Z365">
        <v>1</v>
      </c>
    </row>
    <row r="366" spans="1:26" x14ac:dyDescent="0.45">
      <c r="A366">
        <v>2384</v>
      </c>
      <c r="B366">
        <v>1226</v>
      </c>
      <c r="C366" t="s">
        <v>267</v>
      </c>
      <c r="D366" t="s">
        <v>42</v>
      </c>
      <c r="E366">
        <v>22</v>
      </c>
      <c r="F366">
        <v>656</v>
      </c>
      <c r="G366" t="s">
        <v>268</v>
      </c>
      <c r="H366" t="s">
        <v>52</v>
      </c>
      <c r="I366" t="s">
        <v>150</v>
      </c>
      <c r="J366" t="s">
        <v>151</v>
      </c>
      <c r="K366" t="s">
        <v>55</v>
      </c>
      <c r="L366" t="s">
        <v>67</v>
      </c>
      <c r="M366" t="s">
        <v>233</v>
      </c>
      <c r="N366" t="s">
        <v>89</v>
      </c>
      <c r="O366" t="s">
        <v>90</v>
      </c>
      <c r="P366">
        <v>5</v>
      </c>
      <c r="Q366" t="b">
        <v>1</v>
      </c>
      <c r="R366" s="1">
        <v>44783.963888888888</v>
      </c>
      <c r="S366" s="1">
        <v>44789.443749999999</v>
      </c>
      <c r="T366" t="s">
        <v>32</v>
      </c>
      <c r="U366" t="b">
        <v>0</v>
      </c>
      <c r="V366" s="2">
        <v>44783.963888888888</v>
      </c>
      <c r="W366">
        <v>8</v>
      </c>
      <c r="X366">
        <v>2022</v>
      </c>
      <c r="Y366" t="s">
        <v>52</v>
      </c>
      <c r="Z366">
        <v>5</v>
      </c>
    </row>
    <row r="367" spans="1:26" x14ac:dyDescent="0.45">
      <c r="A367">
        <v>2385</v>
      </c>
      <c r="B367">
        <v>1000</v>
      </c>
      <c r="C367" t="s">
        <v>83</v>
      </c>
      <c r="D367" t="s">
        <v>22</v>
      </c>
      <c r="E367">
        <v>74</v>
      </c>
      <c r="F367">
        <v>747</v>
      </c>
      <c r="G367" t="s">
        <v>84</v>
      </c>
      <c r="H367" t="s">
        <v>85</v>
      </c>
      <c r="I367" t="s">
        <v>86</v>
      </c>
      <c r="J367" t="s">
        <v>87</v>
      </c>
      <c r="K367" t="s">
        <v>55</v>
      </c>
      <c r="L367" t="s">
        <v>67</v>
      </c>
      <c r="M367" t="s">
        <v>68</v>
      </c>
      <c r="N367" t="s">
        <v>69</v>
      </c>
      <c r="O367" t="s">
        <v>70</v>
      </c>
      <c r="P367">
        <v>2</v>
      </c>
      <c r="Q367" t="b">
        <v>1</v>
      </c>
      <c r="R367" s="1">
        <v>45082.085416666669</v>
      </c>
      <c r="S367" s="1">
        <v>45087.112500000003</v>
      </c>
      <c r="T367" t="s">
        <v>109</v>
      </c>
      <c r="U367" t="b">
        <v>0</v>
      </c>
      <c r="V367" s="2">
        <v>45082.085416666669</v>
      </c>
      <c r="W367">
        <v>6</v>
      </c>
      <c r="X367">
        <v>2023</v>
      </c>
      <c r="Y367" t="s">
        <v>85</v>
      </c>
      <c r="Z367">
        <v>2</v>
      </c>
    </row>
    <row r="368" spans="1:26" x14ac:dyDescent="0.45">
      <c r="A368">
        <v>2386</v>
      </c>
      <c r="B368">
        <v>1243</v>
      </c>
      <c r="C368" t="s">
        <v>269</v>
      </c>
      <c r="D368" t="s">
        <v>42</v>
      </c>
      <c r="E368">
        <v>14</v>
      </c>
      <c r="H368" t="s">
        <v>73</v>
      </c>
      <c r="I368" t="s">
        <v>140</v>
      </c>
      <c r="J368" t="s">
        <v>213</v>
      </c>
      <c r="K368" t="s">
        <v>37</v>
      </c>
      <c r="L368" t="s">
        <v>67</v>
      </c>
      <c r="M368" t="s">
        <v>68</v>
      </c>
      <c r="N368" t="s">
        <v>69</v>
      </c>
      <c r="O368" t="s">
        <v>70</v>
      </c>
      <c r="P368">
        <v>5</v>
      </c>
      <c r="Q368" t="b">
        <v>1</v>
      </c>
      <c r="R368" s="1">
        <v>44944.103472222225</v>
      </c>
      <c r="S368" s="1">
        <v>44948.614583333336</v>
      </c>
      <c r="T368" t="s">
        <v>60</v>
      </c>
      <c r="U368" t="b">
        <v>0</v>
      </c>
      <c r="V368" s="2">
        <v>44944.103472222225</v>
      </c>
      <c r="W368">
        <v>1</v>
      </c>
      <c r="X368">
        <v>2023</v>
      </c>
      <c r="Y368" t="s">
        <v>73</v>
      </c>
      <c r="Z368">
        <v>5</v>
      </c>
    </row>
    <row r="369" spans="1:26" x14ac:dyDescent="0.45">
      <c r="A369">
        <v>2387</v>
      </c>
      <c r="B369">
        <v>1344</v>
      </c>
      <c r="C369" t="s">
        <v>270</v>
      </c>
      <c r="D369" t="s">
        <v>22</v>
      </c>
      <c r="E369">
        <v>63</v>
      </c>
      <c r="F369">
        <v>749</v>
      </c>
      <c r="G369" t="s">
        <v>271</v>
      </c>
      <c r="H369" t="s">
        <v>129</v>
      </c>
      <c r="I369" t="s">
        <v>130</v>
      </c>
      <c r="J369" t="s">
        <v>272</v>
      </c>
      <c r="K369" t="s">
        <v>66</v>
      </c>
      <c r="L369" t="s">
        <v>76</v>
      </c>
      <c r="M369" t="s">
        <v>160</v>
      </c>
      <c r="N369" t="s">
        <v>79</v>
      </c>
      <c r="O369" t="s">
        <v>161</v>
      </c>
      <c r="P369">
        <v>4</v>
      </c>
      <c r="Q369" t="b">
        <v>1</v>
      </c>
      <c r="R369" s="1">
        <v>43862.129166666666</v>
      </c>
      <c r="S369" s="1">
        <v>43867.585416666669</v>
      </c>
      <c r="T369" t="s">
        <v>32</v>
      </c>
      <c r="U369" t="b">
        <v>0</v>
      </c>
      <c r="V369" s="2">
        <v>43862.129166666666</v>
      </c>
      <c r="W369">
        <v>2</v>
      </c>
      <c r="X369">
        <v>2020</v>
      </c>
      <c r="Y369" t="s">
        <v>129</v>
      </c>
      <c r="Z369">
        <v>4</v>
      </c>
    </row>
    <row r="370" spans="1:26" x14ac:dyDescent="0.45">
      <c r="A370">
        <v>2388</v>
      </c>
      <c r="B370">
        <v>1435</v>
      </c>
      <c r="C370" t="s">
        <v>273</v>
      </c>
      <c r="D370" t="s">
        <v>22</v>
      </c>
      <c r="E370">
        <v>52</v>
      </c>
      <c r="F370">
        <v>715</v>
      </c>
      <c r="G370" t="s">
        <v>274</v>
      </c>
      <c r="H370" t="s">
        <v>172</v>
      </c>
      <c r="I370" t="s">
        <v>177</v>
      </c>
      <c r="J370" t="s">
        <v>178</v>
      </c>
      <c r="K370" t="s">
        <v>66</v>
      </c>
      <c r="L370" t="s">
        <v>28</v>
      </c>
      <c r="M370" t="s">
        <v>142</v>
      </c>
      <c r="N370" t="s">
        <v>143</v>
      </c>
      <c r="O370" t="s">
        <v>144</v>
      </c>
      <c r="P370">
        <v>5</v>
      </c>
      <c r="Q370" t="b">
        <v>1</v>
      </c>
      <c r="R370" s="1">
        <v>44540.736111111109</v>
      </c>
      <c r="S370" s="1">
        <v>44541.372916666667</v>
      </c>
      <c r="T370" t="s">
        <v>60</v>
      </c>
      <c r="U370" t="b">
        <v>0</v>
      </c>
      <c r="V370" s="2">
        <v>44540.736111111109</v>
      </c>
      <c r="W370">
        <v>12</v>
      </c>
      <c r="X370">
        <v>2021</v>
      </c>
      <c r="Y370" t="s">
        <v>172</v>
      </c>
      <c r="Z370">
        <v>5</v>
      </c>
    </row>
    <row r="371" spans="1:26" x14ac:dyDescent="0.45">
      <c r="A371">
        <v>2389</v>
      </c>
      <c r="B371">
        <v>1024</v>
      </c>
      <c r="C371" t="s">
        <v>275</v>
      </c>
      <c r="D371" t="s">
        <v>42</v>
      </c>
      <c r="E371">
        <v>53</v>
      </c>
      <c r="F371">
        <v>730</v>
      </c>
      <c r="G371" t="s">
        <v>207</v>
      </c>
      <c r="H371" t="s">
        <v>129</v>
      </c>
      <c r="I371" t="s">
        <v>130</v>
      </c>
      <c r="J371" t="s">
        <v>252</v>
      </c>
      <c r="K371" t="s">
        <v>102</v>
      </c>
      <c r="L371" t="s">
        <v>28</v>
      </c>
      <c r="M371" t="s">
        <v>38</v>
      </c>
      <c r="N371" t="s">
        <v>31</v>
      </c>
      <c r="O371" t="s">
        <v>39</v>
      </c>
      <c r="P371">
        <v>5</v>
      </c>
      <c r="Q371" t="b">
        <v>1</v>
      </c>
      <c r="R371" s="1">
        <v>43943.341666666667</v>
      </c>
      <c r="S371" s="1">
        <v>43945.258333333331</v>
      </c>
      <c r="T371" t="s">
        <v>40</v>
      </c>
      <c r="U371" t="b">
        <v>0</v>
      </c>
      <c r="V371" s="2">
        <v>43943.341666666667</v>
      </c>
      <c r="W371">
        <v>4</v>
      </c>
      <c r="X371">
        <v>2020</v>
      </c>
      <c r="Y371" t="s">
        <v>129</v>
      </c>
      <c r="Z371">
        <v>5</v>
      </c>
    </row>
    <row r="372" spans="1:26" x14ac:dyDescent="0.45">
      <c r="A372">
        <v>2391</v>
      </c>
      <c r="B372">
        <v>1104</v>
      </c>
      <c r="C372" t="s">
        <v>276</v>
      </c>
      <c r="D372" t="s">
        <v>42</v>
      </c>
      <c r="E372">
        <v>79</v>
      </c>
      <c r="F372">
        <v>760</v>
      </c>
      <c r="G372" t="s">
        <v>277</v>
      </c>
      <c r="H372" t="s">
        <v>129</v>
      </c>
      <c r="I372" t="s">
        <v>263</v>
      </c>
      <c r="J372" t="s">
        <v>278</v>
      </c>
      <c r="K372" t="s">
        <v>102</v>
      </c>
      <c r="L372" t="s">
        <v>76</v>
      </c>
      <c r="M372" t="s">
        <v>77</v>
      </c>
      <c r="N372" t="s">
        <v>78</v>
      </c>
      <c r="O372" t="s">
        <v>79</v>
      </c>
      <c r="P372">
        <v>1</v>
      </c>
      <c r="Q372" t="b">
        <v>0</v>
      </c>
      <c r="R372" s="1">
        <v>44537.950694444444</v>
      </c>
      <c r="V372" s="2">
        <v>44537.950694444444</v>
      </c>
      <c r="W372">
        <v>12</v>
      </c>
      <c r="X372">
        <v>2021</v>
      </c>
      <c r="Y372" t="s">
        <v>129</v>
      </c>
      <c r="Z372">
        <v>1</v>
      </c>
    </row>
    <row r="373" spans="1:26" x14ac:dyDescent="0.45">
      <c r="A373">
        <v>2393</v>
      </c>
      <c r="B373">
        <v>1218</v>
      </c>
      <c r="C373" t="s">
        <v>152</v>
      </c>
      <c r="D373" t="s">
        <v>22</v>
      </c>
      <c r="E373">
        <v>71</v>
      </c>
      <c r="F373">
        <v>752</v>
      </c>
      <c r="G373" t="s">
        <v>153</v>
      </c>
      <c r="H373" t="s">
        <v>85</v>
      </c>
      <c r="I373" t="s">
        <v>116</v>
      </c>
      <c r="J373" t="s">
        <v>154</v>
      </c>
      <c r="K373" t="s">
        <v>102</v>
      </c>
      <c r="L373" t="s">
        <v>67</v>
      </c>
      <c r="M373" t="s">
        <v>233</v>
      </c>
      <c r="N373" t="s">
        <v>89</v>
      </c>
      <c r="O373" t="s">
        <v>90</v>
      </c>
      <c r="P373">
        <v>2</v>
      </c>
      <c r="Q373" t="b">
        <v>1</v>
      </c>
      <c r="R373" s="1">
        <v>44143.120138888888</v>
      </c>
      <c r="S373" s="1">
        <v>44149.076388888891</v>
      </c>
      <c r="T373" t="s">
        <v>32</v>
      </c>
      <c r="U373" t="b">
        <v>0</v>
      </c>
      <c r="V373" s="2">
        <v>44143.120138888888</v>
      </c>
      <c r="W373">
        <v>11</v>
      </c>
      <c r="X373">
        <v>2020</v>
      </c>
      <c r="Y373" t="s">
        <v>85</v>
      </c>
      <c r="Z373">
        <v>2</v>
      </c>
    </row>
    <row r="374" spans="1:26" x14ac:dyDescent="0.45">
      <c r="A374">
        <v>2394</v>
      </c>
      <c r="B374">
        <v>1051</v>
      </c>
      <c r="C374" t="s">
        <v>279</v>
      </c>
      <c r="D374" t="s">
        <v>42</v>
      </c>
      <c r="E374">
        <v>41</v>
      </c>
      <c r="F374">
        <v>697</v>
      </c>
      <c r="G374" t="s">
        <v>280</v>
      </c>
      <c r="H374" t="s">
        <v>63</v>
      </c>
      <c r="I374" t="s">
        <v>64</v>
      </c>
      <c r="J374" t="s">
        <v>281</v>
      </c>
      <c r="K374" t="s">
        <v>55</v>
      </c>
      <c r="L374" t="s">
        <v>67</v>
      </c>
      <c r="M374" t="s">
        <v>68</v>
      </c>
      <c r="N374" t="s">
        <v>69</v>
      </c>
      <c r="O374" t="s">
        <v>70</v>
      </c>
      <c r="P374">
        <v>5</v>
      </c>
      <c r="Q374" t="b">
        <v>0</v>
      </c>
      <c r="R374" s="1">
        <v>44644.134722222225</v>
      </c>
      <c r="V374" s="2">
        <v>44644.134722222225</v>
      </c>
      <c r="W374">
        <v>3</v>
      </c>
      <c r="X374">
        <v>2022</v>
      </c>
      <c r="Y374" t="s">
        <v>63</v>
      </c>
      <c r="Z374">
        <v>5</v>
      </c>
    </row>
    <row r="375" spans="1:26" x14ac:dyDescent="0.45">
      <c r="A375">
        <v>2395</v>
      </c>
      <c r="B375">
        <v>1025</v>
      </c>
      <c r="C375" t="s">
        <v>282</v>
      </c>
      <c r="D375" t="s">
        <v>42</v>
      </c>
      <c r="E375">
        <v>76</v>
      </c>
      <c r="F375">
        <v>742</v>
      </c>
      <c r="G375" t="s">
        <v>283</v>
      </c>
      <c r="H375" t="s">
        <v>52</v>
      </c>
      <c r="I375" t="s">
        <v>53</v>
      </c>
      <c r="J375" t="s">
        <v>284</v>
      </c>
      <c r="K375" t="s">
        <v>46</v>
      </c>
      <c r="L375" t="s">
        <v>96</v>
      </c>
      <c r="M375" t="s">
        <v>118</v>
      </c>
      <c r="N375" t="s">
        <v>90</v>
      </c>
      <c r="O375" t="s">
        <v>119</v>
      </c>
      <c r="P375">
        <v>5</v>
      </c>
      <c r="Q375" t="b">
        <v>0</v>
      </c>
      <c r="R375" s="1">
        <v>44893.07916666667</v>
      </c>
      <c r="V375" s="2">
        <v>44893.07916666667</v>
      </c>
      <c r="W375">
        <v>11</v>
      </c>
      <c r="X375">
        <v>2022</v>
      </c>
      <c r="Y375" t="s">
        <v>52</v>
      </c>
      <c r="Z375">
        <v>5</v>
      </c>
    </row>
    <row r="376" spans="1:26" x14ac:dyDescent="0.45">
      <c r="A376">
        <v>2396</v>
      </c>
      <c r="B376">
        <v>1278</v>
      </c>
      <c r="C376" t="s">
        <v>61</v>
      </c>
      <c r="D376" t="s">
        <v>42</v>
      </c>
      <c r="E376">
        <v>18</v>
      </c>
      <c r="F376">
        <v>607</v>
      </c>
      <c r="G376" t="s">
        <v>62</v>
      </c>
      <c r="H376" t="s">
        <v>63</v>
      </c>
      <c r="I376" t="s">
        <v>64</v>
      </c>
      <c r="J376" t="s">
        <v>65</v>
      </c>
      <c r="K376" t="s">
        <v>55</v>
      </c>
      <c r="L376" t="s">
        <v>28</v>
      </c>
      <c r="M376" t="s">
        <v>38</v>
      </c>
      <c r="N376" t="s">
        <v>31</v>
      </c>
      <c r="O376" t="s">
        <v>39</v>
      </c>
      <c r="P376">
        <v>2</v>
      </c>
      <c r="Q376" t="b">
        <v>1</v>
      </c>
      <c r="R376" s="1">
        <v>43873.284722222219</v>
      </c>
      <c r="S376" s="1">
        <v>43879.121527777781</v>
      </c>
      <c r="T376" t="s">
        <v>40</v>
      </c>
      <c r="U376" t="b">
        <v>0</v>
      </c>
      <c r="V376" s="2">
        <v>43873.284722222219</v>
      </c>
      <c r="W376">
        <v>2</v>
      </c>
      <c r="X376">
        <v>2020</v>
      </c>
      <c r="Y376" t="s">
        <v>63</v>
      </c>
      <c r="Z376">
        <v>2</v>
      </c>
    </row>
    <row r="377" spans="1:26" x14ac:dyDescent="0.45">
      <c r="A377">
        <v>2397</v>
      </c>
      <c r="B377">
        <v>1418</v>
      </c>
      <c r="C377" t="s">
        <v>285</v>
      </c>
      <c r="D377" t="s">
        <v>22</v>
      </c>
      <c r="E377">
        <v>28</v>
      </c>
      <c r="F377">
        <v>682</v>
      </c>
      <c r="G377" t="s">
        <v>286</v>
      </c>
      <c r="H377" t="s">
        <v>35</v>
      </c>
      <c r="I377" t="s">
        <v>122</v>
      </c>
      <c r="J377" t="s">
        <v>135</v>
      </c>
      <c r="K377" t="s">
        <v>46</v>
      </c>
      <c r="L377" t="s">
        <v>67</v>
      </c>
      <c r="M377" t="s">
        <v>233</v>
      </c>
      <c r="N377" t="s">
        <v>89</v>
      </c>
      <c r="O377" t="s">
        <v>90</v>
      </c>
      <c r="P377">
        <v>3</v>
      </c>
      <c r="Q377" t="b">
        <v>1</v>
      </c>
      <c r="R377" s="1">
        <v>45095.126388888886</v>
      </c>
      <c r="S377" s="1">
        <v>45101.296527777777</v>
      </c>
      <c r="T377" t="s">
        <v>109</v>
      </c>
      <c r="U377" t="b">
        <v>0</v>
      </c>
      <c r="V377" s="2">
        <v>45095.126388888886</v>
      </c>
      <c r="W377">
        <v>6</v>
      </c>
      <c r="X377">
        <v>2023</v>
      </c>
      <c r="Y377" t="s">
        <v>35</v>
      </c>
      <c r="Z377">
        <v>3</v>
      </c>
    </row>
    <row r="378" spans="1:26" x14ac:dyDescent="0.45">
      <c r="A378">
        <v>2398</v>
      </c>
      <c r="B378">
        <v>1453</v>
      </c>
      <c r="C378" t="s">
        <v>287</v>
      </c>
      <c r="D378" t="s">
        <v>22</v>
      </c>
      <c r="E378">
        <v>15</v>
      </c>
      <c r="H378" t="s">
        <v>52</v>
      </c>
      <c r="I378" t="s">
        <v>53</v>
      </c>
      <c r="J378" t="s">
        <v>54</v>
      </c>
      <c r="K378" t="s">
        <v>27</v>
      </c>
      <c r="L378" t="s">
        <v>56</v>
      </c>
      <c r="M378" t="s">
        <v>197</v>
      </c>
      <c r="N378" t="s">
        <v>198</v>
      </c>
      <c r="O378" t="s">
        <v>199</v>
      </c>
      <c r="P378">
        <v>2</v>
      </c>
      <c r="Q378" t="b">
        <v>1</v>
      </c>
      <c r="R378" s="1">
        <v>44030.052777777775</v>
      </c>
      <c r="S378" s="1">
        <v>44031.865277777775</v>
      </c>
      <c r="T378" t="s">
        <v>60</v>
      </c>
      <c r="U378" t="b">
        <v>0</v>
      </c>
      <c r="V378" s="2">
        <v>44030.052777777775</v>
      </c>
      <c r="W378">
        <v>7</v>
      </c>
      <c r="X378">
        <v>2020</v>
      </c>
      <c r="Y378" t="s">
        <v>52</v>
      </c>
      <c r="Z378">
        <v>2</v>
      </c>
    </row>
    <row r="379" spans="1:26" x14ac:dyDescent="0.45">
      <c r="A379">
        <v>2399</v>
      </c>
      <c r="B379">
        <v>1481</v>
      </c>
      <c r="C379" t="s">
        <v>288</v>
      </c>
      <c r="D379" t="s">
        <v>42</v>
      </c>
      <c r="E379">
        <v>34</v>
      </c>
      <c r="F379">
        <v>697</v>
      </c>
      <c r="G379" t="s">
        <v>289</v>
      </c>
      <c r="H379" t="s">
        <v>35</v>
      </c>
      <c r="I379" t="s">
        <v>36</v>
      </c>
      <c r="J379" t="s">
        <v>123</v>
      </c>
      <c r="K379" t="s">
        <v>66</v>
      </c>
      <c r="L379" t="s">
        <v>67</v>
      </c>
      <c r="M379" t="s">
        <v>108</v>
      </c>
      <c r="N379" t="s">
        <v>99</v>
      </c>
      <c r="O379" t="s">
        <v>30</v>
      </c>
      <c r="P379">
        <v>2</v>
      </c>
      <c r="Q379" t="b">
        <v>0</v>
      </c>
      <c r="R379" s="1">
        <v>44868.470833333333</v>
      </c>
      <c r="V379" s="2">
        <v>44868.470833333333</v>
      </c>
      <c r="W379">
        <v>11</v>
      </c>
      <c r="X379">
        <v>2022</v>
      </c>
      <c r="Y379" t="s">
        <v>35</v>
      </c>
      <c r="Z379">
        <v>2</v>
      </c>
    </row>
    <row r="380" spans="1:26" x14ac:dyDescent="0.45">
      <c r="A380">
        <v>2400</v>
      </c>
      <c r="B380">
        <v>1373</v>
      </c>
      <c r="C380" t="s">
        <v>206</v>
      </c>
      <c r="D380" t="s">
        <v>42</v>
      </c>
      <c r="E380">
        <v>55</v>
      </c>
      <c r="F380">
        <v>707</v>
      </c>
      <c r="G380" t="s">
        <v>207</v>
      </c>
      <c r="H380" t="s">
        <v>24</v>
      </c>
      <c r="I380" t="s">
        <v>44</v>
      </c>
      <c r="J380" t="s">
        <v>208</v>
      </c>
      <c r="K380" t="s">
        <v>27</v>
      </c>
      <c r="L380" t="s">
        <v>56</v>
      </c>
      <c r="M380" t="s">
        <v>197</v>
      </c>
      <c r="N380" t="s">
        <v>198</v>
      </c>
      <c r="O380" t="s">
        <v>199</v>
      </c>
      <c r="P380">
        <v>3</v>
      </c>
      <c r="Q380" t="b">
        <v>1</v>
      </c>
      <c r="R380" s="1">
        <v>44287.522916666669</v>
      </c>
      <c r="S380" s="1">
        <v>44293.080555555556</v>
      </c>
      <c r="T380" t="s">
        <v>40</v>
      </c>
      <c r="U380" t="b">
        <v>0</v>
      </c>
      <c r="V380" s="2">
        <v>44287.522916666669</v>
      </c>
      <c r="W380">
        <v>4</v>
      </c>
      <c r="X380">
        <v>2021</v>
      </c>
      <c r="Y380" t="s">
        <v>24</v>
      </c>
      <c r="Z380">
        <v>3</v>
      </c>
    </row>
    <row r="381" spans="1:26" x14ac:dyDescent="0.45">
      <c r="A381">
        <v>2401</v>
      </c>
      <c r="B381">
        <v>1048</v>
      </c>
      <c r="C381" t="s">
        <v>290</v>
      </c>
      <c r="D381" t="s">
        <v>42</v>
      </c>
      <c r="E381">
        <v>28</v>
      </c>
      <c r="F381">
        <v>692</v>
      </c>
      <c r="G381" t="s">
        <v>291</v>
      </c>
      <c r="H381" t="s">
        <v>172</v>
      </c>
      <c r="I381" t="s">
        <v>177</v>
      </c>
      <c r="J381" t="s">
        <v>178</v>
      </c>
      <c r="K381" t="s">
        <v>66</v>
      </c>
      <c r="L381" t="s">
        <v>28</v>
      </c>
      <c r="M381" t="s">
        <v>38</v>
      </c>
      <c r="N381" t="s">
        <v>31</v>
      </c>
      <c r="O381" t="s">
        <v>39</v>
      </c>
      <c r="P381">
        <v>2</v>
      </c>
      <c r="Q381" t="b">
        <v>1</v>
      </c>
      <c r="R381" s="1">
        <v>45085.581250000003</v>
      </c>
      <c r="S381" s="1">
        <v>45087.909722222219</v>
      </c>
      <c r="T381" t="s">
        <v>32</v>
      </c>
      <c r="U381" t="b">
        <v>0</v>
      </c>
      <c r="V381" s="2">
        <v>45085.581250000003</v>
      </c>
      <c r="W381">
        <v>6</v>
      </c>
      <c r="X381">
        <v>2023</v>
      </c>
      <c r="Y381" t="s">
        <v>172</v>
      </c>
      <c r="Z381">
        <v>2</v>
      </c>
    </row>
    <row r="382" spans="1:26" x14ac:dyDescent="0.45">
      <c r="A382">
        <v>2402</v>
      </c>
      <c r="B382">
        <v>1226</v>
      </c>
      <c r="C382" t="s">
        <v>267</v>
      </c>
      <c r="D382" t="s">
        <v>42</v>
      </c>
      <c r="E382">
        <v>22</v>
      </c>
      <c r="F382">
        <v>656</v>
      </c>
      <c r="G382" t="s">
        <v>268</v>
      </c>
      <c r="H382" t="s">
        <v>52</v>
      </c>
      <c r="I382" t="s">
        <v>150</v>
      </c>
      <c r="J382" t="s">
        <v>151</v>
      </c>
      <c r="K382" t="s">
        <v>46</v>
      </c>
      <c r="L382" t="s">
        <v>28</v>
      </c>
      <c r="M382" t="s">
        <v>38</v>
      </c>
      <c r="N382" t="s">
        <v>31</v>
      </c>
      <c r="O382" t="s">
        <v>39</v>
      </c>
      <c r="P382">
        <v>5</v>
      </c>
      <c r="Q382" t="b">
        <v>1</v>
      </c>
      <c r="R382" s="1">
        <v>44771.690972222219</v>
      </c>
      <c r="S382" s="1">
        <v>44772.577777777777</v>
      </c>
      <c r="T382" t="s">
        <v>32</v>
      </c>
      <c r="U382" t="b">
        <v>0</v>
      </c>
      <c r="V382" s="2">
        <v>44771.690972222219</v>
      </c>
      <c r="W382">
        <v>7</v>
      </c>
      <c r="X382">
        <v>2022</v>
      </c>
      <c r="Y382" t="s">
        <v>52</v>
      </c>
      <c r="Z382">
        <v>5</v>
      </c>
    </row>
    <row r="383" spans="1:26" x14ac:dyDescent="0.45">
      <c r="A383">
        <v>2403</v>
      </c>
      <c r="B383">
        <v>1243</v>
      </c>
      <c r="C383" t="s">
        <v>269</v>
      </c>
      <c r="D383" t="s">
        <v>42</v>
      </c>
      <c r="E383">
        <v>14</v>
      </c>
      <c r="H383" t="s">
        <v>73</v>
      </c>
      <c r="I383" t="s">
        <v>140</v>
      </c>
      <c r="J383" t="s">
        <v>213</v>
      </c>
      <c r="K383" t="s">
        <v>27</v>
      </c>
      <c r="L383" t="s">
        <v>96</v>
      </c>
      <c r="M383" t="s">
        <v>97</v>
      </c>
      <c r="N383" t="s">
        <v>98</v>
      </c>
      <c r="O383" t="s">
        <v>99</v>
      </c>
      <c r="P383">
        <v>4</v>
      </c>
      <c r="Q383" t="b">
        <v>1</v>
      </c>
      <c r="R383" s="1">
        <v>44570.375694444447</v>
      </c>
      <c r="S383" s="1">
        <v>44575.058333333334</v>
      </c>
      <c r="T383" t="s">
        <v>109</v>
      </c>
      <c r="U383" t="b">
        <v>0</v>
      </c>
      <c r="V383" s="2">
        <v>44570.375694444447</v>
      </c>
      <c r="W383">
        <v>1</v>
      </c>
      <c r="X383">
        <v>2022</v>
      </c>
      <c r="Y383" t="s">
        <v>73</v>
      </c>
      <c r="Z383">
        <v>4</v>
      </c>
    </row>
    <row r="384" spans="1:26" x14ac:dyDescent="0.45">
      <c r="A384">
        <v>2404</v>
      </c>
      <c r="B384">
        <v>1148</v>
      </c>
      <c r="C384" t="s">
        <v>292</v>
      </c>
      <c r="D384" t="s">
        <v>22</v>
      </c>
      <c r="E384">
        <v>38</v>
      </c>
      <c r="F384">
        <v>687</v>
      </c>
      <c r="G384" t="s">
        <v>293</v>
      </c>
      <c r="H384" t="s">
        <v>129</v>
      </c>
      <c r="I384" t="s">
        <v>130</v>
      </c>
      <c r="J384" t="s">
        <v>252</v>
      </c>
      <c r="K384" t="s">
        <v>55</v>
      </c>
      <c r="L384" t="s">
        <v>28</v>
      </c>
      <c r="M384" t="s">
        <v>29</v>
      </c>
      <c r="N384" t="s">
        <v>30</v>
      </c>
      <c r="O384" t="s">
        <v>31</v>
      </c>
      <c r="P384">
        <v>4</v>
      </c>
      <c r="Q384" t="b">
        <v>1</v>
      </c>
      <c r="R384" s="1">
        <v>43861.700694444444</v>
      </c>
      <c r="S384" s="1">
        <v>43863.23333333333</v>
      </c>
      <c r="T384" t="s">
        <v>40</v>
      </c>
      <c r="U384" t="b">
        <v>0</v>
      </c>
      <c r="V384" s="2">
        <v>43861.700694444444</v>
      </c>
      <c r="W384">
        <v>1</v>
      </c>
      <c r="X384">
        <v>2020</v>
      </c>
      <c r="Y384" t="s">
        <v>129</v>
      </c>
      <c r="Z384">
        <v>4</v>
      </c>
    </row>
    <row r="385" spans="1:26" x14ac:dyDescent="0.45">
      <c r="A385">
        <v>2405</v>
      </c>
      <c r="B385">
        <v>1093</v>
      </c>
      <c r="C385" t="s">
        <v>294</v>
      </c>
      <c r="D385" t="s">
        <v>42</v>
      </c>
      <c r="E385">
        <v>28</v>
      </c>
      <c r="F385">
        <v>699</v>
      </c>
      <c r="G385" t="s">
        <v>295</v>
      </c>
      <c r="H385" t="s">
        <v>85</v>
      </c>
      <c r="I385" t="s">
        <v>116</v>
      </c>
      <c r="J385" t="s">
        <v>117</v>
      </c>
      <c r="K385" t="s">
        <v>37</v>
      </c>
      <c r="L385" t="s">
        <v>76</v>
      </c>
      <c r="M385" t="s">
        <v>77</v>
      </c>
      <c r="N385" t="s">
        <v>78</v>
      </c>
      <c r="O385" t="s">
        <v>79</v>
      </c>
      <c r="P385">
        <v>5</v>
      </c>
      <c r="Q385" t="b">
        <v>1</v>
      </c>
      <c r="R385" s="1">
        <v>44601.953472222223</v>
      </c>
      <c r="S385" s="1">
        <v>44608.061805555553</v>
      </c>
      <c r="T385" t="s">
        <v>32</v>
      </c>
      <c r="U385" t="b">
        <v>0</v>
      </c>
      <c r="V385" s="2">
        <v>44601.953472222223</v>
      </c>
      <c r="W385">
        <v>2</v>
      </c>
      <c r="X385">
        <v>2022</v>
      </c>
      <c r="Y385" t="s">
        <v>85</v>
      </c>
      <c r="Z385">
        <v>5</v>
      </c>
    </row>
    <row r="386" spans="1:26" x14ac:dyDescent="0.45">
      <c r="A386">
        <v>2406</v>
      </c>
      <c r="B386">
        <v>1258</v>
      </c>
      <c r="C386" t="s">
        <v>296</v>
      </c>
      <c r="D386" t="s">
        <v>22</v>
      </c>
      <c r="E386">
        <v>65</v>
      </c>
      <c r="F386">
        <v>751</v>
      </c>
      <c r="G386" t="s">
        <v>297</v>
      </c>
      <c r="H386" t="s">
        <v>93</v>
      </c>
      <c r="I386" t="s">
        <v>112</v>
      </c>
      <c r="J386" t="s">
        <v>242</v>
      </c>
      <c r="K386" t="s">
        <v>66</v>
      </c>
      <c r="L386" t="s">
        <v>28</v>
      </c>
      <c r="M386" t="s">
        <v>29</v>
      </c>
      <c r="N386" t="s">
        <v>30</v>
      </c>
      <c r="O386" t="s">
        <v>31</v>
      </c>
      <c r="P386">
        <v>1</v>
      </c>
      <c r="Q386" t="b">
        <v>0</v>
      </c>
      <c r="R386" s="1">
        <v>44317.55</v>
      </c>
      <c r="V386" s="2">
        <v>44317.55</v>
      </c>
      <c r="W386">
        <v>5</v>
      </c>
      <c r="X386">
        <v>2021</v>
      </c>
      <c r="Y386" t="s">
        <v>93</v>
      </c>
      <c r="Z386">
        <v>1</v>
      </c>
    </row>
    <row r="387" spans="1:26" x14ac:dyDescent="0.45">
      <c r="A387">
        <v>2407</v>
      </c>
      <c r="B387">
        <v>1180</v>
      </c>
      <c r="C387" t="s">
        <v>298</v>
      </c>
      <c r="D387" t="s">
        <v>42</v>
      </c>
      <c r="E387">
        <v>74</v>
      </c>
      <c r="F387">
        <v>757</v>
      </c>
      <c r="G387" t="s">
        <v>299</v>
      </c>
      <c r="H387" t="s">
        <v>63</v>
      </c>
      <c r="I387" t="s">
        <v>300</v>
      </c>
      <c r="J387" t="s">
        <v>301</v>
      </c>
      <c r="K387" t="s">
        <v>66</v>
      </c>
      <c r="L387" t="s">
        <v>96</v>
      </c>
      <c r="M387" t="s">
        <v>118</v>
      </c>
      <c r="N387" t="s">
        <v>90</v>
      </c>
      <c r="O387" t="s">
        <v>119</v>
      </c>
      <c r="P387">
        <v>2</v>
      </c>
      <c r="Q387" t="b">
        <v>1</v>
      </c>
      <c r="R387" s="1">
        <v>44930.586805555555</v>
      </c>
      <c r="S387" s="1">
        <v>44934.831944444442</v>
      </c>
      <c r="T387" t="s">
        <v>109</v>
      </c>
      <c r="U387" t="b">
        <v>0</v>
      </c>
      <c r="V387" s="2">
        <v>44930.586805555555</v>
      </c>
      <c r="W387">
        <v>1</v>
      </c>
      <c r="X387">
        <v>2023</v>
      </c>
      <c r="Y387" t="s">
        <v>63</v>
      </c>
      <c r="Z387">
        <v>2</v>
      </c>
    </row>
    <row r="388" spans="1:26" x14ac:dyDescent="0.45">
      <c r="A388">
        <v>2408</v>
      </c>
      <c r="B388">
        <v>1082</v>
      </c>
      <c r="C388" t="s">
        <v>302</v>
      </c>
      <c r="D388" t="s">
        <v>42</v>
      </c>
      <c r="E388">
        <v>24</v>
      </c>
      <c r="F388">
        <v>600</v>
      </c>
      <c r="G388" t="s">
        <v>303</v>
      </c>
      <c r="H388" t="s">
        <v>73</v>
      </c>
      <c r="I388" t="s">
        <v>140</v>
      </c>
      <c r="J388" t="s">
        <v>228</v>
      </c>
      <c r="K388" t="s">
        <v>27</v>
      </c>
      <c r="L388" t="s">
        <v>28</v>
      </c>
      <c r="M388" t="s">
        <v>38</v>
      </c>
      <c r="N388" t="s">
        <v>31</v>
      </c>
      <c r="O388" t="s">
        <v>39</v>
      </c>
      <c r="P388">
        <v>3</v>
      </c>
      <c r="Q388" t="b">
        <v>1</v>
      </c>
      <c r="R388" s="1">
        <v>45287.992361111108</v>
      </c>
      <c r="S388" s="1">
        <v>45292.301388888889</v>
      </c>
      <c r="T388" t="s">
        <v>109</v>
      </c>
      <c r="U388" t="b">
        <v>1</v>
      </c>
      <c r="V388" s="2">
        <v>45287.992361111108</v>
      </c>
      <c r="W388">
        <v>12</v>
      </c>
      <c r="X388">
        <v>2023</v>
      </c>
      <c r="Y388" t="s">
        <v>73</v>
      </c>
      <c r="Z388">
        <v>3</v>
      </c>
    </row>
    <row r="389" spans="1:26" x14ac:dyDescent="0.45">
      <c r="A389">
        <v>2409</v>
      </c>
      <c r="B389">
        <v>1207</v>
      </c>
      <c r="C389" t="s">
        <v>304</v>
      </c>
      <c r="D389" t="s">
        <v>42</v>
      </c>
      <c r="E389">
        <v>37</v>
      </c>
      <c r="F389">
        <v>691</v>
      </c>
      <c r="G389" t="s">
        <v>305</v>
      </c>
      <c r="H389" t="s">
        <v>52</v>
      </c>
      <c r="I389" t="s">
        <v>150</v>
      </c>
      <c r="J389" t="s">
        <v>306</v>
      </c>
      <c r="K389" t="s">
        <v>27</v>
      </c>
      <c r="L389" t="s">
        <v>67</v>
      </c>
      <c r="M389" t="s">
        <v>233</v>
      </c>
      <c r="N389" t="s">
        <v>89</v>
      </c>
      <c r="O389" t="s">
        <v>90</v>
      </c>
      <c r="P389">
        <v>4</v>
      </c>
      <c r="Q389" t="b">
        <v>0</v>
      </c>
      <c r="R389" s="1">
        <v>44427.390277777777</v>
      </c>
      <c r="V389" s="2">
        <v>44427.390277777777</v>
      </c>
      <c r="W389">
        <v>8</v>
      </c>
      <c r="X389">
        <v>2021</v>
      </c>
      <c r="Y389" t="s">
        <v>52</v>
      </c>
      <c r="Z389">
        <v>4</v>
      </c>
    </row>
    <row r="390" spans="1:26" x14ac:dyDescent="0.45">
      <c r="A390">
        <v>2410</v>
      </c>
      <c r="B390">
        <v>1288</v>
      </c>
      <c r="C390" t="s">
        <v>307</v>
      </c>
      <c r="D390" t="s">
        <v>42</v>
      </c>
      <c r="E390">
        <v>72</v>
      </c>
      <c r="F390">
        <v>756</v>
      </c>
      <c r="G390" t="s">
        <v>308</v>
      </c>
      <c r="H390" t="s">
        <v>35</v>
      </c>
      <c r="I390" t="s">
        <v>36</v>
      </c>
      <c r="J390" t="s">
        <v>36</v>
      </c>
      <c r="K390" t="s">
        <v>102</v>
      </c>
      <c r="L390" t="s">
        <v>67</v>
      </c>
      <c r="M390" t="s">
        <v>165</v>
      </c>
      <c r="N390" t="s">
        <v>166</v>
      </c>
      <c r="O390" t="s">
        <v>167</v>
      </c>
      <c r="P390">
        <v>4</v>
      </c>
      <c r="Q390" t="b">
        <v>0</v>
      </c>
      <c r="R390" s="1">
        <v>43992.175694444442</v>
      </c>
      <c r="V390" s="2">
        <v>43992.175694444442</v>
      </c>
      <c r="W390">
        <v>6</v>
      </c>
      <c r="X390">
        <v>2020</v>
      </c>
      <c r="Y390" t="s">
        <v>35</v>
      </c>
      <c r="Z390">
        <v>4</v>
      </c>
    </row>
    <row r="391" spans="1:26" x14ac:dyDescent="0.45">
      <c r="A391">
        <v>2411</v>
      </c>
      <c r="B391">
        <v>1129</v>
      </c>
      <c r="C391" t="s">
        <v>309</v>
      </c>
      <c r="D391" t="s">
        <v>42</v>
      </c>
      <c r="E391">
        <v>14</v>
      </c>
      <c r="H391" t="s">
        <v>35</v>
      </c>
      <c r="I391" t="s">
        <v>36</v>
      </c>
      <c r="J391" t="s">
        <v>123</v>
      </c>
      <c r="K391" t="s">
        <v>102</v>
      </c>
      <c r="L391" t="s">
        <v>96</v>
      </c>
      <c r="M391" t="s">
        <v>97</v>
      </c>
      <c r="N391" t="s">
        <v>98</v>
      </c>
      <c r="O391" t="s">
        <v>99</v>
      </c>
      <c r="P391">
        <v>4</v>
      </c>
      <c r="Q391" t="b">
        <v>1</v>
      </c>
      <c r="R391" s="1">
        <v>45089.169444444444</v>
      </c>
      <c r="S391" s="1">
        <v>45092.088888888888</v>
      </c>
      <c r="T391" t="s">
        <v>109</v>
      </c>
      <c r="U391" t="b">
        <v>0</v>
      </c>
      <c r="V391" s="2">
        <v>45089.169444444444</v>
      </c>
      <c r="W391">
        <v>6</v>
      </c>
      <c r="X391">
        <v>2023</v>
      </c>
      <c r="Y391" t="s">
        <v>35</v>
      </c>
      <c r="Z391">
        <v>4</v>
      </c>
    </row>
    <row r="392" spans="1:26" x14ac:dyDescent="0.45">
      <c r="A392">
        <v>2412</v>
      </c>
      <c r="B392">
        <v>1076</v>
      </c>
      <c r="C392" t="s">
        <v>310</v>
      </c>
      <c r="D392" t="s">
        <v>22</v>
      </c>
      <c r="E392">
        <v>24</v>
      </c>
      <c r="F392">
        <v>632</v>
      </c>
      <c r="G392" t="s">
        <v>311</v>
      </c>
      <c r="H392" t="s">
        <v>52</v>
      </c>
      <c r="I392" t="s">
        <v>53</v>
      </c>
      <c r="J392" t="s">
        <v>54</v>
      </c>
      <c r="K392" t="s">
        <v>66</v>
      </c>
      <c r="L392" t="s">
        <v>67</v>
      </c>
      <c r="M392" t="s">
        <v>233</v>
      </c>
      <c r="N392" t="s">
        <v>89</v>
      </c>
      <c r="O392" t="s">
        <v>90</v>
      </c>
      <c r="P392">
        <v>1</v>
      </c>
      <c r="Q392" t="b">
        <v>0</v>
      </c>
      <c r="R392" s="1">
        <v>45169.697222222225</v>
      </c>
      <c r="V392" s="2">
        <v>45169.697222222225</v>
      </c>
      <c r="W392">
        <v>8</v>
      </c>
      <c r="X392">
        <v>2023</v>
      </c>
      <c r="Y392" t="s">
        <v>52</v>
      </c>
      <c r="Z392">
        <v>1</v>
      </c>
    </row>
    <row r="393" spans="1:26" x14ac:dyDescent="0.45">
      <c r="A393">
        <v>2413</v>
      </c>
      <c r="B393">
        <v>1084</v>
      </c>
      <c r="C393" t="s">
        <v>312</v>
      </c>
      <c r="D393" t="s">
        <v>22</v>
      </c>
      <c r="E393">
        <v>46</v>
      </c>
      <c r="F393">
        <v>727</v>
      </c>
      <c r="G393" t="s">
        <v>313</v>
      </c>
      <c r="H393" t="s">
        <v>52</v>
      </c>
      <c r="I393" t="s">
        <v>53</v>
      </c>
      <c r="J393" t="s">
        <v>284</v>
      </c>
      <c r="K393" t="s">
        <v>102</v>
      </c>
      <c r="L393" t="s">
        <v>96</v>
      </c>
      <c r="M393" t="s">
        <v>118</v>
      </c>
      <c r="N393" t="s">
        <v>90</v>
      </c>
      <c r="O393" t="s">
        <v>119</v>
      </c>
      <c r="P393">
        <v>1</v>
      </c>
      <c r="Q393" t="b">
        <v>1</v>
      </c>
      <c r="R393" s="1">
        <v>45201.767361111109</v>
      </c>
      <c r="S393" s="1">
        <v>45207.51666666667</v>
      </c>
      <c r="T393" t="s">
        <v>32</v>
      </c>
      <c r="U393" t="b">
        <v>0</v>
      </c>
      <c r="V393" s="2">
        <v>45201.767361111109</v>
      </c>
      <c r="W393">
        <v>10</v>
      </c>
      <c r="X393">
        <v>2023</v>
      </c>
      <c r="Y393" t="s">
        <v>52</v>
      </c>
      <c r="Z393">
        <v>1</v>
      </c>
    </row>
    <row r="394" spans="1:26" x14ac:dyDescent="0.45">
      <c r="A394">
        <v>2414</v>
      </c>
      <c r="B394">
        <v>1215</v>
      </c>
      <c r="C394" t="s">
        <v>314</v>
      </c>
      <c r="D394" t="s">
        <v>42</v>
      </c>
      <c r="E394">
        <v>44</v>
      </c>
      <c r="F394">
        <v>730</v>
      </c>
      <c r="G394" t="s">
        <v>315</v>
      </c>
      <c r="H394" t="s">
        <v>129</v>
      </c>
      <c r="I394" t="s">
        <v>263</v>
      </c>
      <c r="J394" t="s">
        <v>316</v>
      </c>
      <c r="K394" t="s">
        <v>46</v>
      </c>
      <c r="L394" t="s">
        <v>56</v>
      </c>
      <c r="M394" t="s">
        <v>57</v>
      </c>
      <c r="N394" t="s">
        <v>58</v>
      </c>
      <c r="O394" t="s">
        <v>59</v>
      </c>
      <c r="P394">
        <v>4</v>
      </c>
      <c r="Q394" t="b">
        <v>1</v>
      </c>
      <c r="R394" s="1">
        <v>44522.894444444442</v>
      </c>
      <c r="S394" s="1">
        <v>44529.287499999999</v>
      </c>
      <c r="T394" t="s">
        <v>109</v>
      </c>
      <c r="U394" t="b">
        <v>0</v>
      </c>
      <c r="V394" s="2">
        <v>44522.894444444442</v>
      </c>
      <c r="W394">
        <v>11</v>
      </c>
      <c r="X394">
        <v>2021</v>
      </c>
      <c r="Y394" t="s">
        <v>129</v>
      </c>
      <c r="Z394">
        <v>4</v>
      </c>
    </row>
    <row r="395" spans="1:26" x14ac:dyDescent="0.45">
      <c r="A395">
        <v>2415</v>
      </c>
      <c r="B395">
        <v>1095</v>
      </c>
      <c r="C395" t="s">
        <v>317</v>
      </c>
      <c r="D395" t="s">
        <v>42</v>
      </c>
      <c r="E395">
        <v>67</v>
      </c>
      <c r="F395">
        <v>743</v>
      </c>
      <c r="G395" t="s">
        <v>318</v>
      </c>
      <c r="H395" t="s">
        <v>172</v>
      </c>
      <c r="I395" t="s">
        <v>177</v>
      </c>
      <c r="J395" t="s">
        <v>178</v>
      </c>
      <c r="K395" t="s">
        <v>27</v>
      </c>
      <c r="L395" t="s">
        <v>96</v>
      </c>
      <c r="M395" t="s">
        <v>136</v>
      </c>
      <c r="N395" t="s">
        <v>30</v>
      </c>
      <c r="O395" t="s">
        <v>137</v>
      </c>
      <c r="P395">
        <v>5</v>
      </c>
      <c r="Q395" t="b">
        <v>0</v>
      </c>
      <c r="R395" s="1">
        <v>44645.711805555555</v>
      </c>
      <c r="V395" s="2">
        <v>44645.711805555555</v>
      </c>
      <c r="W395">
        <v>3</v>
      </c>
      <c r="X395">
        <v>2022</v>
      </c>
      <c r="Y395" t="s">
        <v>172</v>
      </c>
      <c r="Z395">
        <v>5</v>
      </c>
    </row>
    <row r="396" spans="1:26" x14ac:dyDescent="0.45">
      <c r="A396">
        <v>2416</v>
      </c>
      <c r="B396">
        <v>1036</v>
      </c>
      <c r="C396" t="s">
        <v>319</v>
      </c>
      <c r="D396" t="s">
        <v>22</v>
      </c>
      <c r="E396">
        <v>45</v>
      </c>
      <c r="F396">
        <v>703</v>
      </c>
      <c r="G396" t="s">
        <v>320</v>
      </c>
      <c r="H396" t="s">
        <v>85</v>
      </c>
      <c r="I396" t="s">
        <v>86</v>
      </c>
      <c r="J396" t="s">
        <v>182</v>
      </c>
      <c r="K396" t="s">
        <v>46</v>
      </c>
      <c r="L396" t="s">
        <v>76</v>
      </c>
      <c r="M396" t="s">
        <v>160</v>
      </c>
      <c r="N396" t="s">
        <v>79</v>
      </c>
      <c r="O396" t="s">
        <v>161</v>
      </c>
      <c r="P396">
        <v>3</v>
      </c>
      <c r="Q396" t="b">
        <v>0</v>
      </c>
      <c r="R396" s="1">
        <v>44257.813888888886</v>
      </c>
      <c r="V396" s="2">
        <v>44257.813888888886</v>
      </c>
      <c r="W396">
        <v>3</v>
      </c>
      <c r="X396">
        <v>2021</v>
      </c>
      <c r="Y396" t="s">
        <v>85</v>
      </c>
      <c r="Z396">
        <v>3</v>
      </c>
    </row>
    <row r="397" spans="1:26" x14ac:dyDescent="0.45">
      <c r="A397">
        <v>2417</v>
      </c>
      <c r="B397">
        <v>1425</v>
      </c>
      <c r="C397" t="s">
        <v>321</v>
      </c>
      <c r="D397" t="s">
        <v>42</v>
      </c>
      <c r="E397">
        <v>23</v>
      </c>
      <c r="F397">
        <v>655</v>
      </c>
      <c r="G397" t="s">
        <v>322</v>
      </c>
      <c r="H397" t="s">
        <v>24</v>
      </c>
      <c r="I397" t="s">
        <v>25</v>
      </c>
      <c r="J397" t="s">
        <v>222</v>
      </c>
      <c r="K397" t="s">
        <v>27</v>
      </c>
      <c r="L397" t="s">
        <v>96</v>
      </c>
      <c r="M397" t="s">
        <v>103</v>
      </c>
      <c r="N397" t="s">
        <v>31</v>
      </c>
      <c r="O397" t="s">
        <v>104</v>
      </c>
      <c r="P397">
        <v>5</v>
      </c>
      <c r="Q397" t="b">
        <v>0</v>
      </c>
      <c r="R397" s="1">
        <v>45290.869444444441</v>
      </c>
      <c r="V397" s="2">
        <v>45290.869444444441</v>
      </c>
      <c r="W397">
        <v>12</v>
      </c>
      <c r="X397">
        <v>2023</v>
      </c>
      <c r="Y397" t="s">
        <v>24</v>
      </c>
      <c r="Z397">
        <v>5</v>
      </c>
    </row>
    <row r="398" spans="1:26" x14ac:dyDescent="0.45">
      <c r="A398">
        <v>2418</v>
      </c>
      <c r="B398">
        <v>1156</v>
      </c>
      <c r="C398" t="s">
        <v>323</v>
      </c>
      <c r="D398" t="s">
        <v>22</v>
      </c>
      <c r="E398">
        <v>51</v>
      </c>
      <c r="F398">
        <v>714</v>
      </c>
      <c r="G398" t="s">
        <v>274</v>
      </c>
      <c r="H398" t="s">
        <v>73</v>
      </c>
      <c r="I398" t="s">
        <v>140</v>
      </c>
      <c r="J398" t="s">
        <v>213</v>
      </c>
      <c r="K398" t="s">
        <v>27</v>
      </c>
      <c r="L398" t="s">
        <v>96</v>
      </c>
      <c r="M398" t="s">
        <v>97</v>
      </c>
      <c r="N398" t="s">
        <v>98</v>
      </c>
      <c r="O398" t="s">
        <v>99</v>
      </c>
      <c r="P398">
        <v>1</v>
      </c>
      <c r="Q398" t="b">
        <v>1</v>
      </c>
      <c r="R398" s="1">
        <v>44920.054166666669</v>
      </c>
      <c r="S398" s="1">
        <v>44923.973611111112</v>
      </c>
      <c r="T398" t="s">
        <v>32</v>
      </c>
      <c r="U398" t="b">
        <v>0</v>
      </c>
      <c r="V398" s="2">
        <v>44920.054166666669</v>
      </c>
      <c r="W398">
        <v>12</v>
      </c>
      <c r="X398">
        <v>2022</v>
      </c>
      <c r="Y398" t="s">
        <v>73</v>
      </c>
      <c r="Z398">
        <v>1</v>
      </c>
    </row>
    <row r="399" spans="1:26" x14ac:dyDescent="0.45">
      <c r="A399">
        <v>2419</v>
      </c>
      <c r="B399">
        <v>1261</v>
      </c>
      <c r="C399" t="s">
        <v>324</v>
      </c>
      <c r="D399" t="s">
        <v>22</v>
      </c>
      <c r="E399">
        <v>20</v>
      </c>
      <c r="F399">
        <v>645</v>
      </c>
      <c r="G399" t="s">
        <v>325</v>
      </c>
      <c r="H399" t="s">
        <v>85</v>
      </c>
      <c r="I399" t="s">
        <v>116</v>
      </c>
      <c r="J399" t="s">
        <v>154</v>
      </c>
      <c r="K399" t="s">
        <v>66</v>
      </c>
      <c r="L399" t="s">
        <v>67</v>
      </c>
      <c r="M399" t="s">
        <v>233</v>
      </c>
      <c r="N399" t="s">
        <v>89</v>
      </c>
      <c r="O399" t="s">
        <v>90</v>
      </c>
      <c r="P399">
        <v>2</v>
      </c>
      <c r="Q399" t="b">
        <v>1</v>
      </c>
      <c r="R399" s="1">
        <v>44099.338194444441</v>
      </c>
      <c r="S399" s="1">
        <v>44105.279166666667</v>
      </c>
      <c r="T399" t="s">
        <v>40</v>
      </c>
      <c r="U399" t="b">
        <v>0</v>
      </c>
      <c r="V399" s="2">
        <v>44099.338194444441</v>
      </c>
      <c r="W399">
        <v>9</v>
      </c>
      <c r="X399">
        <v>2020</v>
      </c>
      <c r="Y399" t="s">
        <v>85</v>
      </c>
      <c r="Z399">
        <v>2</v>
      </c>
    </row>
    <row r="400" spans="1:26" x14ac:dyDescent="0.45">
      <c r="A400">
        <v>2420</v>
      </c>
      <c r="B400">
        <v>1312</v>
      </c>
      <c r="C400" t="s">
        <v>326</v>
      </c>
      <c r="D400" t="s">
        <v>42</v>
      </c>
      <c r="E400">
        <v>62</v>
      </c>
      <c r="F400">
        <v>746</v>
      </c>
      <c r="G400" t="s">
        <v>327</v>
      </c>
      <c r="H400" t="s">
        <v>93</v>
      </c>
      <c r="I400" t="s">
        <v>112</v>
      </c>
      <c r="J400" t="s">
        <v>113</v>
      </c>
      <c r="K400" t="s">
        <v>66</v>
      </c>
      <c r="L400" t="s">
        <v>76</v>
      </c>
      <c r="M400" t="s">
        <v>126</v>
      </c>
      <c r="N400" t="s">
        <v>98</v>
      </c>
      <c r="O400" t="s">
        <v>99</v>
      </c>
      <c r="P400">
        <v>2</v>
      </c>
      <c r="Q400" t="b">
        <v>0</v>
      </c>
      <c r="R400" s="1">
        <v>45054.945833333331</v>
      </c>
      <c r="V400" s="2">
        <v>45054.945833333331</v>
      </c>
      <c r="W400">
        <v>5</v>
      </c>
      <c r="X400">
        <v>2023</v>
      </c>
      <c r="Y400" t="s">
        <v>93</v>
      </c>
      <c r="Z400">
        <v>2</v>
      </c>
    </row>
    <row r="401" spans="1:26" x14ac:dyDescent="0.45">
      <c r="A401">
        <v>2421</v>
      </c>
      <c r="B401">
        <v>1044</v>
      </c>
      <c r="C401" t="s">
        <v>328</v>
      </c>
      <c r="D401" t="s">
        <v>22</v>
      </c>
      <c r="E401">
        <v>28</v>
      </c>
      <c r="F401">
        <v>684</v>
      </c>
      <c r="G401" t="s">
        <v>329</v>
      </c>
      <c r="H401" t="s">
        <v>85</v>
      </c>
      <c r="I401" t="s">
        <v>116</v>
      </c>
      <c r="J401" t="s">
        <v>330</v>
      </c>
      <c r="K401" t="s">
        <v>102</v>
      </c>
      <c r="L401" t="s">
        <v>76</v>
      </c>
      <c r="M401" t="s">
        <v>126</v>
      </c>
      <c r="N401" t="s">
        <v>98</v>
      </c>
      <c r="O401" t="s">
        <v>99</v>
      </c>
      <c r="P401">
        <v>1</v>
      </c>
      <c r="Q401" t="b">
        <v>1</v>
      </c>
      <c r="R401" s="1">
        <v>44148.95208333333</v>
      </c>
      <c r="S401" s="1">
        <v>44151.527777777781</v>
      </c>
      <c r="T401" t="s">
        <v>109</v>
      </c>
      <c r="U401" t="b">
        <v>0</v>
      </c>
      <c r="V401" s="2">
        <v>44148.95208333333</v>
      </c>
      <c r="W401">
        <v>11</v>
      </c>
      <c r="X401">
        <v>2020</v>
      </c>
      <c r="Y401" t="s">
        <v>85</v>
      </c>
      <c r="Z401">
        <v>1</v>
      </c>
    </row>
    <row r="402" spans="1:26" x14ac:dyDescent="0.45">
      <c r="A402">
        <v>2422</v>
      </c>
      <c r="B402">
        <v>1064</v>
      </c>
      <c r="C402" t="s">
        <v>331</v>
      </c>
      <c r="D402" t="s">
        <v>42</v>
      </c>
      <c r="E402">
        <v>76</v>
      </c>
      <c r="F402">
        <v>750</v>
      </c>
      <c r="G402" t="s">
        <v>332</v>
      </c>
      <c r="H402" t="s">
        <v>24</v>
      </c>
      <c r="I402" t="s">
        <v>44</v>
      </c>
      <c r="J402" t="s">
        <v>45</v>
      </c>
      <c r="K402" t="s">
        <v>102</v>
      </c>
      <c r="L402" t="s">
        <v>28</v>
      </c>
      <c r="M402" t="s">
        <v>142</v>
      </c>
      <c r="N402" t="s">
        <v>143</v>
      </c>
      <c r="O402" t="s">
        <v>144</v>
      </c>
      <c r="P402">
        <v>5</v>
      </c>
      <c r="Q402" t="b">
        <v>0</v>
      </c>
      <c r="R402" s="1">
        <v>44163.643750000003</v>
      </c>
      <c r="V402" s="2">
        <v>44163.643750000003</v>
      </c>
      <c r="W402">
        <v>11</v>
      </c>
      <c r="X402">
        <v>2020</v>
      </c>
      <c r="Y402" t="s">
        <v>24</v>
      </c>
      <c r="Z402">
        <v>5</v>
      </c>
    </row>
    <row r="403" spans="1:26" x14ac:dyDescent="0.45">
      <c r="A403">
        <v>2423</v>
      </c>
      <c r="B403">
        <v>1217</v>
      </c>
      <c r="C403" t="s">
        <v>333</v>
      </c>
      <c r="D403" t="s">
        <v>42</v>
      </c>
      <c r="E403">
        <v>67</v>
      </c>
      <c r="F403">
        <v>743</v>
      </c>
      <c r="G403" t="s">
        <v>334</v>
      </c>
      <c r="H403" t="s">
        <v>35</v>
      </c>
      <c r="I403" t="s">
        <v>122</v>
      </c>
      <c r="J403" t="s">
        <v>82</v>
      </c>
      <c r="K403" t="s">
        <v>27</v>
      </c>
      <c r="L403" t="s">
        <v>76</v>
      </c>
      <c r="M403" t="s">
        <v>77</v>
      </c>
      <c r="N403" t="s">
        <v>78</v>
      </c>
      <c r="O403" t="s">
        <v>79</v>
      </c>
      <c r="P403">
        <v>5</v>
      </c>
      <c r="Q403" t="b">
        <v>0</v>
      </c>
      <c r="R403" s="1">
        <v>45044.774305555555</v>
      </c>
      <c r="V403" s="2">
        <v>45044.774305555555</v>
      </c>
      <c r="W403">
        <v>4</v>
      </c>
      <c r="X403">
        <v>2023</v>
      </c>
      <c r="Y403" t="s">
        <v>35</v>
      </c>
      <c r="Z403">
        <v>5</v>
      </c>
    </row>
    <row r="404" spans="1:26" x14ac:dyDescent="0.45">
      <c r="A404">
        <v>2424</v>
      </c>
      <c r="B404">
        <v>1024</v>
      </c>
      <c r="C404" t="s">
        <v>275</v>
      </c>
      <c r="D404" t="s">
        <v>42</v>
      </c>
      <c r="E404">
        <v>53</v>
      </c>
      <c r="F404">
        <v>730</v>
      </c>
      <c r="G404" t="s">
        <v>207</v>
      </c>
      <c r="H404" t="s">
        <v>129</v>
      </c>
      <c r="I404" t="s">
        <v>130</v>
      </c>
      <c r="J404" t="s">
        <v>252</v>
      </c>
      <c r="K404" t="s">
        <v>27</v>
      </c>
      <c r="L404" t="s">
        <v>96</v>
      </c>
      <c r="M404" t="s">
        <v>118</v>
      </c>
      <c r="N404" t="s">
        <v>90</v>
      </c>
      <c r="O404" t="s">
        <v>119</v>
      </c>
      <c r="P404">
        <v>5</v>
      </c>
      <c r="Q404" t="b">
        <v>0</v>
      </c>
      <c r="R404" s="1">
        <v>44749.45208333333</v>
      </c>
      <c r="V404" s="2">
        <v>44749.45208333333</v>
      </c>
      <c r="W404">
        <v>7</v>
      </c>
      <c r="X404">
        <v>2022</v>
      </c>
      <c r="Y404" t="s">
        <v>129</v>
      </c>
      <c r="Z404">
        <v>5</v>
      </c>
    </row>
    <row r="405" spans="1:26" x14ac:dyDescent="0.45">
      <c r="A405">
        <v>2425</v>
      </c>
      <c r="B405">
        <v>1113</v>
      </c>
      <c r="C405" t="s">
        <v>186</v>
      </c>
      <c r="D405" t="s">
        <v>22</v>
      </c>
      <c r="E405">
        <v>73</v>
      </c>
      <c r="F405">
        <v>743</v>
      </c>
      <c r="G405" t="s">
        <v>187</v>
      </c>
      <c r="H405" t="s">
        <v>24</v>
      </c>
      <c r="I405" t="s">
        <v>25</v>
      </c>
      <c r="J405" t="s">
        <v>188</v>
      </c>
      <c r="K405" t="s">
        <v>55</v>
      </c>
      <c r="L405" t="s">
        <v>67</v>
      </c>
      <c r="M405" t="s">
        <v>165</v>
      </c>
      <c r="N405" t="s">
        <v>166</v>
      </c>
      <c r="O405" t="s">
        <v>167</v>
      </c>
      <c r="P405">
        <v>1</v>
      </c>
      <c r="Q405" t="b">
        <v>1</v>
      </c>
      <c r="R405" s="1">
        <v>44880.95</v>
      </c>
      <c r="S405" s="1">
        <v>44882.161111111112</v>
      </c>
      <c r="T405" t="s">
        <v>109</v>
      </c>
      <c r="U405" t="b">
        <v>0</v>
      </c>
      <c r="V405" s="2">
        <v>44880.95</v>
      </c>
      <c r="W405">
        <v>11</v>
      </c>
      <c r="X405">
        <v>2022</v>
      </c>
      <c r="Y405" t="s">
        <v>24</v>
      </c>
      <c r="Z405">
        <v>1</v>
      </c>
    </row>
    <row r="406" spans="1:26" x14ac:dyDescent="0.45">
      <c r="A406">
        <v>2426</v>
      </c>
      <c r="B406">
        <v>1174</v>
      </c>
      <c r="C406" t="s">
        <v>335</v>
      </c>
      <c r="D406" t="s">
        <v>42</v>
      </c>
      <c r="E406">
        <v>17</v>
      </c>
      <c r="H406" t="s">
        <v>172</v>
      </c>
      <c r="I406" t="s">
        <v>177</v>
      </c>
      <c r="J406" t="s">
        <v>178</v>
      </c>
      <c r="K406" t="s">
        <v>27</v>
      </c>
      <c r="L406" t="s">
        <v>96</v>
      </c>
      <c r="M406" t="s">
        <v>103</v>
      </c>
      <c r="N406" t="s">
        <v>31</v>
      </c>
      <c r="O406" t="s">
        <v>104</v>
      </c>
      <c r="P406">
        <v>3</v>
      </c>
      <c r="Q406" t="b">
        <v>0</v>
      </c>
      <c r="R406" s="1">
        <v>45152.146527777775</v>
      </c>
      <c r="V406" s="2">
        <v>45152.146527777775</v>
      </c>
      <c r="W406">
        <v>8</v>
      </c>
      <c r="X406">
        <v>2023</v>
      </c>
      <c r="Y406" t="s">
        <v>172</v>
      </c>
      <c r="Z406">
        <v>3</v>
      </c>
    </row>
    <row r="407" spans="1:26" x14ac:dyDescent="0.45">
      <c r="A407">
        <v>2427</v>
      </c>
      <c r="B407">
        <v>1007</v>
      </c>
      <c r="C407" t="s">
        <v>336</v>
      </c>
      <c r="D407" t="s">
        <v>42</v>
      </c>
      <c r="E407">
        <v>28</v>
      </c>
      <c r="F407">
        <v>689</v>
      </c>
      <c r="G407" t="s">
        <v>337</v>
      </c>
      <c r="H407" t="s">
        <v>73</v>
      </c>
      <c r="I407" t="s">
        <v>140</v>
      </c>
      <c r="J407" t="s">
        <v>141</v>
      </c>
      <c r="K407" t="s">
        <v>37</v>
      </c>
      <c r="L407" t="s">
        <v>28</v>
      </c>
      <c r="M407" t="s">
        <v>29</v>
      </c>
      <c r="N407" t="s">
        <v>30</v>
      </c>
      <c r="O407" t="s">
        <v>31</v>
      </c>
      <c r="P407">
        <v>2</v>
      </c>
      <c r="Q407" t="b">
        <v>1</v>
      </c>
      <c r="R407" s="1">
        <v>44472.328472222223</v>
      </c>
      <c r="S407" s="1">
        <v>44474.681250000001</v>
      </c>
      <c r="T407" t="s">
        <v>109</v>
      </c>
      <c r="U407" t="b">
        <v>1</v>
      </c>
      <c r="V407" s="2">
        <v>44472.328472222223</v>
      </c>
      <c r="W407">
        <v>10</v>
      </c>
      <c r="X407">
        <v>2021</v>
      </c>
      <c r="Y407" t="s">
        <v>73</v>
      </c>
      <c r="Z407">
        <v>2</v>
      </c>
    </row>
    <row r="408" spans="1:26" x14ac:dyDescent="0.45">
      <c r="A408">
        <v>2428</v>
      </c>
      <c r="B408">
        <v>1229</v>
      </c>
      <c r="C408" t="s">
        <v>338</v>
      </c>
      <c r="D408" t="s">
        <v>42</v>
      </c>
      <c r="E408">
        <v>77</v>
      </c>
      <c r="F408">
        <v>748</v>
      </c>
      <c r="G408" t="s">
        <v>339</v>
      </c>
      <c r="H408" t="s">
        <v>24</v>
      </c>
      <c r="I408" t="s">
        <v>44</v>
      </c>
      <c r="J408" t="s">
        <v>225</v>
      </c>
      <c r="K408" t="s">
        <v>66</v>
      </c>
      <c r="L408" t="s">
        <v>28</v>
      </c>
      <c r="M408" t="s">
        <v>47</v>
      </c>
      <c r="N408" t="s">
        <v>48</v>
      </c>
      <c r="O408" t="s">
        <v>49</v>
      </c>
      <c r="P408">
        <v>1</v>
      </c>
      <c r="Q408" t="b">
        <v>1</v>
      </c>
      <c r="R408" s="1">
        <v>44067.842361111114</v>
      </c>
      <c r="S408" s="1">
        <v>44070.70208333333</v>
      </c>
      <c r="T408" t="s">
        <v>32</v>
      </c>
      <c r="U408" t="b">
        <v>0</v>
      </c>
      <c r="V408" s="2">
        <v>44067.842361111114</v>
      </c>
      <c r="W408">
        <v>8</v>
      </c>
      <c r="X408">
        <v>2020</v>
      </c>
      <c r="Y408" t="s">
        <v>24</v>
      </c>
      <c r="Z408">
        <v>1</v>
      </c>
    </row>
    <row r="409" spans="1:26" x14ac:dyDescent="0.45">
      <c r="A409">
        <v>2429</v>
      </c>
      <c r="B409">
        <v>1152</v>
      </c>
      <c r="C409" t="s">
        <v>124</v>
      </c>
      <c r="D409" t="s">
        <v>22</v>
      </c>
      <c r="E409">
        <v>38</v>
      </c>
      <c r="F409">
        <v>698</v>
      </c>
      <c r="G409" t="s">
        <v>125</v>
      </c>
      <c r="H409" t="s">
        <v>85</v>
      </c>
      <c r="I409" t="s">
        <v>86</v>
      </c>
      <c r="J409" t="s">
        <v>87</v>
      </c>
      <c r="K409" t="s">
        <v>37</v>
      </c>
      <c r="L409" t="s">
        <v>67</v>
      </c>
      <c r="M409" t="s">
        <v>165</v>
      </c>
      <c r="N409" t="s">
        <v>166</v>
      </c>
      <c r="O409" t="s">
        <v>167</v>
      </c>
      <c r="P409">
        <v>5</v>
      </c>
      <c r="Q409" t="b">
        <v>1</v>
      </c>
      <c r="R409" s="1">
        <v>44005.79791666667</v>
      </c>
      <c r="S409" s="1">
        <v>44010.989583333336</v>
      </c>
      <c r="T409" t="s">
        <v>60</v>
      </c>
      <c r="U409" t="b">
        <v>0</v>
      </c>
      <c r="V409" s="2">
        <v>44005.79791666667</v>
      </c>
      <c r="W409">
        <v>6</v>
      </c>
      <c r="X409">
        <v>2020</v>
      </c>
      <c r="Y409" t="s">
        <v>85</v>
      </c>
      <c r="Z409">
        <v>5</v>
      </c>
    </row>
    <row r="410" spans="1:26" x14ac:dyDescent="0.45">
      <c r="A410">
        <v>2430</v>
      </c>
      <c r="B410">
        <v>1086</v>
      </c>
      <c r="C410" t="s">
        <v>340</v>
      </c>
      <c r="D410" t="s">
        <v>22</v>
      </c>
      <c r="E410">
        <v>72</v>
      </c>
      <c r="F410">
        <v>757</v>
      </c>
      <c r="G410" t="s">
        <v>341</v>
      </c>
      <c r="H410" t="s">
        <v>172</v>
      </c>
      <c r="I410" t="s">
        <v>177</v>
      </c>
      <c r="J410" t="s">
        <v>178</v>
      </c>
      <c r="K410" t="s">
        <v>27</v>
      </c>
      <c r="L410" t="s">
        <v>96</v>
      </c>
      <c r="M410" t="s">
        <v>103</v>
      </c>
      <c r="N410" t="s">
        <v>31</v>
      </c>
      <c r="O410" t="s">
        <v>104</v>
      </c>
      <c r="P410">
        <v>3</v>
      </c>
      <c r="Q410" t="b">
        <v>1</v>
      </c>
      <c r="R410" s="1">
        <v>45017.272916666669</v>
      </c>
      <c r="S410" s="1">
        <v>45021.805555555555</v>
      </c>
      <c r="T410" t="s">
        <v>40</v>
      </c>
      <c r="U410" t="b">
        <v>0</v>
      </c>
      <c r="V410" s="2">
        <v>45017.272916666669</v>
      </c>
      <c r="W410">
        <v>4</v>
      </c>
      <c r="X410">
        <v>2023</v>
      </c>
      <c r="Y410" t="s">
        <v>172</v>
      </c>
      <c r="Z410">
        <v>3</v>
      </c>
    </row>
    <row r="411" spans="1:26" x14ac:dyDescent="0.45">
      <c r="A411">
        <v>2431</v>
      </c>
      <c r="B411">
        <v>1362</v>
      </c>
      <c r="C411" t="s">
        <v>250</v>
      </c>
      <c r="D411" t="s">
        <v>22</v>
      </c>
      <c r="E411">
        <v>62</v>
      </c>
      <c r="F411">
        <v>753</v>
      </c>
      <c r="G411" t="s">
        <v>251</v>
      </c>
      <c r="H411" t="s">
        <v>129</v>
      </c>
      <c r="I411" t="s">
        <v>130</v>
      </c>
      <c r="J411" t="s">
        <v>252</v>
      </c>
      <c r="K411" t="s">
        <v>46</v>
      </c>
      <c r="L411" t="s">
        <v>76</v>
      </c>
      <c r="M411" t="s">
        <v>132</v>
      </c>
      <c r="N411" t="s">
        <v>59</v>
      </c>
      <c r="O411" t="s">
        <v>98</v>
      </c>
      <c r="P411">
        <v>1</v>
      </c>
      <c r="Q411" t="b">
        <v>1</v>
      </c>
      <c r="R411" s="1">
        <v>45280.522916666669</v>
      </c>
      <c r="S411" s="1">
        <v>45285.734722222223</v>
      </c>
      <c r="T411" t="s">
        <v>60</v>
      </c>
      <c r="U411" t="b">
        <v>0</v>
      </c>
      <c r="V411" s="2">
        <v>45280.522916666669</v>
      </c>
      <c r="W411">
        <v>12</v>
      </c>
      <c r="X411">
        <v>2023</v>
      </c>
      <c r="Y411" t="s">
        <v>129</v>
      </c>
      <c r="Z411">
        <v>1</v>
      </c>
    </row>
    <row r="412" spans="1:26" x14ac:dyDescent="0.45">
      <c r="A412">
        <v>2432</v>
      </c>
      <c r="B412">
        <v>1049</v>
      </c>
      <c r="C412" t="s">
        <v>342</v>
      </c>
      <c r="D412" t="s">
        <v>42</v>
      </c>
      <c r="E412">
        <v>56</v>
      </c>
      <c r="F412">
        <v>724</v>
      </c>
      <c r="G412" t="s">
        <v>343</v>
      </c>
      <c r="H412" t="s">
        <v>63</v>
      </c>
      <c r="I412" t="s">
        <v>64</v>
      </c>
      <c r="J412" t="s">
        <v>281</v>
      </c>
      <c r="K412" t="s">
        <v>27</v>
      </c>
      <c r="L412" t="s">
        <v>28</v>
      </c>
      <c r="M412" t="s">
        <v>29</v>
      </c>
      <c r="N412" t="s">
        <v>30</v>
      </c>
      <c r="O412" t="s">
        <v>31</v>
      </c>
      <c r="P412">
        <v>2</v>
      </c>
      <c r="Q412" t="b">
        <v>1</v>
      </c>
      <c r="R412" s="1">
        <v>44744.809027777781</v>
      </c>
      <c r="S412" s="1">
        <v>44751.320138888892</v>
      </c>
      <c r="T412" t="s">
        <v>109</v>
      </c>
      <c r="U412" t="b">
        <v>0</v>
      </c>
      <c r="V412" s="2">
        <v>44744.809027777781</v>
      </c>
      <c r="W412">
        <v>7</v>
      </c>
      <c r="X412">
        <v>2022</v>
      </c>
      <c r="Y412" t="s">
        <v>63</v>
      </c>
      <c r="Z412">
        <v>2</v>
      </c>
    </row>
    <row r="413" spans="1:26" x14ac:dyDescent="0.45">
      <c r="A413">
        <v>2433</v>
      </c>
      <c r="B413">
        <v>1331</v>
      </c>
      <c r="C413" t="s">
        <v>105</v>
      </c>
      <c r="D413" t="s">
        <v>22</v>
      </c>
      <c r="E413">
        <v>18</v>
      </c>
      <c r="F413">
        <v>623</v>
      </c>
      <c r="G413" t="s">
        <v>106</v>
      </c>
      <c r="H413" t="s">
        <v>93</v>
      </c>
      <c r="I413" t="s">
        <v>94</v>
      </c>
      <c r="J413" t="s">
        <v>107</v>
      </c>
      <c r="K413" t="s">
        <v>55</v>
      </c>
      <c r="L413" t="s">
        <v>56</v>
      </c>
      <c r="M413" t="s">
        <v>57</v>
      </c>
      <c r="N413" t="s">
        <v>58</v>
      </c>
      <c r="O413" t="s">
        <v>59</v>
      </c>
      <c r="P413">
        <v>4</v>
      </c>
      <c r="Q413" t="b">
        <v>1</v>
      </c>
      <c r="R413" s="1">
        <v>44705.882638888892</v>
      </c>
      <c r="S413" s="1">
        <v>44706.150694444441</v>
      </c>
      <c r="T413" t="s">
        <v>109</v>
      </c>
      <c r="U413" t="b">
        <v>0</v>
      </c>
      <c r="V413" s="2">
        <v>44705.882638888892</v>
      </c>
      <c r="W413">
        <v>5</v>
      </c>
      <c r="X413">
        <v>2022</v>
      </c>
      <c r="Y413" t="s">
        <v>93</v>
      </c>
      <c r="Z413">
        <v>4</v>
      </c>
    </row>
    <row r="414" spans="1:26" x14ac:dyDescent="0.45">
      <c r="A414">
        <v>2434</v>
      </c>
      <c r="B414">
        <v>1081</v>
      </c>
      <c r="C414" t="s">
        <v>344</v>
      </c>
      <c r="D414" t="s">
        <v>22</v>
      </c>
      <c r="E414">
        <v>36</v>
      </c>
      <c r="F414">
        <v>686</v>
      </c>
      <c r="G414" t="s">
        <v>345</v>
      </c>
      <c r="H414" t="s">
        <v>73</v>
      </c>
      <c r="I414" t="s">
        <v>140</v>
      </c>
      <c r="J414" t="s">
        <v>141</v>
      </c>
      <c r="K414" t="s">
        <v>27</v>
      </c>
      <c r="L414" t="s">
        <v>76</v>
      </c>
      <c r="M414" t="s">
        <v>126</v>
      </c>
      <c r="N414" t="s">
        <v>98</v>
      </c>
      <c r="O414" t="s">
        <v>99</v>
      </c>
      <c r="P414">
        <v>5</v>
      </c>
      <c r="Q414" t="b">
        <v>1</v>
      </c>
      <c r="R414" s="1">
        <v>44244.211111111108</v>
      </c>
      <c r="S414" s="1">
        <v>44248.693055555559</v>
      </c>
      <c r="T414" t="s">
        <v>32</v>
      </c>
      <c r="U414" t="b">
        <v>0</v>
      </c>
      <c r="V414" s="2">
        <v>44244.211111111108</v>
      </c>
      <c r="W414">
        <v>2</v>
      </c>
      <c r="X414">
        <v>2021</v>
      </c>
      <c r="Y414" t="s">
        <v>73</v>
      </c>
      <c r="Z414">
        <v>5</v>
      </c>
    </row>
    <row r="415" spans="1:26" x14ac:dyDescent="0.45">
      <c r="A415">
        <v>2435</v>
      </c>
      <c r="B415">
        <v>1117</v>
      </c>
      <c r="C415" t="s">
        <v>243</v>
      </c>
      <c r="D415" t="s">
        <v>22</v>
      </c>
      <c r="E415">
        <v>53</v>
      </c>
      <c r="F415">
        <v>727</v>
      </c>
      <c r="G415" t="s">
        <v>244</v>
      </c>
      <c r="H415" t="s">
        <v>73</v>
      </c>
      <c r="I415" t="s">
        <v>74</v>
      </c>
      <c r="J415" t="s">
        <v>245</v>
      </c>
      <c r="K415" t="s">
        <v>66</v>
      </c>
      <c r="L415" t="s">
        <v>28</v>
      </c>
      <c r="M415" t="s">
        <v>38</v>
      </c>
      <c r="N415" t="s">
        <v>31</v>
      </c>
      <c r="O415" t="s">
        <v>39</v>
      </c>
      <c r="P415">
        <v>5</v>
      </c>
      <c r="Q415" t="b">
        <v>1</v>
      </c>
      <c r="R415" s="1">
        <v>44428.186111111114</v>
      </c>
      <c r="S415" s="1">
        <v>44430.405555555553</v>
      </c>
      <c r="T415" t="s">
        <v>60</v>
      </c>
      <c r="U415" t="b">
        <v>0</v>
      </c>
      <c r="V415" s="2">
        <v>44428.186111111114</v>
      </c>
      <c r="W415">
        <v>8</v>
      </c>
      <c r="X415">
        <v>2021</v>
      </c>
      <c r="Y415" t="s">
        <v>73</v>
      </c>
      <c r="Z415">
        <v>5</v>
      </c>
    </row>
    <row r="416" spans="1:26" x14ac:dyDescent="0.45">
      <c r="A416">
        <v>2436</v>
      </c>
      <c r="B416">
        <v>1354</v>
      </c>
      <c r="C416" t="s">
        <v>346</v>
      </c>
      <c r="D416" t="s">
        <v>42</v>
      </c>
      <c r="E416">
        <v>26</v>
      </c>
      <c r="F416">
        <v>646</v>
      </c>
      <c r="G416" t="s">
        <v>347</v>
      </c>
      <c r="H416" t="s">
        <v>129</v>
      </c>
      <c r="I416" t="s">
        <v>130</v>
      </c>
      <c r="J416" t="s">
        <v>131</v>
      </c>
      <c r="K416" t="s">
        <v>55</v>
      </c>
      <c r="L416" t="s">
        <v>56</v>
      </c>
      <c r="M416" t="s">
        <v>179</v>
      </c>
      <c r="N416" t="s">
        <v>79</v>
      </c>
      <c r="O416" t="s">
        <v>161</v>
      </c>
      <c r="P416">
        <v>2</v>
      </c>
      <c r="Q416" t="b">
        <v>1</v>
      </c>
      <c r="R416" s="1">
        <v>44144.704861111109</v>
      </c>
      <c r="S416" s="1">
        <v>44151.491666666669</v>
      </c>
      <c r="T416" t="s">
        <v>60</v>
      </c>
      <c r="U416" t="b">
        <v>0</v>
      </c>
      <c r="V416" s="2">
        <v>44144.704861111109</v>
      </c>
      <c r="W416">
        <v>11</v>
      </c>
      <c r="X416">
        <v>2020</v>
      </c>
      <c r="Y416" t="s">
        <v>129</v>
      </c>
      <c r="Z416">
        <v>2</v>
      </c>
    </row>
    <row r="417" spans="1:26" x14ac:dyDescent="0.45">
      <c r="A417">
        <v>2437</v>
      </c>
      <c r="B417">
        <v>1422</v>
      </c>
      <c r="C417" t="s">
        <v>348</v>
      </c>
      <c r="D417" t="s">
        <v>42</v>
      </c>
      <c r="E417">
        <v>40</v>
      </c>
      <c r="F417">
        <v>681</v>
      </c>
      <c r="G417" t="s">
        <v>349</v>
      </c>
      <c r="H417" t="s">
        <v>52</v>
      </c>
      <c r="I417" t="s">
        <v>150</v>
      </c>
      <c r="J417" t="s">
        <v>205</v>
      </c>
      <c r="K417" t="s">
        <v>37</v>
      </c>
      <c r="L417" t="s">
        <v>28</v>
      </c>
      <c r="M417" t="s">
        <v>29</v>
      </c>
      <c r="N417" t="s">
        <v>30</v>
      </c>
      <c r="O417" t="s">
        <v>31</v>
      </c>
      <c r="P417">
        <v>1</v>
      </c>
      <c r="Q417" t="b">
        <v>1</v>
      </c>
      <c r="R417" s="1">
        <v>44739.106944444444</v>
      </c>
      <c r="S417" s="1">
        <v>44745.78402777778</v>
      </c>
      <c r="T417" t="s">
        <v>109</v>
      </c>
      <c r="U417" t="b">
        <v>0</v>
      </c>
      <c r="V417" s="2">
        <v>44739.106944444444</v>
      </c>
      <c r="W417">
        <v>6</v>
      </c>
      <c r="X417">
        <v>2022</v>
      </c>
      <c r="Y417" t="s">
        <v>52</v>
      </c>
      <c r="Z417">
        <v>1</v>
      </c>
    </row>
    <row r="418" spans="1:26" x14ac:dyDescent="0.45">
      <c r="A418">
        <v>2438</v>
      </c>
      <c r="B418">
        <v>1405</v>
      </c>
      <c r="C418" t="s">
        <v>350</v>
      </c>
      <c r="D418" t="s">
        <v>22</v>
      </c>
      <c r="E418">
        <v>48</v>
      </c>
      <c r="F418">
        <v>709</v>
      </c>
      <c r="G418" t="s">
        <v>351</v>
      </c>
      <c r="H418" t="s">
        <v>63</v>
      </c>
      <c r="I418" t="s">
        <v>64</v>
      </c>
      <c r="J418" t="s">
        <v>164</v>
      </c>
      <c r="K418" t="s">
        <v>55</v>
      </c>
      <c r="L418" t="s">
        <v>56</v>
      </c>
      <c r="M418" t="s">
        <v>179</v>
      </c>
      <c r="N418" t="s">
        <v>79</v>
      </c>
      <c r="O418" t="s">
        <v>161</v>
      </c>
      <c r="P418">
        <v>1</v>
      </c>
      <c r="Q418" t="b">
        <v>0</v>
      </c>
      <c r="R418" s="1">
        <v>44973.34652777778</v>
      </c>
      <c r="V418" s="2">
        <v>44973.34652777778</v>
      </c>
      <c r="W418">
        <v>2</v>
      </c>
      <c r="X418">
        <v>2023</v>
      </c>
      <c r="Y418" t="s">
        <v>63</v>
      </c>
      <c r="Z418">
        <v>1</v>
      </c>
    </row>
    <row r="419" spans="1:26" x14ac:dyDescent="0.45">
      <c r="A419">
        <v>2439</v>
      </c>
      <c r="B419">
        <v>1271</v>
      </c>
      <c r="C419" t="s">
        <v>352</v>
      </c>
      <c r="D419" t="s">
        <v>42</v>
      </c>
      <c r="E419">
        <v>54</v>
      </c>
      <c r="F419">
        <v>715</v>
      </c>
      <c r="G419" t="s">
        <v>353</v>
      </c>
      <c r="H419" t="s">
        <v>73</v>
      </c>
      <c r="I419" t="s">
        <v>74</v>
      </c>
      <c r="J419" t="s">
        <v>157</v>
      </c>
      <c r="K419" t="s">
        <v>55</v>
      </c>
      <c r="L419" t="s">
        <v>96</v>
      </c>
      <c r="M419" t="s">
        <v>103</v>
      </c>
      <c r="N419" t="s">
        <v>31</v>
      </c>
      <c r="O419" t="s">
        <v>104</v>
      </c>
      <c r="P419">
        <v>1</v>
      </c>
      <c r="Q419" t="b">
        <v>1</v>
      </c>
      <c r="R419" s="1">
        <v>44202.395833333336</v>
      </c>
      <c r="S419" s="1">
        <v>44207.736805555556</v>
      </c>
      <c r="T419" t="s">
        <v>32</v>
      </c>
      <c r="U419" t="b">
        <v>0</v>
      </c>
      <c r="V419" s="2">
        <v>44202.395833333336</v>
      </c>
      <c r="W419">
        <v>1</v>
      </c>
      <c r="X419">
        <v>2021</v>
      </c>
      <c r="Y419" t="s">
        <v>73</v>
      </c>
      <c r="Z419">
        <v>1</v>
      </c>
    </row>
    <row r="420" spans="1:26" x14ac:dyDescent="0.45">
      <c r="A420">
        <v>2440</v>
      </c>
      <c r="B420">
        <v>1206</v>
      </c>
      <c r="C420" t="s">
        <v>354</v>
      </c>
      <c r="D420" t="s">
        <v>22</v>
      </c>
      <c r="E420">
        <v>18</v>
      </c>
      <c r="F420">
        <v>643</v>
      </c>
      <c r="G420" t="s">
        <v>355</v>
      </c>
      <c r="H420" t="s">
        <v>172</v>
      </c>
      <c r="I420" t="s">
        <v>177</v>
      </c>
      <c r="J420" t="s">
        <v>356</v>
      </c>
      <c r="K420" t="s">
        <v>27</v>
      </c>
      <c r="L420" t="s">
        <v>67</v>
      </c>
      <c r="M420" t="s">
        <v>233</v>
      </c>
      <c r="N420" t="s">
        <v>89</v>
      </c>
      <c r="O420" t="s">
        <v>90</v>
      </c>
      <c r="P420">
        <v>1</v>
      </c>
      <c r="Q420" t="b">
        <v>1</v>
      </c>
      <c r="R420" s="1">
        <v>45179.282638888886</v>
      </c>
      <c r="S420" s="1">
        <v>45181.945833333331</v>
      </c>
      <c r="T420" t="s">
        <v>40</v>
      </c>
      <c r="U420" t="b">
        <v>0</v>
      </c>
      <c r="V420" s="2">
        <v>45179.282638888886</v>
      </c>
      <c r="W420">
        <v>9</v>
      </c>
      <c r="X420">
        <v>2023</v>
      </c>
      <c r="Y420" t="s">
        <v>172</v>
      </c>
      <c r="Z420">
        <v>1</v>
      </c>
    </row>
    <row r="421" spans="1:26" x14ac:dyDescent="0.45">
      <c r="A421">
        <v>2441</v>
      </c>
      <c r="B421">
        <v>1242</v>
      </c>
      <c r="C421" t="s">
        <v>357</v>
      </c>
      <c r="D421" t="s">
        <v>22</v>
      </c>
      <c r="E421">
        <v>40</v>
      </c>
      <c r="F421">
        <v>697</v>
      </c>
      <c r="G421" t="s">
        <v>358</v>
      </c>
      <c r="H421" t="s">
        <v>85</v>
      </c>
      <c r="I421" t="s">
        <v>116</v>
      </c>
      <c r="J421" t="s">
        <v>117</v>
      </c>
      <c r="K421" t="s">
        <v>66</v>
      </c>
      <c r="L421" t="s">
        <v>96</v>
      </c>
      <c r="M421" t="s">
        <v>97</v>
      </c>
      <c r="N421" t="s">
        <v>98</v>
      </c>
      <c r="O421" t="s">
        <v>99</v>
      </c>
      <c r="P421">
        <v>1</v>
      </c>
      <c r="Q421" t="b">
        <v>1</v>
      </c>
      <c r="R421" s="1">
        <v>43920.071527777778</v>
      </c>
      <c r="S421" s="1">
        <v>43920.511111111111</v>
      </c>
      <c r="T421" t="s">
        <v>109</v>
      </c>
      <c r="U421" t="b">
        <v>1</v>
      </c>
      <c r="V421" s="2">
        <v>43920.071527777778</v>
      </c>
      <c r="W421">
        <v>3</v>
      </c>
      <c r="X421">
        <v>2020</v>
      </c>
      <c r="Y421" t="s">
        <v>85</v>
      </c>
      <c r="Z421">
        <v>1</v>
      </c>
    </row>
    <row r="422" spans="1:26" x14ac:dyDescent="0.45">
      <c r="A422">
        <v>2442</v>
      </c>
      <c r="B422">
        <v>1000</v>
      </c>
      <c r="C422" t="s">
        <v>83</v>
      </c>
      <c r="D422" t="s">
        <v>22</v>
      </c>
      <c r="E422">
        <v>74</v>
      </c>
      <c r="F422">
        <v>747</v>
      </c>
      <c r="G422" t="s">
        <v>84</v>
      </c>
      <c r="H422" t="s">
        <v>85</v>
      </c>
      <c r="I422" t="s">
        <v>86</v>
      </c>
      <c r="J422" t="s">
        <v>87</v>
      </c>
      <c r="K422" t="s">
        <v>27</v>
      </c>
      <c r="L422" t="s">
        <v>28</v>
      </c>
      <c r="M422" t="s">
        <v>142</v>
      </c>
      <c r="N422" t="s">
        <v>143</v>
      </c>
      <c r="O422" t="s">
        <v>144</v>
      </c>
      <c r="P422">
        <v>1</v>
      </c>
      <c r="Q422" t="b">
        <v>1</v>
      </c>
      <c r="R422" s="1">
        <v>43985.890972222223</v>
      </c>
      <c r="S422" s="1">
        <v>43987.432638888888</v>
      </c>
      <c r="T422" t="s">
        <v>60</v>
      </c>
      <c r="U422" t="b">
        <v>0</v>
      </c>
      <c r="V422" s="2">
        <v>43985.890972222223</v>
      </c>
      <c r="W422">
        <v>6</v>
      </c>
      <c r="X422">
        <v>2020</v>
      </c>
      <c r="Y422" t="s">
        <v>85</v>
      </c>
      <c r="Z422">
        <v>1</v>
      </c>
    </row>
    <row r="423" spans="1:26" x14ac:dyDescent="0.45">
      <c r="A423">
        <v>2443</v>
      </c>
      <c r="B423">
        <v>1124</v>
      </c>
      <c r="C423" t="s">
        <v>359</v>
      </c>
      <c r="D423" t="s">
        <v>42</v>
      </c>
      <c r="E423">
        <v>20</v>
      </c>
      <c r="F423">
        <v>644</v>
      </c>
      <c r="G423" t="s">
        <v>360</v>
      </c>
      <c r="H423" t="s">
        <v>63</v>
      </c>
      <c r="I423" t="s">
        <v>64</v>
      </c>
      <c r="J423" t="s">
        <v>164</v>
      </c>
      <c r="K423" t="s">
        <v>46</v>
      </c>
      <c r="L423" t="s">
        <v>28</v>
      </c>
      <c r="M423" t="s">
        <v>38</v>
      </c>
      <c r="N423" t="s">
        <v>31</v>
      </c>
      <c r="O423" t="s">
        <v>39</v>
      </c>
      <c r="P423">
        <v>3</v>
      </c>
      <c r="Q423" t="b">
        <v>1</v>
      </c>
      <c r="R423" s="1">
        <v>44644.338194444441</v>
      </c>
      <c r="S423" s="1">
        <v>44647.694444444445</v>
      </c>
      <c r="T423" t="s">
        <v>32</v>
      </c>
      <c r="U423" t="b">
        <v>0</v>
      </c>
      <c r="V423" s="2">
        <v>44644.338194444441</v>
      </c>
      <c r="W423">
        <v>3</v>
      </c>
      <c r="X423">
        <v>2022</v>
      </c>
      <c r="Y423" t="s">
        <v>63</v>
      </c>
      <c r="Z423">
        <v>3</v>
      </c>
    </row>
    <row r="424" spans="1:26" x14ac:dyDescent="0.45">
      <c r="A424">
        <v>2444</v>
      </c>
      <c r="B424">
        <v>1041</v>
      </c>
      <c r="C424" t="s">
        <v>361</v>
      </c>
      <c r="D424" t="s">
        <v>42</v>
      </c>
      <c r="E424">
        <v>17</v>
      </c>
      <c r="H424" t="s">
        <v>129</v>
      </c>
      <c r="I424" t="s">
        <v>263</v>
      </c>
      <c r="J424" t="s">
        <v>278</v>
      </c>
      <c r="K424" t="s">
        <v>66</v>
      </c>
      <c r="L424" t="s">
        <v>67</v>
      </c>
      <c r="M424" t="s">
        <v>108</v>
      </c>
      <c r="N424" t="s">
        <v>99</v>
      </c>
      <c r="O424" t="s">
        <v>30</v>
      </c>
      <c r="P424">
        <v>2</v>
      </c>
      <c r="Q424" t="b">
        <v>1</v>
      </c>
      <c r="R424" s="1">
        <v>43925.729861111111</v>
      </c>
      <c r="S424" s="1">
        <v>43929.040277777778</v>
      </c>
      <c r="T424" t="s">
        <v>32</v>
      </c>
      <c r="U424" t="b">
        <v>0</v>
      </c>
      <c r="V424" s="2">
        <v>43925.729861111111</v>
      </c>
      <c r="W424">
        <v>4</v>
      </c>
      <c r="X424">
        <v>2020</v>
      </c>
      <c r="Y424" t="s">
        <v>129</v>
      </c>
      <c r="Z424">
        <v>2</v>
      </c>
    </row>
    <row r="425" spans="1:26" x14ac:dyDescent="0.45">
      <c r="A425">
        <v>2445</v>
      </c>
      <c r="B425">
        <v>1060</v>
      </c>
      <c r="C425" t="s">
        <v>362</v>
      </c>
      <c r="D425" t="s">
        <v>42</v>
      </c>
      <c r="E425">
        <v>64</v>
      </c>
      <c r="F425">
        <v>742</v>
      </c>
      <c r="G425" t="s">
        <v>363</v>
      </c>
      <c r="H425" t="s">
        <v>93</v>
      </c>
      <c r="I425" t="s">
        <v>94</v>
      </c>
      <c r="J425" t="s">
        <v>364</v>
      </c>
      <c r="K425" t="s">
        <v>27</v>
      </c>
      <c r="L425" t="s">
        <v>56</v>
      </c>
      <c r="M425" t="s">
        <v>179</v>
      </c>
      <c r="N425" t="s">
        <v>79</v>
      </c>
      <c r="O425" t="s">
        <v>161</v>
      </c>
      <c r="P425">
        <v>4</v>
      </c>
      <c r="Q425" t="b">
        <v>1</v>
      </c>
      <c r="R425" s="1">
        <v>45278.57916666667</v>
      </c>
      <c r="S425" s="1">
        <v>45280.466666666667</v>
      </c>
      <c r="T425" t="s">
        <v>32</v>
      </c>
      <c r="U425" t="b">
        <v>1</v>
      </c>
      <c r="V425" s="2">
        <v>45278.57916666667</v>
      </c>
      <c r="W425">
        <v>12</v>
      </c>
      <c r="X425">
        <v>2023</v>
      </c>
      <c r="Y425" t="s">
        <v>93</v>
      </c>
      <c r="Z425">
        <v>4</v>
      </c>
    </row>
    <row r="426" spans="1:26" x14ac:dyDescent="0.45">
      <c r="A426">
        <v>2446</v>
      </c>
      <c r="B426">
        <v>1204</v>
      </c>
      <c r="C426" t="s">
        <v>365</v>
      </c>
      <c r="D426" t="s">
        <v>42</v>
      </c>
      <c r="E426">
        <v>15</v>
      </c>
      <c r="H426" t="s">
        <v>129</v>
      </c>
      <c r="I426" t="s">
        <v>130</v>
      </c>
      <c r="J426" t="s">
        <v>272</v>
      </c>
      <c r="K426" t="s">
        <v>102</v>
      </c>
      <c r="L426" t="s">
        <v>28</v>
      </c>
      <c r="M426" t="s">
        <v>38</v>
      </c>
      <c r="N426" t="s">
        <v>31</v>
      </c>
      <c r="O426" t="s">
        <v>39</v>
      </c>
      <c r="P426">
        <v>2</v>
      </c>
      <c r="Q426" t="b">
        <v>1</v>
      </c>
      <c r="R426" s="1">
        <v>44963.165972222225</v>
      </c>
      <c r="S426" s="1">
        <v>44963.894444444442</v>
      </c>
      <c r="T426" t="s">
        <v>40</v>
      </c>
      <c r="U426" t="b">
        <v>0</v>
      </c>
      <c r="V426" s="2">
        <v>44963.165972222225</v>
      </c>
      <c r="W426">
        <v>2</v>
      </c>
      <c r="X426">
        <v>2023</v>
      </c>
      <c r="Y426" t="s">
        <v>129</v>
      </c>
      <c r="Z426">
        <v>2</v>
      </c>
    </row>
    <row r="427" spans="1:26" x14ac:dyDescent="0.45">
      <c r="A427">
        <v>2447</v>
      </c>
      <c r="B427">
        <v>1351</v>
      </c>
      <c r="C427" t="s">
        <v>366</v>
      </c>
      <c r="D427" t="s">
        <v>42</v>
      </c>
      <c r="E427">
        <v>21</v>
      </c>
      <c r="F427">
        <v>603</v>
      </c>
      <c r="G427" t="s">
        <v>367</v>
      </c>
      <c r="H427" t="s">
        <v>35</v>
      </c>
      <c r="I427" t="s">
        <v>36</v>
      </c>
      <c r="J427" t="s">
        <v>82</v>
      </c>
      <c r="K427" t="s">
        <v>102</v>
      </c>
      <c r="L427" t="s">
        <v>56</v>
      </c>
      <c r="M427" t="s">
        <v>197</v>
      </c>
      <c r="N427" t="s">
        <v>198</v>
      </c>
      <c r="O427" t="s">
        <v>199</v>
      </c>
      <c r="P427">
        <v>1</v>
      </c>
      <c r="Q427" t="b">
        <v>0</v>
      </c>
      <c r="R427" s="1">
        <v>44145.67291666667</v>
      </c>
      <c r="V427" s="2">
        <v>44145.67291666667</v>
      </c>
      <c r="W427">
        <v>11</v>
      </c>
      <c r="X427">
        <v>2020</v>
      </c>
      <c r="Y427" t="s">
        <v>35</v>
      </c>
      <c r="Z427">
        <v>1</v>
      </c>
    </row>
    <row r="428" spans="1:26" x14ac:dyDescent="0.45">
      <c r="A428">
        <v>2448</v>
      </c>
      <c r="B428">
        <v>1003</v>
      </c>
      <c r="C428" t="s">
        <v>368</v>
      </c>
      <c r="D428" t="s">
        <v>42</v>
      </c>
      <c r="E428">
        <v>46</v>
      </c>
      <c r="F428">
        <v>708</v>
      </c>
      <c r="G428" t="s">
        <v>369</v>
      </c>
      <c r="H428" t="s">
        <v>35</v>
      </c>
      <c r="I428" t="s">
        <v>122</v>
      </c>
      <c r="J428" t="s">
        <v>123</v>
      </c>
      <c r="K428" t="s">
        <v>66</v>
      </c>
      <c r="L428" t="s">
        <v>56</v>
      </c>
      <c r="M428" t="s">
        <v>88</v>
      </c>
      <c r="N428" t="s">
        <v>89</v>
      </c>
      <c r="O428" t="s">
        <v>90</v>
      </c>
      <c r="P428">
        <v>4</v>
      </c>
      <c r="Q428" t="b">
        <v>1</v>
      </c>
      <c r="R428" s="1">
        <v>44317.800694444442</v>
      </c>
      <c r="S428" s="1">
        <v>44319.348611111112</v>
      </c>
      <c r="T428" t="s">
        <v>32</v>
      </c>
      <c r="U428" t="b">
        <v>0</v>
      </c>
      <c r="V428" s="2">
        <v>44317.800694444442</v>
      </c>
      <c r="W428">
        <v>5</v>
      </c>
      <c r="X428">
        <v>2021</v>
      </c>
      <c r="Y428" t="s">
        <v>35</v>
      </c>
      <c r="Z428">
        <v>4</v>
      </c>
    </row>
    <row r="429" spans="1:26" x14ac:dyDescent="0.45">
      <c r="A429">
        <v>2449</v>
      </c>
      <c r="B429">
        <v>1050</v>
      </c>
      <c r="C429" t="s">
        <v>370</v>
      </c>
      <c r="D429" t="s">
        <v>42</v>
      </c>
      <c r="E429">
        <v>56</v>
      </c>
      <c r="F429">
        <v>722</v>
      </c>
      <c r="G429" t="s">
        <v>371</v>
      </c>
      <c r="H429" t="s">
        <v>52</v>
      </c>
      <c r="I429" t="s">
        <v>150</v>
      </c>
      <c r="J429" t="s">
        <v>151</v>
      </c>
      <c r="K429" t="s">
        <v>27</v>
      </c>
      <c r="L429" t="s">
        <v>76</v>
      </c>
      <c r="M429" t="s">
        <v>126</v>
      </c>
      <c r="N429" t="s">
        <v>98</v>
      </c>
      <c r="O429" t="s">
        <v>99</v>
      </c>
      <c r="P429">
        <v>1</v>
      </c>
      <c r="Q429" t="b">
        <v>1</v>
      </c>
      <c r="R429" s="1">
        <v>44305.163194444445</v>
      </c>
      <c r="S429" s="1">
        <v>44305.580555555556</v>
      </c>
      <c r="T429" t="s">
        <v>32</v>
      </c>
      <c r="U429" t="b">
        <v>0</v>
      </c>
      <c r="V429" s="2">
        <v>44305.163194444445</v>
      </c>
      <c r="W429">
        <v>4</v>
      </c>
      <c r="X429">
        <v>2021</v>
      </c>
      <c r="Y429" t="s">
        <v>52</v>
      </c>
      <c r="Z429">
        <v>1</v>
      </c>
    </row>
    <row r="430" spans="1:26" x14ac:dyDescent="0.45">
      <c r="A430">
        <v>2450</v>
      </c>
      <c r="B430">
        <v>1017</v>
      </c>
      <c r="C430" t="s">
        <v>372</v>
      </c>
      <c r="D430" t="s">
        <v>42</v>
      </c>
      <c r="E430">
        <v>46</v>
      </c>
      <c r="F430">
        <v>715</v>
      </c>
      <c r="G430" t="s">
        <v>373</v>
      </c>
      <c r="H430" t="s">
        <v>35</v>
      </c>
      <c r="I430" t="s">
        <v>122</v>
      </c>
      <c r="J430" t="s">
        <v>135</v>
      </c>
      <c r="K430" t="s">
        <v>102</v>
      </c>
      <c r="L430" t="s">
        <v>56</v>
      </c>
      <c r="M430" t="s">
        <v>88</v>
      </c>
      <c r="N430" t="s">
        <v>89</v>
      </c>
      <c r="O430" t="s">
        <v>90</v>
      </c>
      <c r="P430">
        <v>3</v>
      </c>
      <c r="Q430" t="b">
        <v>1</v>
      </c>
      <c r="R430" s="1">
        <v>43889.708333333336</v>
      </c>
      <c r="S430" s="1">
        <v>43889.757638888892</v>
      </c>
      <c r="T430" t="s">
        <v>32</v>
      </c>
      <c r="U430" t="b">
        <v>0</v>
      </c>
      <c r="V430" s="2">
        <v>43889.708333333336</v>
      </c>
      <c r="W430">
        <v>2</v>
      </c>
      <c r="X430">
        <v>2020</v>
      </c>
      <c r="Y430" t="s">
        <v>35</v>
      </c>
      <c r="Z430">
        <v>3</v>
      </c>
    </row>
    <row r="431" spans="1:26" x14ac:dyDescent="0.45">
      <c r="A431">
        <v>2451</v>
      </c>
      <c r="B431">
        <v>1032</v>
      </c>
      <c r="C431" t="s">
        <v>374</v>
      </c>
      <c r="D431" t="s">
        <v>22</v>
      </c>
      <c r="E431">
        <v>34</v>
      </c>
      <c r="F431">
        <v>689</v>
      </c>
      <c r="G431" t="s">
        <v>375</v>
      </c>
      <c r="H431" t="s">
        <v>93</v>
      </c>
      <c r="I431" t="s">
        <v>94</v>
      </c>
      <c r="J431" t="s">
        <v>364</v>
      </c>
      <c r="K431" t="s">
        <v>46</v>
      </c>
      <c r="L431" t="s">
        <v>67</v>
      </c>
      <c r="M431" t="s">
        <v>108</v>
      </c>
      <c r="N431" t="s">
        <v>99</v>
      </c>
      <c r="O431" t="s">
        <v>30</v>
      </c>
      <c r="P431">
        <v>1</v>
      </c>
      <c r="Q431" t="b">
        <v>1</v>
      </c>
      <c r="R431" s="1">
        <v>44989.702777777777</v>
      </c>
      <c r="S431" s="1">
        <v>44996.580555555556</v>
      </c>
      <c r="T431" t="s">
        <v>40</v>
      </c>
      <c r="U431" t="b">
        <v>0</v>
      </c>
      <c r="V431" s="2">
        <v>44989.702777777777</v>
      </c>
      <c r="W431">
        <v>3</v>
      </c>
      <c r="X431">
        <v>2023</v>
      </c>
      <c r="Y431" t="s">
        <v>93</v>
      </c>
      <c r="Z431">
        <v>1</v>
      </c>
    </row>
    <row r="432" spans="1:26" x14ac:dyDescent="0.45">
      <c r="A432">
        <v>2452</v>
      </c>
      <c r="B432">
        <v>1153</v>
      </c>
      <c r="C432" t="s">
        <v>376</v>
      </c>
      <c r="D432" t="s">
        <v>22</v>
      </c>
      <c r="E432">
        <v>37</v>
      </c>
      <c r="F432">
        <v>695</v>
      </c>
      <c r="G432" t="s">
        <v>377</v>
      </c>
      <c r="H432" t="s">
        <v>93</v>
      </c>
      <c r="I432" t="s">
        <v>94</v>
      </c>
      <c r="J432" t="s">
        <v>95</v>
      </c>
      <c r="K432" t="s">
        <v>46</v>
      </c>
      <c r="L432" t="s">
        <v>96</v>
      </c>
      <c r="M432" t="s">
        <v>97</v>
      </c>
      <c r="N432" t="s">
        <v>98</v>
      </c>
      <c r="O432" t="s">
        <v>99</v>
      </c>
      <c r="P432">
        <v>2</v>
      </c>
      <c r="Q432" t="b">
        <v>1</v>
      </c>
      <c r="R432" s="1">
        <v>44150.20416666667</v>
      </c>
      <c r="S432" s="1">
        <v>44153.077777777777</v>
      </c>
      <c r="T432" t="s">
        <v>32</v>
      </c>
      <c r="U432" t="b">
        <v>0</v>
      </c>
      <c r="V432" s="2">
        <v>44150.20416666667</v>
      </c>
      <c r="W432">
        <v>11</v>
      </c>
      <c r="X432">
        <v>2020</v>
      </c>
      <c r="Y432" t="s">
        <v>93</v>
      </c>
      <c r="Z432">
        <v>2</v>
      </c>
    </row>
    <row r="433" spans="1:26" x14ac:dyDescent="0.45">
      <c r="A433">
        <v>2453</v>
      </c>
      <c r="B433">
        <v>1265</v>
      </c>
      <c r="C433" t="s">
        <v>378</v>
      </c>
      <c r="D433" t="s">
        <v>42</v>
      </c>
      <c r="E433">
        <v>31</v>
      </c>
      <c r="F433">
        <v>696</v>
      </c>
      <c r="G433" t="s">
        <v>379</v>
      </c>
      <c r="H433" t="s">
        <v>73</v>
      </c>
      <c r="I433" t="s">
        <v>74</v>
      </c>
      <c r="J433" t="s">
        <v>157</v>
      </c>
      <c r="K433" t="s">
        <v>27</v>
      </c>
      <c r="L433" t="s">
        <v>76</v>
      </c>
      <c r="M433" t="s">
        <v>77</v>
      </c>
      <c r="N433" t="s">
        <v>78</v>
      </c>
      <c r="O433" t="s">
        <v>79</v>
      </c>
      <c r="P433">
        <v>2</v>
      </c>
      <c r="Q433" t="b">
        <v>1</v>
      </c>
      <c r="R433" s="1">
        <v>44432.532638888886</v>
      </c>
      <c r="S433" s="1">
        <v>44434.661111111112</v>
      </c>
      <c r="T433" t="s">
        <v>60</v>
      </c>
      <c r="U433" t="b">
        <v>0</v>
      </c>
      <c r="V433" s="2">
        <v>44432.532638888886</v>
      </c>
      <c r="W433">
        <v>8</v>
      </c>
      <c r="X433">
        <v>2021</v>
      </c>
      <c r="Y433" t="s">
        <v>73</v>
      </c>
      <c r="Z433">
        <v>2</v>
      </c>
    </row>
    <row r="434" spans="1:26" x14ac:dyDescent="0.45">
      <c r="A434">
        <v>2454</v>
      </c>
      <c r="B434">
        <v>1402</v>
      </c>
      <c r="C434" t="s">
        <v>380</v>
      </c>
      <c r="D434" t="s">
        <v>22</v>
      </c>
      <c r="E434">
        <v>21</v>
      </c>
      <c r="F434">
        <v>661</v>
      </c>
      <c r="G434" t="s">
        <v>381</v>
      </c>
      <c r="H434" t="s">
        <v>172</v>
      </c>
      <c r="I434" t="s">
        <v>173</v>
      </c>
      <c r="J434" t="s">
        <v>174</v>
      </c>
      <c r="K434" t="s">
        <v>37</v>
      </c>
      <c r="L434" t="s">
        <v>28</v>
      </c>
      <c r="M434" t="s">
        <v>38</v>
      </c>
      <c r="N434" t="s">
        <v>31</v>
      </c>
      <c r="O434" t="s">
        <v>39</v>
      </c>
      <c r="P434">
        <v>1</v>
      </c>
      <c r="Q434" t="b">
        <v>1</v>
      </c>
      <c r="R434" s="1">
        <v>44163.51666666667</v>
      </c>
      <c r="S434" s="1">
        <v>44170.004861111112</v>
      </c>
      <c r="T434" t="s">
        <v>40</v>
      </c>
      <c r="U434" t="b">
        <v>0</v>
      </c>
      <c r="V434" s="2">
        <v>44163.51666666667</v>
      </c>
      <c r="W434">
        <v>11</v>
      </c>
      <c r="X434">
        <v>2020</v>
      </c>
      <c r="Y434" t="s">
        <v>172</v>
      </c>
      <c r="Z434">
        <v>1</v>
      </c>
    </row>
    <row r="435" spans="1:26" x14ac:dyDescent="0.45">
      <c r="A435">
        <v>2455</v>
      </c>
      <c r="B435">
        <v>1187</v>
      </c>
      <c r="C435" t="s">
        <v>382</v>
      </c>
      <c r="D435" t="s">
        <v>22</v>
      </c>
      <c r="E435">
        <v>70</v>
      </c>
      <c r="F435">
        <v>751</v>
      </c>
      <c r="G435" t="s">
        <v>383</v>
      </c>
      <c r="H435" t="s">
        <v>129</v>
      </c>
      <c r="I435" t="s">
        <v>130</v>
      </c>
      <c r="J435" t="s">
        <v>131</v>
      </c>
      <c r="K435" t="s">
        <v>66</v>
      </c>
      <c r="L435" t="s">
        <v>56</v>
      </c>
      <c r="M435" t="s">
        <v>179</v>
      </c>
      <c r="N435" t="s">
        <v>79</v>
      </c>
      <c r="O435" t="s">
        <v>161</v>
      </c>
      <c r="P435">
        <v>5</v>
      </c>
      <c r="Q435" t="b">
        <v>1</v>
      </c>
      <c r="R435" s="1">
        <v>44916.765277777777</v>
      </c>
      <c r="S435" s="1">
        <v>44921.941666666666</v>
      </c>
      <c r="T435" t="s">
        <v>109</v>
      </c>
      <c r="U435" t="b">
        <v>0</v>
      </c>
      <c r="V435" s="2">
        <v>44916.765277777777</v>
      </c>
      <c r="W435">
        <v>12</v>
      </c>
      <c r="X435">
        <v>2022</v>
      </c>
      <c r="Y435" t="s">
        <v>129</v>
      </c>
      <c r="Z435">
        <v>5</v>
      </c>
    </row>
    <row r="436" spans="1:26" x14ac:dyDescent="0.45">
      <c r="A436">
        <v>2456</v>
      </c>
      <c r="B436">
        <v>1133</v>
      </c>
      <c r="C436" t="s">
        <v>384</v>
      </c>
      <c r="D436" t="s">
        <v>22</v>
      </c>
      <c r="E436">
        <v>18</v>
      </c>
      <c r="F436">
        <v>633</v>
      </c>
      <c r="G436" t="s">
        <v>385</v>
      </c>
      <c r="H436" t="s">
        <v>52</v>
      </c>
      <c r="I436" t="s">
        <v>150</v>
      </c>
      <c r="J436" t="s">
        <v>151</v>
      </c>
      <c r="K436" t="s">
        <v>37</v>
      </c>
      <c r="L436" t="s">
        <v>28</v>
      </c>
      <c r="M436" t="s">
        <v>47</v>
      </c>
      <c r="N436" t="s">
        <v>48</v>
      </c>
      <c r="O436" t="s">
        <v>49</v>
      </c>
      <c r="P436">
        <v>5</v>
      </c>
      <c r="Q436" t="b">
        <v>1</v>
      </c>
      <c r="R436" s="1">
        <v>45115.55</v>
      </c>
      <c r="S436" s="1">
        <v>45116.866666666669</v>
      </c>
      <c r="T436" t="s">
        <v>40</v>
      </c>
      <c r="U436" t="b">
        <v>0</v>
      </c>
      <c r="V436" s="2">
        <v>45115.55</v>
      </c>
      <c r="W436">
        <v>7</v>
      </c>
      <c r="X436">
        <v>2023</v>
      </c>
      <c r="Y436" t="s">
        <v>52</v>
      </c>
      <c r="Z436">
        <v>5</v>
      </c>
    </row>
    <row r="437" spans="1:26" x14ac:dyDescent="0.45">
      <c r="A437">
        <v>2457</v>
      </c>
      <c r="B437">
        <v>1257</v>
      </c>
      <c r="C437" t="s">
        <v>386</v>
      </c>
      <c r="D437" t="s">
        <v>22</v>
      </c>
      <c r="E437">
        <v>27</v>
      </c>
      <c r="F437">
        <v>688</v>
      </c>
      <c r="G437" t="s">
        <v>387</v>
      </c>
      <c r="H437" t="s">
        <v>63</v>
      </c>
      <c r="I437" t="s">
        <v>300</v>
      </c>
      <c r="J437" t="s">
        <v>388</v>
      </c>
      <c r="K437" t="s">
        <v>66</v>
      </c>
      <c r="L437" t="s">
        <v>28</v>
      </c>
      <c r="M437" t="s">
        <v>142</v>
      </c>
      <c r="N437" t="s">
        <v>143</v>
      </c>
      <c r="O437" t="s">
        <v>144</v>
      </c>
      <c r="P437">
        <v>4</v>
      </c>
      <c r="Q437" t="b">
        <v>1</v>
      </c>
      <c r="R437" s="1">
        <v>44776.258333333331</v>
      </c>
      <c r="S437" s="1">
        <v>44781.006944444445</v>
      </c>
      <c r="T437" t="s">
        <v>109</v>
      </c>
      <c r="U437" t="b">
        <v>0</v>
      </c>
      <c r="V437" s="2">
        <v>44776.258333333331</v>
      </c>
      <c r="W437">
        <v>8</v>
      </c>
      <c r="X437">
        <v>2022</v>
      </c>
      <c r="Y437" t="s">
        <v>63</v>
      </c>
      <c r="Z437">
        <v>4</v>
      </c>
    </row>
    <row r="438" spans="1:26" x14ac:dyDescent="0.45">
      <c r="A438">
        <v>2458</v>
      </c>
      <c r="B438">
        <v>1065</v>
      </c>
      <c r="C438" t="s">
        <v>183</v>
      </c>
      <c r="D438" t="s">
        <v>42</v>
      </c>
      <c r="E438">
        <v>23</v>
      </c>
      <c r="F438">
        <v>639</v>
      </c>
      <c r="G438" t="s">
        <v>184</v>
      </c>
      <c r="H438" t="s">
        <v>24</v>
      </c>
      <c r="I438" t="s">
        <v>44</v>
      </c>
      <c r="J438" t="s">
        <v>45</v>
      </c>
      <c r="K438" t="s">
        <v>46</v>
      </c>
      <c r="L438" t="s">
        <v>76</v>
      </c>
      <c r="M438" t="s">
        <v>77</v>
      </c>
      <c r="N438" t="s">
        <v>78</v>
      </c>
      <c r="O438" t="s">
        <v>79</v>
      </c>
      <c r="P438">
        <v>3</v>
      </c>
      <c r="Q438" t="b">
        <v>0</v>
      </c>
      <c r="R438" s="1">
        <v>44640.665277777778</v>
      </c>
      <c r="V438" s="2">
        <v>44640.665277777778</v>
      </c>
      <c r="W438">
        <v>3</v>
      </c>
      <c r="X438">
        <v>2022</v>
      </c>
      <c r="Y438" t="s">
        <v>24</v>
      </c>
      <c r="Z438">
        <v>3</v>
      </c>
    </row>
    <row r="439" spans="1:26" x14ac:dyDescent="0.45">
      <c r="A439">
        <v>2459</v>
      </c>
      <c r="B439">
        <v>1130</v>
      </c>
      <c r="C439" t="s">
        <v>389</v>
      </c>
      <c r="D439" t="s">
        <v>22</v>
      </c>
      <c r="E439">
        <v>72</v>
      </c>
      <c r="F439">
        <v>757</v>
      </c>
      <c r="G439" t="s">
        <v>390</v>
      </c>
      <c r="H439" t="s">
        <v>93</v>
      </c>
      <c r="I439" t="s">
        <v>94</v>
      </c>
      <c r="J439" t="s">
        <v>364</v>
      </c>
      <c r="K439" t="s">
        <v>37</v>
      </c>
      <c r="L439" t="s">
        <v>56</v>
      </c>
      <c r="M439" t="s">
        <v>88</v>
      </c>
      <c r="N439" t="s">
        <v>89</v>
      </c>
      <c r="O439" t="s">
        <v>90</v>
      </c>
      <c r="P439">
        <v>2</v>
      </c>
      <c r="Q439" t="b">
        <v>1</v>
      </c>
      <c r="R439" s="1">
        <v>43999.225694444445</v>
      </c>
      <c r="S439" s="1">
        <v>44003.081944444442</v>
      </c>
      <c r="T439" t="s">
        <v>60</v>
      </c>
      <c r="U439" t="b">
        <v>1</v>
      </c>
      <c r="V439" s="2">
        <v>43999.225694444445</v>
      </c>
      <c r="W439">
        <v>6</v>
      </c>
      <c r="X439">
        <v>2020</v>
      </c>
      <c r="Y439" t="s">
        <v>93</v>
      </c>
      <c r="Z439">
        <v>2</v>
      </c>
    </row>
    <row r="440" spans="1:26" x14ac:dyDescent="0.45">
      <c r="A440">
        <v>2460</v>
      </c>
      <c r="B440">
        <v>1477</v>
      </c>
      <c r="C440" t="s">
        <v>391</v>
      </c>
      <c r="D440" t="s">
        <v>42</v>
      </c>
      <c r="E440">
        <v>45</v>
      </c>
      <c r="F440">
        <v>722</v>
      </c>
      <c r="G440" t="s">
        <v>392</v>
      </c>
      <c r="H440" t="s">
        <v>52</v>
      </c>
      <c r="I440" t="s">
        <v>53</v>
      </c>
      <c r="J440" t="s">
        <v>284</v>
      </c>
      <c r="K440" t="s">
        <v>66</v>
      </c>
      <c r="L440" t="s">
        <v>76</v>
      </c>
      <c r="M440" t="s">
        <v>132</v>
      </c>
      <c r="N440" t="s">
        <v>59</v>
      </c>
      <c r="O440" t="s">
        <v>98</v>
      </c>
      <c r="P440">
        <v>3</v>
      </c>
      <c r="Q440" t="b">
        <v>1</v>
      </c>
      <c r="R440" s="1">
        <v>45137.861111111109</v>
      </c>
      <c r="S440" s="1">
        <v>45138.238888888889</v>
      </c>
      <c r="T440" t="s">
        <v>109</v>
      </c>
      <c r="U440" t="b">
        <v>0</v>
      </c>
      <c r="V440" s="2">
        <v>45137.861111111109</v>
      </c>
      <c r="W440">
        <v>7</v>
      </c>
      <c r="X440">
        <v>2023</v>
      </c>
      <c r="Y440" t="s">
        <v>52</v>
      </c>
      <c r="Z440">
        <v>3</v>
      </c>
    </row>
    <row r="441" spans="1:26" x14ac:dyDescent="0.45">
      <c r="A441">
        <v>2461</v>
      </c>
      <c r="B441">
        <v>1258</v>
      </c>
      <c r="C441" t="s">
        <v>296</v>
      </c>
      <c r="D441" t="s">
        <v>22</v>
      </c>
      <c r="E441">
        <v>65</v>
      </c>
      <c r="F441">
        <v>751</v>
      </c>
      <c r="G441" t="s">
        <v>297</v>
      </c>
      <c r="H441" t="s">
        <v>93</v>
      </c>
      <c r="I441" t="s">
        <v>112</v>
      </c>
      <c r="J441" t="s">
        <v>242</v>
      </c>
      <c r="K441" t="s">
        <v>55</v>
      </c>
      <c r="L441" t="s">
        <v>76</v>
      </c>
      <c r="M441" t="s">
        <v>132</v>
      </c>
      <c r="N441" t="s">
        <v>59</v>
      </c>
      <c r="O441" t="s">
        <v>98</v>
      </c>
      <c r="P441">
        <v>1</v>
      </c>
      <c r="Q441" t="b">
        <v>1</v>
      </c>
      <c r="R441" s="1">
        <v>44951.7</v>
      </c>
      <c r="S441" s="1">
        <v>44952.920138888891</v>
      </c>
      <c r="T441" t="s">
        <v>109</v>
      </c>
      <c r="U441" t="b">
        <v>0</v>
      </c>
      <c r="V441" s="2">
        <v>44951.7</v>
      </c>
      <c r="W441">
        <v>1</v>
      </c>
      <c r="X441">
        <v>2023</v>
      </c>
      <c r="Y441" t="s">
        <v>93</v>
      </c>
      <c r="Z441">
        <v>1</v>
      </c>
    </row>
    <row r="442" spans="1:26" x14ac:dyDescent="0.45">
      <c r="A442">
        <v>2462</v>
      </c>
      <c r="B442">
        <v>1295</v>
      </c>
      <c r="C442" t="s">
        <v>393</v>
      </c>
      <c r="D442" t="s">
        <v>22</v>
      </c>
      <c r="E442">
        <v>70</v>
      </c>
      <c r="F442">
        <v>755</v>
      </c>
      <c r="G442" t="s">
        <v>394</v>
      </c>
      <c r="H442" t="s">
        <v>73</v>
      </c>
      <c r="I442" t="s">
        <v>140</v>
      </c>
      <c r="J442" t="s">
        <v>141</v>
      </c>
      <c r="K442" t="s">
        <v>27</v>
      </c>
      <c r="L442" t="s">
        <v>67</v>
      </c>
      <c r="M442" t="s">
        <v>108</v>
      </c>
      <c r="N442" t="s">
        <v>99</v>
      </c>
      <c r="O442" t="s">
        <v>30</v>
      </c>
      <c r="P442">
        <v>2</v>
      </c>
      <c r="Q442" t="b">
        <v>1</v>
      </c>
      <c r="R442" s="1">
        <v>44853.85833333333</v>
      </c>
      <c r="S442" s="1">
        <v>44860.504166666666</v>
      </c>
      <c r="T442" t="s">
        <v>32</v>
      </c>
      <c r="U442" t="b">
        <v>0</v>
      </c>
      <c r="V442" s="2">
        <v>44853.85833333333</v>
      </c>
      <c r="W442">
        <v>10</v>
      </c>
      <c r="X442">
        <v>2022</v>
      </c>
      <c r="Y442" t="s">
        <v>73</v>
      </c>
      <c r="Z442">
        <v>2</v>
      </c>
    </row>
    <row r="443" spans="1:26" x14ac:dyDescent="0.45">
      <c r="A443">
        <v>2463</v>
      </c>
      <c r="B443">
        <v>1084</v>
      </c>
      <c r="C443" t="s">
        <v>312</v>
      </c>
      <c r="D443" t="s">
        <v>22</v>
      </c>
      <c r="E443">
        <v>46</v>
      </c>
      <c r="F443">
        <v>727</v>
      </c>
      <c r="G443" t="s">
        <v>313</v>
      </c>
      <c r="H443" t="s">
        <v>52</v>
      </c>
      <c r="I443" t="s">
        <v>53</v>
      </c>
      <c r="J443" t="s">
        <v>284</v>
      </c>
      <c r="K443" t="s">
        <v>55</v>
      </c>
      <c r="L443" t="s">
        <v>67</v>
      </c>
      <c r="M443" t="s">
        <v>233</v>
      </c>
      <c r="N443" t="s">
        <v>89</v>
      </c>
      <c r="O443" t="s">
        <v>90</v>
      </c>
      <c r="P443">
        <v>3</v>
      </c>
      <c r="Q443" t="b">
        <v>1</v>
      </c>
      <c r="R443" s="1">
        <v>44837.49722222222</v>
      </c>
      <c r="S443" s="1">
        <v>44843.630555555559</v>
      </c>
      <c r="T443" t="s">
        <v>40</v>
      </c>
      <c r="U443" t="b">
        <v>0</v>
      </c>
      <c r="V443" s="2">
        <v>44837.49722222222</v>
      </c>
      <c r="W443">
        <v>10</v>
      </c>
      <c r="X443">
        <v>2022</v>
      </c>
      <c r="Y443" t="s">
        <v>52</v>
      </c>
      <c r="Z443">
        <v>3</v>
      </c>
    </row>
    <row r="444" spans="1:26" x14ac:dyDescent="0.45">
      <c r="A444">
        <v>2464</v>
      </c>
      <c r="B444">
        <v>1205</v>
      </c>
      <c r="C444" t="s">
        <v>395</v>
      </c>
      <c r="D444" t="s">
        <v>42</v>
      </c>
      <c r="E444">
        <v>27</v>
      </c>
      <c r="F444">
        <v>693</v>
      </c>
      <c r="G444" t="s">
        <v>396</v>
      </c>
      <c r="H444" t="s">
        <v>172</v>
      </c>
      <c r="I444" t="s">
        <v>177</v>
      </c>
      <c r="J444" t="s">
        <v>178</v>
      </c>
      <c r="K444" t="s">
        <v>102</v>
      </c>
      <c r="L444" t="s">
        <v>56</v>
      </c>
      <c r="M444" t="s">
        <v>179</v>
      </c>
      <c r="N444" t="s">
        <v>79</v>
      </c>
      <c r="O444" t="s">
        <v>161</v>
      </c>
      <c r="P444">
        <v>1</v>
      </c>
      <c r="Q444" t="b">
        <v>1</v>
      </c>
      <c r="R444" s="1">
        <v>44858.337500000001</v>
      </c>
      <c r="S444" s="1">
        <v>44860.643055555556</v>
      </c>
      <c r="T444" t="s">
        <v>109</v>
      </c>
      <c r="U444" t="b">
        <v>0</v>
      </c>
      <c r="V444" s="2">
        <v>44858.337500000001</v>
      </c>
      <c r="W444">
        <v>10</v>
      </c>
      <c r="X444">
        <v>2022</v>
      </c>
      <c r="Y444" t="s">
        <v>172</v>
      </c>
      <c r="Z444">
        <v>1</v>
      </c>
    </row>
    <row r="445" spans="1:26" x14ac:dyDescent="0.45">
      <c r="A445">
        <v>2465</v>
      </c>
      <c r="B445">
        <v>1216</v>
      </c>
      <c r="C445" t="s">
        <v>120</v>
      </c>
      <c r="D445" t="s">
        <v>22</v>
      </c>
      <c r="E445">
        <v>68</v>
      </c>
      <c r="F445">
        <v>747</v>
      </c>
      <c r="G445" t="s">
        <v>121</v>
      </c>
      <c r="H445" t="s">
        <v>35</v>
      </c>
      <c r="I445" t="s">
        <v>122</v>
      </c>
      <c r="J445" t="s">
        <v>123</v>
      </c>
      <c r="K445" t="s">
        <v>46</v>
      </c>
      <c r="L445" t="s">
        <v>28</v>
      </c>
      <c r="M445" t="s">
        <v>38</v>
      </c>
      <c r="N445" t="s">
        <v>31</v>
      </c>
      <c r="O445" t="s">
        <v>39</v>
      </c>
      <c r="P445">
        <v>3</v>
      </c>
      <c r="Q445" t="b">
        <v>1</v>
      </c>
      <c r="R445" s="1">
        <v>45224.296527777777</v>
      </c>
      <c r="S445" s="1">
        <v>45227.85</v>
      </c>
      <c r="T445" t="s">
        <v>40</v>
      </c>
      <c r="U445" t="b">
        <v>0</v>
      </c>
      <c r="V445" s="2">
        <v>45224.296527777777</v>
      </c>
      <c r="W445">
        <v>10</v>
      </c>
      <c r="X445">
        <v>2023</v>
      </c>
      <c r="Y445" t="s">
        <v>35</v>
      </c>
      <c r="Z445">
        <v>3</v>
      </c>
    </row>
    <row r="446" spans="1:26" x14ac:dyDescent="0.45">
      <c r="A446">
        <v>2466</v>
      </c>
      <c r="B446">
        <v>1166</v>
      </c>
      <c r="C446" t="s">
        <v>397</v>
      </c>
      <c r="D446" t="s">
        <v>22</v>
      </c>
      <c r="E446">
        <v>70</v>
      </c>
      <c r="F446">
        <v>754</v>
      </c>
      <c r="G446" t="s">
        <v>398</v>
      </c>
      <c r="H446" t="s">
        <v>172</v>
      </c>
      <c r="I446" t="s">
        <v>173</v>
      </c>
      <c r="J446" t="s">
        <v>399</v>
      </c>
      <c r="K446" t="s">
        <v>66</v>
      </c>
      <c r="L446" t="s">
        <v>28</v>
      </c>
      <c r="M446" t="s">
        <v>142</v>
      </c>
      <c r="N446" t="s">
        <v>143</v>
      </c>
      <c r="O446" t="s">
        <v>144</v>
      </c>
      <c r="P446">
        <v>5</v>
      </c>
      <c r="Q446" t="b">
        <v>1</v>
      </c>
      <c r="R446" s="1">
        <v>44455.070138888892</v>
      </c>
      <c r="S446" s="1">
        <v>44461.03125</v>
      </c>
      <c r="T446" t="s">
        <v>109</v>
      </c>
      <c r="U446" t="b">
        <v>0</v>
      </c>
      <c r="V446" s="2">
        <v>44455.070138888892</v>
      </c>
      <c r="W446">
        <v>9</v>
      </c>
      <c r="X446">
        <v>2021</v>
      </c>
      <c r="Y446" t="s">
        <v>172</v>
      </c>
      <c r="Z446">
        <v>5</v>
      </c>
    </row>
    <row r="447" spans="1:26" x14ac:dyDescent="0.45">
      <c r="A447">
        <v>2467</v>
      </c>
      <c r="B447">
        <v>1409</v>
      </c>
      <c r="C447" t="s">
        <v>400</v>
      </c>
      <c r="D447" t="s">
        <v>22</v>
      </c>
      <c r="E447">
        <v>59</v>
      </c>
      <c r="F447">
        <v>760</v>
      </c>
      <c r="G447" t="s">
        <v>401</v>
      </c>
      <c r="H447" t="s">
        <v>63</v>
      </c>
      <c r="I447" t="s">
        <v>64</v>
      </c>
      <c r="J447" t="s">
        <v>164</v>
      </c>
      <c r="K447" t="s">
        <v>66</v>
      </c>
      <c r="L447" t="s">
        <v>56</v>
      </c>
      <c r="M447" t="s">
        <v>179</v>
      </c>
      <c r="N447" t="s">
        <v>79</v>
      </c>
      <c r="O447" t="s">
        <v>161</v>
      </c>
      <c r="P447">
        <v>4</v>
      </c>
      <c r="Q447" t="b">
        <v>0</v>
      </c>
      <c r="R447" s="1">
        <v>45217.524305555555</v>
      </c>
      <c r="V447" s="2">
        <v>45217.524305555555</v>
      </c>
      <c r="W447">
        <v>10</v>
      </c>
      <c r="X447">
        <v>2023</v>
      </c>
      <c r="Y447" t="s">
        <v>63</v>
      </c>
      <c r="Z447">
        <v>4</v>
      </c>
    </row>
    <row r="448" spans="1:26" x14ac:dyDescent="0.45">
      <c r="A448">
        <v>2468</v>
      </c>
      <c r="B448">
        <v>1094</v>
      </c>
      <c r="C448" t="s">
        <v>238</v>
      </c>
      <c r="D448" t="s">
        <v>42</v>
      </c>
      <c r="E448">
        <v>36</v>
      </c>
      <c r="F448">
        <v>683</v>
      </c>
      <c r="G448" t="s">
        <v>239</v>
      </c>
      <c r="H448" t="s">
        <v>172</v>
      </c>
      <c r="I448" t="s">
        <v>177</v>
      </c>
      <c r="J448" t="s">
        <v>178</v>
      </c>
      <c r="K448" t="s">
        <v>37</v>
      </c>
      <c r="L448" t="s">
        <v>67</v>
      </c>
      <c r="M448" t="s">
        <v>233</v>
      </c>
      <c r="N448" t="s">
        <v>89</v>
      </c>
      <c r="O448" t="s">
        <v>90</v>
      </c>
      <c r="P448">
        <v>1</v>
      </c>
      <c r="Q448" t="b">
        <v>1</v>
      </c>
      <c r="R448" s="1">
        <v>43860.702777777777</v>
      </c>
      <c r="S448" s="1">
        <v>43862.654861111114</v>
      </c>
      <c r="T448" t="s">
        <v>40</v>
      </c>
      <c r="U448" t="b">
        <v>0</v>
      </c>
      <c r="V448" s="2">
        <v>43860.702777777777</v>
      </c>
      <c r="W448">
        <v>1</v>
      </c>
      <c r="X448">
        <v>2020</v>
      </c>
      <c r="Y448" t="s">
        <v>172</v>
      </c>
      <c r="Z448">
        <v>1</v>
      </c>
    </row>
    <row r="449" spans="1:26" x14ac:dyDescent="0.45">
      <c r="A449">
        <v>2469</v>
      </c>
      <c r="B449">
        <v>1266</v>
      </c>
      <c r="C449" t="s">
        <v>402</v>
      </c>
      <c r="D449" t="s">
        <v>42</v>
      </c>
      <c r="E449">
        <v>45</v>
      </c>
      <c r="F449">
        <v>715</v>
      </c>
      <c r="G449" t="s">
        <v>403</v>
      </c>
      <c r="H449" t="s">
        <v>52</v>
      </c>
      <c r="I449" t="s">
        <v>150</v>
      </c>
      <c r="J449" t="s">
        <v>306</v>
      </c>
      <c r="K449" t="s">
        <v>102</v>
      </c>
      <c r="L449" t="s">
        <v>76</v>
      </c>
      <c r="M449" t="s">
        <v>160</v>
      </c>
      <c r="N449" t="s">
        <v>79</v>
      </c>
      <c r="O449" t="s">
        <v>161</v>
      </c>
      <c r="P449">
        <v>5</v>
      </c>
      <c r="Q449" t="b">
        <v>1</v>
      </c>
      <c r="R449" s="1">
        <v>43945.84097222222</v>
      </c>
      <c r="S449" s="1">
        <v>43947.724305555559</v>
      </c>
      <c r="T449" t="s">
        <v>40</v>
      </c>
      <c r="U449" t="b">
        <v>0</v>
      </c>
      <c r="V449" s="2">
        <v>43945.84097222222</v>
      </c>
      <c r="W449">
        <v>4</v>
      </c>
      <c r="X449">
        <v>2020</v>
      </c>
      <c r="Y449" t="s">
        <v>52</v>
      </c>
      <c r="Z449">
        <v>5</v>
      </c>
    </row>
    <row r="450" spans="1:26" x14ac:dyDescent="0.45">
      <c r="A450">
        <v>2470</v>
      </c>
      <c r="B450">
        <v>1428</v>
      </c>
      <c r="C450" t="s">
        <v>226</v>
      </c>
      <c r="D450" t="s">
        <v>22</v>
      </c>
      <c r="E450">
        <v>66</v>
      </c>
      <c r="F450">
        <v>757</v>
      </c>
      <c r="G450" t="s">
        <v>227</v>
      </c>
      <c r="H450" t="s">
        <v>73</v>
      </c>
      <c r="I450" t="s">
        <v>140</v>
      </c>
      <c r="J450" t="s">
        <v>228</v>
      </c>
      <c r="K450" t="s">
        <v>66</v>
      </c>
      <c r="L450" t="s">
        <v>56</v>
      </c>
      <c r="M450" t="s">
        <v>88</v>
      </c>
      <c r="N450" t="s">
        <v>89</v>
      </c>
      <c r="O450" t="s">
        <v>90</v>
      </c>
      <c r="P450">
        <v>3</v>
      </c>
      <c r="Q450" t="b">
        <v>1</v>
      </c>
      <c r="R450" s="1">
        <v>45037.265972222223</v>
      </c>
      <c r="S450" s="1">
        <v>45044.008333333331</v>
      </c>
      <c r="T450" t="s">
        <v>60</v>
      </c>
      <c r="U450" t="b">
        <v>0</v>
      </c>
      <c r="V450" s="2">
        <v>45037.265972222223</v>
      </c>
      <c r="W450">
        <v>4</v>
      </c>
      <c r="X450">
        <v>2023</v>
      </c>
      <c r="Y450" t="s">
        <v>73</v>
      </c>
      <c r="Z450">
        <v>3</v>
      </c>
    </row>
    <row r="451" spans="1:26" x14ac:dyDescent="0.45">
      <c r="A451">
        <v>2471</v>
      </c>
      <c r="B451">
        <v>1453</v>
      </c>
      <c r="C451" t="s">
        <v>287</v>
      </c>
      <c r="D451" t="s">
        <v>22</v>
      </c>
      <c r="E451">
        <v>15</v>
      </c>
      <c r="H451" t="s">
        <v>52</v>
      </c>
      <c r="I451" t="s">
        <v>53</v>
      </c>
      <c r="J451" t="s">
        <v>54</v>
      </c>
      <c r="K451" t="s">
        <v>55</v>
      </c>
      <c r="L451" t="s">
        <v>67</v>
      </c>
      <c r="M451" t="s">
        <v>68</v>
      </c>
      <c r="N451" t="s">
        <v>69</v>
      </c>
      <c r="O451" t="s">
        <v>70</v>
      </c>
      <c r="P451">
        <v>3</v>
      </c>
      <c r="Q451" t="b">
        <v>1</v>
      </c>
      <c r="R451" s="1">
        <v>44782.349305555559</v>
      </c>
      <c r="S451" s="1">
        <v>44782.678472222222</v>
      </c>
      <c r="T451" t="s">
        <v>40</v>
      </c>
      <c r="U451" t="b">
        <v>0</v>
      </c>
      <c r="V451" s="2">
        <v>44782.349305555559</v>
      </c>
      <c r="W451">
        <v>8</v>
      </c>
      <c r="X451">
        <v>2022</v>
      </c>
      <c r="Y451" t="s">
        <v>52</v>
      </c>
      <c r="Z451">
        <v>3</v>
      </c>
    </row>
    <row r="452" spans="1:26" x14ac:dyDescent="0.45">
      <c r="A452">
        <v>2472</v>
      </c>
      <c r="B452">
        <v>1268</v>
      </c>
      <c r="C452" t="s">
        <v>404</v>
      </c>
      <c r="D452" t="s">
        <v>42</v>
      </c>
      <c r="E452">
        <v>69</v>
      </c>
      <c r="F452">
        <v>754</v>
      </c>
      <c r="G452" t="s">
        <v>405</v>
      </c>
      <c r="H452" t="s">
        <v>93</v>
      </c>
      <c r="I452" t="s">
        <v>112</v>
      </c>
      <c r="J452" t="s">
        <v>242</v>
      </c>
      <c r="K452" t="s">
        <v>37</v>
      </c>
      <c r="L452" t="s">
        <v>67</v>
      </c>
      <c r="M452" t="s">
        <v>68</v>
      </c>
      <c r="N452" t="s">
        <v>69</v>
      </c>
      <c r="O452" t="s">
        <v>70</v>
      </c>
      <c r="P452">
        <v>2</v>
      </c>
      <c r="Q452" t="b">
        <v>0</v>
      </c>
      <c r="R452" s="1">
        <v>44810.355555555558</v>
      </c>
      <c r="V452" s="2">
        <v>44810.355555555558</v>
      </c>
      <c r="W452">
        <v>9</v>
      </c>
      <c r="X452">
        <v>2022</v>
      </c>
      <c r="Y452" t="s">
        <v>93</v>
      </c>
      <c r="Z452">
        <v>2</v>
      </c>
    </row>
    <row r="453" spans="1:26" x14ac:dyDescent="0.45">
      <c r="A453">
        <v>2473</v>
      </c>
      <c r="B453">
        <v>1332</v>
      </c>
      <c r="C453" t="s">
        <v>406</v>
      </c>
      <c r="D453" t="s">
        <v>22</v>
      </c>
      <c r="E453">
        <v>33</v>
      </c>
      <c r="F453">
        <v>699</v>
      </c>
      <c r="G453" t="s">
        <v>407</v>
      </c>
      <c r="H453" t="s">
        <v>129</v>
      </c>
      <c r="I453" t="s">
        <v>130</v>
      </c>
      <c r="J453" t="s">
        <v>131</v>
      </c>
      <c r="K453" t="s">
        <v>46</v>
      </c>
      <c r="L453" t="s">
        <v>28</v>
      </c>
      <c r="M453" t="s">
        <v>38</v>
      </c>
      <c r="N453" t="s">
        <v>31</v>
      </c>
      <c r="O453" t="s">
        <v>39</v>
      </c>
      <c r="P453">
        <v>5</v>
      </c>
      <c r="Q453" t="b">
        <v>0</v>
      </c>
      <c r="R453" s="1">
        <v>43844.550694444442</v>
      </c>
      <c r="V453" s="2">
        <v>43844.550694444442</v>
      </c>
      <c r="W453">
        <v>1</v>
      </c>
      <c r="X453">
        <v>2020</v>
      </c>
      <c r="Y453" t="s">
        <v>129</v>
      </c>
      <c r="Z453">
        <v>5</v>
      </c>
    </row>
    <row r="454" spans="1:26" x14ac:dyDescent="0.45">
      <c r="A454">
        <v>2474</v>
      </c>
      <c r="B454">
        <v>1022</v>
      </c>
      <c r="C454" t="s">
        <v>408</v>
      </c>
      <c r="D454" t="s">
        <v>42</v>
      </c>
      <c r="E454">
        <v>61</v>
      </c>
      <c r="F454">
        <v>759</v>
      </c>
      <c r="G454" t="s">
        <v>409</v>
      </c>
      <c r="H454" t="s">
        <v>129</v>
      </c>
      <c r="I454" t="s">
        <v>263</v>
      </c>
      <c r="J454" t="s">
        <v>278</v>
      </c>
      <c r="K454" t="s">
        <v>46</v>
      </c>
      <c r="L454" t="s">
        <v>67</v>
      </c>
      <c r="M454" t="s">
        <v>108</v>
      </c>
      <c r="N454" t="s">
        <v>99</v>
      </c>
      <c r="O454" t="s">
        <v>30</v>
      </c>
      <c r="P454">
        <v>3</v>
      </c>
      <c r="Q454" t="b">
        <v>1</v>
      </c>
      <c r="R454" s="1">
        <v>44781.39166666667</v>
      </c>
      <c r="S454" s="1">
        <v>44782.569444444445</v>
      </c>
      <c r="T454" t="s">
        <v>40</v>
      </c>
      <c r="U454" t="b">
        <v>0</v>
      </c>
      <c r="V454" s="2">
        <v>44781.39166666667</v>
      </c>
      <c r="W454">
        <v>8</v>
      </c>
      <c r="X454">
        <v>2022</v>
      </c>
      <c r="Y454" t="s">
        <v>129</v>
      </c>
      <c r="Z454">
        <v>3</v>
      </c>
    </row>
    <row r="455" spans="1:26" x14ac:dyDescent="0.45">
      <c r="A455">
        <v>2476</v>
      </c>
      <c r="B455">
        <v>1472</v>
      </c>
      <c r="C455" t="s">
        <v>209</v>
      </c>
      <c r="D455" t="s">
        <v>42</v>
      </c>
      <c r="E455">
        <v>46</v>
      </c>
      <c r="F455">
        <v>733</v>
      </c>
      <c r="G455" t="s">
        <v>210</v>
      </c>
      <c r="H455" t="s">
        <v>63</v>
      </c>
      <c r="I455" t="s">
        <v>64</v>
      </c>
      <c r="J455" t="s">
        <v>164</v>
      </c>
      <c r="K455" t="s">
        <v>55</v>
      </c>
      <c r="L455" t="s">
        <v>76</v>
      </c>
      <c r="M455" t="s">
        <v>132</v>
      </c>
      <c r="N455" t="s">
        <v>59</v>
      </c>
      <c r="O455" t="s">
        <v>98</v>
      </c>
      <c r="P455">
        <v>5</v>
      </c>
      <c r="Q455" t="b">
        <v>1</v>
      </c>
      <c r="R455" s="1">
        <v>45200.554861111108</v>
      </c>
      <c r="S455" s="1">
        <v>45203.442361111112</v>
      </c>
      <c r="T455" t="s">
        <v>60</v>
      </c>
      <c r="U455" t="b">
        <v>0</v>
      </c>
      <c r="V455" s="2">
        <v>45200.554861111108</v>
      </c>
      <c r="W455">
        <v>10</v>
      </c>
      <c r="X455">
        <v>2023</v>
      </c>
      <c r="Y455" t="s">
        <v>63</v>
      </c>
      <c r="Z455">
        <v>5</v>
      </c>
    </row>
    <row r="456" spans="1:26" x14ac:dyDescent="0.45">
      <c r="A456">
        <v>2477</v>
      </c>
      <c r="B456">
        <v>1434</v>
      </c>
      <c r="C456" t="s">
        <v>410</v>
      </c>
      <c r="D456" t="s">
        <v>22</v>
      </c>
      <c r="E456">
        <v>75</v>
      </c>
      <c r="F456">
        <v>754</v>
      </c>
      <c r="G456" t="s">
        <v>411</v>
      </c>
      <c r="H456" t="s">
        <v>93</v>
      </c>
      <c r="I456" t="s">
        <v>112</v>
      </c>
      <c r="J456" t="s">
        <v>113</v>
      </c>
      <c r="K456" t="s">
        <v>66</v>
      </c>
      <c r="L456" t="s">
        <v>56</v>
      </c>
      <c r="M456" t="s">
        <v>88</v>
      </c>
      <c r="N456" t="s">
        <v>89</v>
      </c>
      <c r="O456" t="s">
        <v>90</v>
      </c>
      <c r="P456">
        <v>4</v>
      </c>
      <c r="Q456" t="b">
        <v>1</v>
      </c>
      <c r="R456" s="1">
        <v>44931.380555555559</v>
      </c>
      <c r="S456" s="1">
        <v>44937.182638888888</v>
      </c>
      <c r="T456" t="s">
        <v>60</v>
      </c>
      <c r="U456" t="b">
        <v>0</v>
      </c>
      <c r="V456" s="2">
        <v>44931.380555555559</v>
      </c>
      <c r="W456">
        <v>1</v>
      </c>
      <c r="X456">
        <v>2023</v>
      </c>
      <c r="Y456" t="s">
        <v>93</v>
      </c>
      <c r="Z456">
        <v>4</v>
      </c>
    </row>
    <row r="457" spans="1:26" x14ac:dyDescent="0.45">
      <c r="A457">
        <v>2478</v>
      </c>
      <c r="B457">
        <v>1038</v>
      </c>
      <c r="C457" t="s">
        <v>412</v>
      </c>
      <c r="D457" t="s">
        <v>22</v>
      </c>
      <c r="E457">
        <v>63</v>
      </c>
      <c r="F457">
        <v>745</v>
      </c>
      <c r="G457" t="s">
        <v>413</v>
      </c>
      <c r="H457" t="s">
        <v>73</v>
      </c>
      <c r="I457" t="s">
        <v>74</v>
      </c>
      <c r="J457" t="s">
        <v>157</v>
      </c>
      <c r="K457" t="s">
        <v>27</v>
      </c>
      <c r="L457" t="s">
        <v>67</v>
      </c>
      <c r="M457" t="s">
        <v>165</v>
      </c>
      <c r="N457" t="s">
        <v>166</v>
      </c>
      <c r="O457" t="s">
        <v>167</v>
      </c>
      <c r="P457">
        <v>2</v>
      </c>
      <c r="Q457" t="b">
        <v>1</v>
      </c>
      <c r="R457" s="1">
        <v>44715.506249999999</v>
      </c>
      <c r="S457" s="1">
        <v>44716.243055555555</v>
      </c>
      <c r="T457" t="s">
        <v>109</v>
      </c>
      <c r="U457" t="b">
        <v>0</v>
      </c>
      <c r="V457" s="2">
        <v>44715.506249999999</v>
      </c>
      <c r="W457">
        <v>6</v>
      </c>
      <c r="X457">
        <v>2022</v>
      </c>
      <c r="Y457" t="s">
        <v>73</v>
      </c>
      <c r="Z457">
        <v>2</v>
      </c>
    </row>
    <row r="458" spans="1:26" x14ac:dyDescent="0.45">
      <c r="A458">
        <v>2479</v>
      </c>
      <c r="B458">
        <v>1121</v>
      </c>
      <c r="C458" t="s">
        <v>414</v>
      </c>
      <c r="D458" t="s">
        <v>42</v>
      </c>
      <c r="E458">
        <v>34</v>
      </c>
      <c r="F458">
        <v>698</v>
      </c>
      <c r="G458" t="s">
        <v>415</v>
      </c>
      <c r="H458" t="s">
        <v>93</v>
      </c>
      <c r="I458" t="s">
        <v>112</v>
      </c>
      <c r="J458" t="s">
        <v>242</v>
      </c>
      <c r="K458" t="s">
        <v>46</v>
      </c>
      <c r="L458" t="s">
        <v>56</v>
      </c>
      <c r="M458" t="s">
        <v>57</v>
      </c>
      <c r="N458" t="s">
        <v>58</v>
      </c>
      <c r="O458" t="s">
        <v>59</v>
      </c>
      <c r="P458">
        <v>2</v>
      </c>
      <c r="Q458" t="b">
        <v>1</v>
      </c>
      <c r="R458" s="1">
        <v>44269.774305555555</v>
      </c>
      <c r="S458" s="1">
        <v>44276.134722222225</v>
      </c>
      <c r="T458" t="s">
        <v>32</v>
      </c>
      <c r="U458" t="b">
        <v>0</v>
      </c>
      <c r="V458" s="2">
        <v>44269.774305555555</v>
      </c>
      <c r="W458">
        <v>3</v>
      </c>
      <c r="X458">
        <v>2021</v>
      </c>
      <c r="Y458" t="s">
        <v>93</v>
      </c>
      <c r="Z458">
        <v>2</v>
      </c>
    </row>
    <row r="459" spans="1:26" x14ac:dyDescent="0.45">
      <c r="A459">
        <v>2480</v>
      </c>
      <c r="B459">
        <v>1464</v>
      </c>
      <c r="C459" t="s">
        <v>416</v>
      </c>
      <c r="D459" t="s">
        <v>42</v>
      </c>
      <c r="E459">
        <v>46</v>
      </c>
      <c r="F459">
        <v>713</v>
      </c>
      <c r="G459" t="s">
        <v>417</v>
      </c>
      <c r="H459" t="s">
        <v>24</v>
      </c>
      <c r="I459" t="s">
        <v>25</v>
      </c>
      <c r="J459" t="s">
        <v>26</v>
      </c>
      <c r="K459" t="s">
        <v>66</v>
      </c>
      <c r="L459" t="s">
        <v>28</v>
      </c>
      <c r="M459" t="s">
        <v>29</v>
      </c>
      <c r="N459" t="s">
        <v>30</v>
      </c>
      <c r="O459" t="s">
        <v>31</v>
      </c>
      <c r="P459">
        <v>4</v>
      </c>
      <c r="Q459" t="b">
        <v>1</v>
      </c>
      <c r="R459" s="1">
        <v>44429.247916666667</v>
      </c>
      <c r="S459" s="1">
        <v>44430.620833333334</v>
      </c>
      <c r="T459" t="s">
        <v>60</v>
      </c>
      <c r="U459" t="b">
        <v>0</v>
      </c>
      <c r="V459" s="2">
        <v>44429.247916666667</v>
      </c>
      <c r="W459">
        <v>8</v>
      </c>
      <c r="X459">
        <v>2021</v>
      </c>
      <c r="Y459" t="s">
        <v>24</v>
      </c>
      <c r="Z459">
        <v>4</v>
      </c>
    </row>
    <row r="460" spans="1:26" x14ac:dyDescent="0.45">
      <c r="A460">
        <v>2481</v>
      </c>
      <c r="B460">
        <v>1085</v>
      </c>
      <c r="C460" t="s">
        <v>418</v>
      </c>
      <c r="D460" t="s">
        <v>22</v>
      </c>
      <c r="E460">
        <v>45</v>
      </c>
      <c r="F460">
        <v>726</v>
      </c>
      <c r="G460" t="s">
        <v>419</v>
      </c>
      <c r="H460" t="s">
        <v>35</v>
      </c>
      <c r="I460" t="s">
        <v>36</v>
      </c>
      <c r="J460" t="s">
        <v>36</v>
      </c>
      <c r="K460" t="s">
        <v>66</v>
      </c>
      <c r="L460" t="s">
        <v>96</v>
      </c>
      <c r="M460" t="s">
        <v>103</v>
      </c>
      <c r="N460" t="s">
        <v>31</v>
      </c>
      <c r="O460" t="s">
        <v>104</v>
      </c>
      <c r="P460">
        <v>3</v>
      </c>
      <c r="Q460" t="b">
        <v>0</v>
      </c>
      <c r="R460" s="1">
        <v>44067.42291666667</v>
      </c>
      <c r="V460" s="2">
        <v>44067.42291666667</v>
      </c>
      <c r="W460">
        <v>8</v>
      </c>
      <c r="X460">
        <v>2020</v>
      </c>
      <c r="Y460" t="s">
        <v>35</v>
      </c>
      <c r="Z460">
        <v>3</v>
      </c>
    </row>
    <row r="461" spans="1:26" x14ac:dyDescent="0.45">
      <c r="A461">
        <v>2482</v>
      </c>
      <c r="B461">
        <v>1115</v>
      </c>
      <c r="C461" t="s">
        <v>420</v>
      </c>
      <c r="D461" t="s">
        <v>42</v>
      </c>
      <c r="E461">
        <v>14</v>
      </c>
      <c r="H461" t="s">
        <v>35</v>
      </c>
      <c r="I461" t="s">
        <v>122</v>
      </c>
      <c r="J461" t="s">
        <v>82</v>
      </c>
      <c r="K461" t="s">
        <v>102</v>
      </c>
      <c r="L461" t="s">
        <v>56</v>
      </c>
      <c r="M461" t="s">
        <v>57</v>
      </c>
      <c r="N461" t="s">
        <v>58</v>
      </c>
      <c r="O461" t="s">
        <v>59</v>
      </c>
      <c r="P461">
        <v>4</v>
      </c>
      <c r="Q461" t="b">
        <v>1</v>
      </c>
      <c r="R461" s="1">
        <v>44422.972222222219</v>
      </c>
      <c r="S461" s="1">
        <v>44424.223611111112</v>
      </c>
      <c r="T461" t="s">
        <v>32</v>
      </c>
      <c r="U461" t="b">
        <v>0</v>
      </c>
      <c r="V461" s="2">
        <v>44422.972222222219</v>
      </c>
      <c r="W461">
        <v>8</v>
      </c>
      <c r="X461">
        <v>2021</v>
      </c>
      <c r="Y461" t="s">
        <v>35</v>
      </c>
      <c r="Z461">
        <v>4</v>
      </c>
    </row>
    <row r="462" spans="1:26" x14ac:dyDescent="0.45">
      <c r="A462">
        <v>2483</v>
      </c>
      <c r="B462">
        <v>1308</v>
      </c>
      <c r="C462" t="s">
        <v>421</v>
      </c>
      <c r="D462" t="s">
        <v>42</v>
      </c>
      <c r="E462">
        <v>58</v>
      </c>
      <c r="F462">
        <v>747</v>
      </c>
      <c r="G462" t="s">
        <v>422</v>
      </c>
      <c r="H462" t="s">
        <v>172</v>
      </c>
      <c r="I462" t="s">
        <v>173</v>
      </c>
      <c r="J462" t="s">
        <v>423</v>
      </c>
      <c r="K462" t="s">
        <v>102</v>
      </c>
      <c r="L462" t="s">
        <v>67</v>
      </c>
      <c r="M462" t="s">
        <v>68</v>
      </c>
      <c r="N462" t="s">
        <v>69</v>
      </c>
      <c r="O462" t="s">
        <v>70</v>
      </c>
      <c r="P462">
        <v>4</v>
      </c>
      <c r="Q462" t="b">
        <v>1</v>
      </c>
      <c r="R462" s="1">
        <v>44591.549305555556</v>
      </c>
      <c r="S462" s="1">
        <v>44596.070138888892</v>
      </c>
      <c r="T462" t="s">
        <v>32</v>
      </c>
      <c r="U462" t="b">
        <v>0</v>
      </c>
      <c r="V462" s="2">
        <v>44591.549305555556</v>
      </c>
      <c r="W462">
        <v>1</v>
      </c>
      <c r="X462">
        <v>2022</v>
      </c>
      <c r="Y462" t="s">
        <v>172</v>
      </c>
      <c r="Z462">
        <v>4</v>
      </c>
    </row>
    <row r="463" spans="1:26" x14ac:dyDescent="0.45">
      <c r="A463">
        <v>2484</v>
      </c>
      <c r="B463">
        <v>1424</v>
      </c>
      <c r="C463" t="s">
        <v>216</v>
      </c>
      <c r="D463" t="s">
        <v>42</v>
      </c>
      <c r="E463">
        <v>31</v>
      </c>
      <c r="F463">
        <v>689</v>
      </c>
      <c r="G463" t="s">
        <v>217</v>
      </c>
      <c r="H463" t="s">
        <v>85</v>
      </c>
      <c r="I463" t="s">
        <v>86</v>
      </c>
      <c r="J463" t="s">
        <v>182</v>
      </c>
      <c r="K463" t="s">
        <v>55</v>
      </c>
      <c r="L463" t="s">
        <v>76</v>
      </c>
      <c r="M463" t="s">
        <v>126</v>
      </c>
      <c r="N463" t="s">
        <v>98</v>
      </c>
      <c r="O463" t="s">
        <v>99</v>
      </c>
      <c r="P463">
        <v>4</v>
      </c>
      <c r="Q463" t="b">
        <v>0</v>
      </c>
      <c r="R463" s="1">
        <v>43936.523611111108</v>
      </c>
      <c r="V463" s="2">
        <v>43936.523611111108</v>
      </c>
      <c r="W463">
        <v>4</v>
      </c>
      <c r="X463">
        <v>2020</v>
      </c>
      <c r="Y463" t="s">
        <v>85</v>
      </c>
      <c r="Z463">
        <v>4</v>
      </c>
    </row>
    <row r="464" spans="1:26" x14ac:dyDescent="0.45">
      <c r="A464">
        <v>2485</v>
      </c>
      <c r="B464">
        <v>1473</v>
      </c>
      <c r="C464" t="s">
        <v>424</v>
      </c>
      <c r="D464" t="s">
        <v>22</v>
      </c>
      <c r="E464">
        <v>69</v>
      </c>
      <c r="F464">
        <v>759</v>
      </c>
      <c r="G464" t="s">
        <v>425</v>
      </c>
      <c r="H464" t="s">
        <v>35</v>
      </c>
      <c r="I464" t="s">
        <v>122</v>
      </c>
      <c r="J464" t="s">
        <v>82</v>
      </c>
      <c r="K464" t="s">
        <v>55</v>
      </c>
      <c r="L464" t="s">
        <v>76</v>
      </c>
      <c r="M464" t="s">
        <v>126</v>
      </c>
      <c r="N464" t="s">
        <v>98</v>
      </c>
      <c r="O464" t="s">
        <v>99</v>
      </c>
      <c r="P464">
        <v>2</v>
      </c>
      <c r="Q464" t="b">
        <v>1</v>
      </c>
      <c r="R464" s="1">
        <v>45181.558333333334</v>
      </c>
      <c r="S464" s="1">
        <v>45186.284722222219</v>
      </c>
      <c r="T464" t="s">
        <v>40</v>
      </c>
      <c r="U464" t="b">
        <v>0</v>
      </c>
      <c r="V464" s="2">
        <v>45181.558333333334</v>
      </c>
      <c r="W464">
        <v>9</v>
      </c>
      <c r="X464">
        <v>2023</v>
      </c>
      <c r="Y464" t="s">
        <v>35</v>
      </c>
      <c r="Z464">
        <v>2</v>
      </c>
    </row>
    <row r="465" spans="1:26" x14ac:dyDescent="0.45">
      <c r="A465">
        <v>2486</v>
      </c>
      <c r="B465">
        <v>1305</v>
      </c>
      <c r="C465" t="s">
        <v>426</v>
      </c>
      <c r="D465" t="s">
        <v>22</v>
      </c>
      <c r="E465">
        <v>34</v>
      </c>
      <c r="F465">
        <v>694</v>
      </c>
      <c r="G465" t="s">
        <v>427</v>
      </c>
      <c r="H465" t="s">
        <v>73</v>
      </c>
      <c r="I465" t="s">
        <v>140</v>
      </c>
      <c r="J465" t="s">
        <v>213</v>
      </c>
      <c r="K465" t="s">
        <v>46</v>
      </c>
      <c r="L465" t="s">
        <v>76</v>
      </c>
      <c r="M465" t="s">
        <v>160</v>
      </c>
      <c r="N465" t="s">
        <v>79</v>
      </c>
      <c r="O465" t="s">
        <v>161</v>
      </c>
      <c r="P465">
        <v>5</v>
      </c>
      <c r="Q465" t="b">
        <v>1</v>
      </c>
      <c r="R465" s="1">
        <v>44665.147222222222</v>
      </c>
      <c r="S465" s="1">
        <v>44666.126388888886</v>
      </c>
      <c r="T465" t="s">
        <v>32</v>
      </c>
      <c r="U465" t="b">
        <v>1</v>
      </c>
      <c r="V465" s="2">
        <v>44665.147222222222</v>
      </c>
      <c r="W465">
        <v>4</v>
      </c>
      <c r="X465">
        <v>2022</v>
      </c>
      <c r="Y465" t="s">
        <v>73</v>
      </c>
      <c r="Z465">
        <v>5</v>
      </c>
    </row>
    <row r="466" spans="1:26" x14ac:dyDescent="0.45">
      <c r="A466">
        <v>2487</v>
      </c>
      <c r="B466">
        <v>1391</v>
      </c>
      <c r="C466" t="s">
        <v>428</v>
      </c>
      <c r="D466" t="s">
        <v>42</v>
      </c>
      <c r="E466">
        <v>77</v>
      </c>
      <c r="F466">
        <v>760</v>
      </c>
      <c r="G466" t="s">
        <v>429</v>
      </c>
      <c r="H466" t="s">
        <v>172</v>
      </c>
      <c r="I466" t="s">
        <v>173</v>
      </c>
      <c r="J466" t="s">
        <v>174</v>
      </c>
      <c r="K466" t="s">
        <v>102</v>
      </c>
      <c r="L466" t="s">
        <v>96</v>
      </c>
      <c r="M466" t="s">
        <v>118</v>
      </c>
      <c r="N466" t="s">
        <v>90</v>
      </c>
      <c r="O466" t="s">
        <v>119</v>
      </c>
      <c r="P466">
        <v>1</v>
      </c>
      <c r="Q466" t="b">
        <v>1</v>
      </c>
      <c r="R466" s="1">
        <v>44530.274305555555</v>
      </c>
      <c r="S466" s="1">
        <v>44535.909722222219</v>
      </c>
      <c r="T466" t="s">
        <v>32</v>
      </c>
      <c r="U466" t="b">
        <v>0</v>
      </c>
      <c r="V466" s="2">
        <v>44530.274305555555</v>
      </c>
      <c r="W466">
        <v>11</v>
      </c>
      <c r="X466">
        <v>2021</v>
      </c>
      <c r="Y466" t="s">
        <v>172</v>
      </c>
      <c r="Z466">
        <v>1</v>
      </c>
    </row>
    <row r="467" spans="1:26" x14ac:dyDescent="0.45">
      <c r="A467">
        <v>2488</v>
      </c>
      <c r="B467">
        <v>1322</v>
      </c>
      <c r="C467" t="s">
        <v>430</v>
      </c>
      <c r="D467" t="s">
        <v>22</v>
      </c>
      <c r="E467">
        <v>49</v>
      </c>
      <c r="F467">
        <v>730</v>
      </c>
      <c r="G467" t="s">
        <v>431</v>
      </c>
      <c r="H467" t="s">
        <v>85</v>
      </c>
      <c r="I467" t="s">
        <v>86</v>
      </c>
      <c r="J467" t="s">
        <v>182</v>
      </c>
      <c r="K467" t="s">
        <v>55</v>
      </c>
      <c r="L467" t="s">
        <v>56</v>
      </c>
      <c r="M467" t="s">
        <v>57</v>
      </c>
      <c r="N467" t="s">
        <v>58</v>
      </c>
      <c r="O467" t="s">
        <v>59</v>
      </c>
      <c r="P467">
        <v>2</v>
      </c>
      <c r="Q467" t="b">
        <v>1</v>
      </c>
      <c r="R467" s="1">
        <v>44365.029861111114</v>
      </c>
      <c r="S467" s="1">
        <v>44368.272222222222</v>
      </c>
      <c r="T467" t="s">
        <v>60</v>
      </c>
      <c r="U467" t="b">
        <v>0</v>
      </c>
      <c r="V467" s="2">
        <v>44365.029861111114</v>
      </c>
      <c r="W467">
        <v>6</v>
      </c>
      <c r="X467">
        <v>2021</v>
      </c>
      <c r="Y467" t="s">
        <v>85</v>
      </c>
      <c r="Z467">
        <v>2</v>
      </c>
    </row>
    <row r="468" spans="1:26" x14ac:dyDescent="0.45">
      <c r="A468">
        <v>2489</v>
      </c>
      <c r="B468">
        <v>1029</v>
      </c>
      <c r="C468" t="s">
        <v>155</v>
      </c>
      <c r="D468" t="s">
        <v>42</v>
      </c>
      <c r="E468">
        <v>60</v>
      </c>
      <c r="F468">
        <v>757</v>
      </c>
      <c r="G468" t="s">
        <v>156</v>
      </c>
      <c r="H468" t="s">
        <v>73</v>
      </c>
      <c r="I468" t="s">
        <v>74</v>
      </c>
      <c r="J468" t="s">
        <v>157</v>
      </c>
      <c r="K468" t="s">
        <v>37</v>
      </c>
      <c r="L468" t="s">
        <v>96</v>
      </c>
      <c r="M468" t="s">
        <v>103</v>
      </c>
      <c r="N468" t="s">
        <v>31</v>
      </c>
      <c r="O468" t="s">
        <v>104</v>
      </c>
      <c r="P468">
        <v>3</v>
      </c>
      <c r="Q468" t="b">
        <v>1</v>
      </c>
      <c r="R468" s="1">
        <v>44809.859027777777</v>
      </c>
      <c r="S468" s="1">
        <v>44813.185416666667</v>
      </c>
      <c r="T468" t="s">
        <v>109</v>
      </c>
      <c r="U468" t="b">
        <v>0</v>
      </c>
      <c r="V468" s="2">
        <v>44809.859027777777</v>
      </c>
      <c r="W468">
        <v>9</v>
      </c>
      <c r="X468">
        <v>2022</v>
      </c>
      <c r="Y468" t="s">
        <v>73</v>
      </c>
      <c r="Z468">
        <v>3</v>
      </c>
    </row>
    <row r="469" spans="1:26" x14ac:dyDescent="0.45">
      <c r="A469">
        <v>2490</v>
      </c>
      <c r="B469">
        <v>1301</v>
      </c>
      <c r="C469" t="s">
        <v>432</v>
      </c>
      <c r="D469" t="s">
        <v>22</v>
      </c>
      <c r="E469">
        <v>20</v>
      </c>
      <c r="F469">
        <v>670</v>
      </c>
      <c r="G469" t="s">
        <v>433</v>
      </c>
      <c r="H469" t="s">
        <v>24</v>
      </c>
      <c r="I469" t="s">
        <v>44</v>
      </c>
      <c r="J469" t="s">
        <v>45</v>
      </c>
      <c r="K469" t="s">
        <v>102</v>
      </c>
      <c r="L469" t="s">
        <v>56</v>
      </c>
      <c r="M469" t="s">
        <v>197</v>
      </c>
      <c r="N469" t="s">
        <v>198</v>
      </c>
      <c r="O469" t="s">
        <v>199</v>
      </c>
      <c r="P469">
        <v>3</v>
      </c>
      <c r="Q469" t="b">
        <v>1</v>
      </c>
      <c r="R469" s="1">
        <v>44093.568749999999</v>
      </c>
      <c r="S469" s="1">
        <v>44095.974305555559</v>
      </c>
      <c r="T469" t="s">
        <v>32</v>
      </c>
      <c r="U469" t="b">
        <v>0</v>
      </c>
      <c r="V469" s="2">
        <v>44093.568749999999</v>
      </c>
      <c r="W469">
        <v>9</v>
      </c>
      <c r="X469">
        <v>2020</v>
      </c>
      <c r="Y469" t="s">
        <v>24</v>
      </c>
      <c r="Z469">
        <v>3</v>
      </c>
    </row>
    <row r="470" spans="1:26" x14ac:dyDescent="0.45">
      <c r="A470">
        <v>2492</v>
      </c>
      <c r="B470">
        <v>1204</v>
      </c>
      <c r="C470" t="s">
        <v>365</v>
      </c>
      <c r="D470" t="s">
        <v>42</v>
      </c>
      <c r="E470">
        <v>15</v>
      </c>
      <c r="H470" t="s">
        <v>129</v>
      </c>
      <c r="I470" t="s">
        <v>130</v>
      </c>
      <c r="J470" t="s">
        <v>272</v>
      </c>
      <c r="K470" t="s">
        <v>46</v>
      </c>
      <c r="L470" t="s">
        <v>96</v>
      </c>
      <c r="M470" t="s">
        <v>118</v>
      </c>
      <c r="N470" t="s">
        <v>90</v>
      </c>
      <c r="O470" t="s">
        <v>119</v>
      </c>
      <c r="P470">
        <v>4</v>
      </c>
      <c r="Q470" t="b">
        <v>1</v>
      </c>
      <c r="R470" s="1">
        <v>44742.92083333333</v>
      </c>
      <c r="S470" s="1">
        <v>44747.411111111112</v>
      </c>
      <c r="T470" t="s">
        <v>40</v>
      </c>
      <c r="U470" t="b">
        <v>0</v>
      </c>
      <c r="V470" s="2">
        <v>44742.92083333333</v>
      </c>
      <c r="W470">
        <v>6</v>
      </c>
      <c r="X470">
        <v>2022</v>
      </c>
      <c r="Y470" t="s">
        <v>129</v>
      </c>
      <c r="Z470">
        <v>4</v>
      </c>
    </row>
    <row r="471" spans="1:26" x14ac:dyDescent="0.45">
      <c r="A471">
        <v>2493</v>
      </c>
      <c r="B471">
        <v>1466</v>
      </c>
      <c r="C471" t="s">
        <v>191</v>
      </c>
      <c r="D471" t="s">
        <v>22</v>
      </c>
      <c r="E471">
        <v>73</v>
      </c>
      <c r="F471">
        <v>742</v>
      </c>
      <c r="G471" t="s">
        <v>192</v>
      </c>
      <c r="H471" t="s">
        <v>85</v>
      </c>
      <c r="I471" t="s">
        <v>116</v>
      </c>
      <c r="J471" t="s">
        <v>117</v>
      </c>
      <c r="K471" t="s">
        <v>46</v>
      </c>
      <c r="L471" t="s">
        <v>96</v>
      </c>
      <c r="M471" t="s">
        <v>103</v>
      </c>
      <c r="N471" t="s">
        <v>31</v>
      </c>
      <c r="O471" t="s">
        <v>104</v>
      </c>
      <c r="P471">
        <v>4</v>
      </c>
      <c r="Q471" t="b">
        <v>1</v>
      </c>
      <c r="R471" s="1">
        <v>44870.925000000003</v>
      </c>
      <c r="S471" s="1">
        <v>44872.496527777781</v>
      </c>
      <c r="T471" t="s">
        <v>32</v>
      </c>
      <c r="U471" t="b">
        <v>0</v>
      </c>
      <c r="V471" s="2">
        <v>44870.925000000003</v>
      </c>
      <c r="W471">
        <v>11</v>
      </c>
      <c r="X471">
        <v>2022</v>
      </c>
      <c r="Y471" t="s">
        <v>85</v>
      </c>
      <c r="Z471">
        <v>4</v>
      </c>
    </row>
    <row r="472" spans="1:26" x14ac:dyDescent="0.45">
      <c r="A472">
        <v>2494</v>
      </c>
      <c r="B472">
        <v>1072</v>
      </c>
      <c r="C472" t="s">
        <v>434</v>
      </c>
      <c r="D472" t="s">
        <v>22</v>
      </c>
      <c r="E472">
        <v>61</v>
      </c>
      <c r="F472">
        <v>758</v>
      </c>
      <c r="G472" t="s">
        <v>435</v>
      </c>
      <c r="H472" t="s">
        <v>93</v>
      </c>
      <c r="I472" t="s">
        <v>94</v>
      </c>
      <c r="J472" t="s">
        <v>95</v>
      </c>
      <c r="K472" t="s">
        <v>37</v>
      </c>
      <c r="L472" t="s">
        <v>28</v>
      </c>
      <c r="M472" t="s">
        <v>29</v>
      </c>
      <c r="N472" t="s">
        <v>30</v>
      </c>
      <c r="O472" t="s">
        <v>31</v>
      </c>
      <c r="P472">
        <v>4</v>
      </c>
      <c r="Q472" t="b">
        <v>0</v>
      </c>
      <c r="R472" s="1">
        <v>45144.604166666664</v>
      </c>
      <c r="V472" s="2">
        <v>45144.604166666664</v>
      </c>
      <c r="W472">
        <v>8</v>
      </c>
      <c r="X472">
        <v>2023</v>
      </c>
      <c r="Y472" t="s">
        <v>93</v>
      </c>
      <c r="Z472">
        <v>4</v>
      </c>
    </row>
    <row r="473" spans="1:26" x14ac:dyDescent="0.45">
      <c r="A473">
        <v>2495</v>
      </c>
      <c r="B473">
        <v>1031</v>
      </c>
      <c r="C473" t="s">
        <v>436</v>
      </c>
      <c r="D473" t="s">
        <v>42</v>
      </c>
      <c r="E473">
        <v>78</v>
      </c>
      <c r="F473">
        <v>759</v>
      </c>
      <c r="G473" t="s">
        <v>437</v>
      </c>
      <c r="H473" t="s">
        <v>129</v>
      </c>
      <c r="I473" t="s">
        <v>130</v>
      </c>
      <c r="J473" t="s">
        <v>272</v>
      </c>
      <c r="K473" t="s">
        <v>55</v>
      </c>
      <c r="L473" t="s">
        <v>56</v>
      </c>
      <c r="M473" t="s">
        <v>197</v>
      </c>
      <c r="N473" t="s">
        <v>198</v>
      </c>
      <c r="O473" t="s">
        <v>199</v>
      </c>
      <c r="P473">
        <v>2</v>
      </c>
      <c r="Q473" t="b">
        <v>1</v>
      </c>
      <c r="R473" s="1">
        <v>45173.444444444445</v>
      </c>
      <c r="S473" s="1">
        <v>45175.318749999999</v>
      </c>
      <c r="T473" t="s">
        <v>32</v>
      </c>
      <c r="U473" t="b">
        <v>0</v>
      </c>
      <c r="V473" s="2">
        <v>45173.444444444445</v>
      </c>
      <c r="W473">
        <v>9</v>
      </c>
      <c r="X473">
        <v>2023</v>
      </c>
      <c r="Y473" t="s">
        <v>129</v>
      </c>
      <c r="Z473">
        <v>2</v>
      </c>
    </row>
    <row r="474" spans="1:26" x14ac:dyDescent="0.45">
      <c r="A474">
        <v>2496</v>
      </c>
      <c r="B474">
        <v>1134</v>
      </c>
      <c r="C474" t="s">
        <v>438</v>
      </c>
      <c r="D474" t="s">
        <v>22</v>
      </c>
      <c r="E474">
        <v>53</v>
      </c>
      <c r="F474">
        <v>711</v>
      </c>
      <c r="G474" t="s">
        <v>299</v>
      </c>
      <c r="H474" t="s">
        <v>85</v>
      </c>
      <c r="I474" t="s">
        <v>116</v>
      </c>
      <c r="J474" t="s">
        <v>117</v>
      </c>
      <c r="K474" t="s">
        <v>55</v>
      </c>
      <c r="L474" t="s">
        <v>56</v>
      </c>
      <c r="M474" t="s">
        <v>88</v>
      </c>
      <c r="N474" t="s">
        <v>89</v>
      </c>
      <c r="O474" t="s">
        <v>90</v>
      </c>
      <c r="P474">
        <v>4</v>
      </c>
      <c r="Q474" t="b">
        <v>0</v>
      </c>
      <c r="R474" s="1">
        <v>44939.755555555559</v>
      </c>
      <c r="V474" s="2">
        <v>44939.755555555559</v>
      </c>
      <c r="W474">
        <v>1</v>
      </c>
      <c r="X474">
        <v>2023</v>
      </c>
      <c r="Y474" t="s">
        <v>85</v>
      </c>
      <c r="Z474">
        <v>4</v>
      </c>
    </row>
    <row r="475" spans="1:26" x14ac:dyDescent="0.45">
      <c r="A475">
        <v>2497</v>
      </c>
      <c r="B475">
        <v>1303</v>
      </c>
      <c r="C475" t="s">
        <v>439</v>
      </c>
      <c r="D475" t="s">
        <v>22</v>
      </c>
      <c r="E475">
        <v>56</v>
      </c>
      <c r="F475">
        <v>721</v>
      </c>
      <c r="G475" t="s">
        <v>440</v>
      </c>
      <c r="H475" t="s">
        <v>73</v>
      </c>
      <c r="I475" t="s">
        <v>74</v>
      </c>
      <c r="J475" t="s">
        <v>75</v>
      </c>
      <c r="K475" t="s">
        <v>102</v>
      </c>
      <c r="L475" t="s">
        <v>96</v>
      </c>
      <c r="M475" t="s">
        <v>136</v>
      </c>
      <c r="N475" t="s">
        <v>30</v>
      </c>
      <c r="O475" t="s">
        <v>137</v>
      </c>
      <c r="P475">
        <v>5</v>
      </c>
      <c r="Q475" t="b">
        <v>1</v>
      </c>
      <c r="R475" s="1">
        <v>44932.611111111109</v>
      </c>
      <c r="S475" s="1">
        <v>44938.864583333336</v>
      </c>
      <c r="T475" t="s">
        <v>40</v>
      </c>
      <c r="U475" t="b">
        <v>1</v>
      </c>
      <c r="V475" s="2">
        <v>44932.611111111109</v>
      </c>
      <c r="W475">
        <v>1</v>
      </c>
      <c r="X475">
        <v>2023</v>
      </c>
      <c r="Y475" t="s">
        <v>73</v>
      </c>
      <c r="Z475">
        <v>5</v>
      </c>
    </row>
    <row r="476" spans="1:26" x14ac:dyDescent="0.45">
      <c r="A476">
        <v>2498</v>
      </c>
      <c r="B476">
        <v>1039</v>
      </c>
      <c r="C476" t="s">
        <v>441</v>
      </c>
      <c r="D476" t="s">
        <v>42</v>
      </c>
      <c r="E476">
        <v>73</v>
      </c>
      <c r="F476">
        <v>741</v>
      </c>
      <c r="G476" t="s">
        <v>442</v>
      </c>
      <c r="H476" t="s">
        <v>93</v>
      </c>
      <c r="I476" t="s">
        <v>112</v>
      </c>
      <c r="J476" t="s">
        <v>242</v>
      </c>
      <c r="K476" t="s">
        <v>102</v>
      </c>
      <c r="L476" t="s">
        <v>56</v>
      </c>
      <c r="M476" t="s">
        <v>197</v>
      </c>
      <c r="N476" t="s">
        <v>198</v>
      </c>
      <c r="O476" t="s">
        <v>199</v>
      </c>
      <c r="P476">
        <v>2</v>
      </c>
      <c r="Q476" t="b">
        <v>1</v>
      </c>
      <c r="R476" s="1">
        <v>45126.284722222219</v>
      </c>
      <c r="S476" s="1">
        <v>45130.734722222223</v>
      </c>
      <c r="T476" t="s">
        <v>32</v>
      </c>
      <c r="U476" t="b">
        <v>0</v>
      </c>
      <c r="V476" s="2">
        <v>45126.284722222219</v>
      </c>
      <c r="W476">
        <v>7</v>
      </c>
      <c r="X476">
        <v>2023</v>
      </c>
      <c r="Y476" t="s">
        <v>93</v>
      </c>
      <c r="Z476">
        <v>2</v>
      </c>
    </row>
    <row r="477" spans="1:26" x14ac:dyDescent="0.45">
      <c r="A477">
        <v>2499</v>
      </c>
      <c r="B477">
        <v>1347</v>
      </c>
      <c r="C477" t="s">
        <v>443</v>
      </c>
      <c r="D477" t="s">
        <v>22</v>
      </c>
      <c r="E477">
        <v>60</v>
      </c>
      <c r="F477">
        <v>746</v>
      </c>
      <c r="G477" t="s">
        <v>444</v>
      </c>
      <c r="H477" t="s">
        <v>35</v>
      </c>
      <c r="I477" t="s">
        <v>36</v>
      </c>
      <c r="J477" t="s">
        <v>36</v>
      </c>
      <c r="K477" t="s">
        <v>55</v>
      </c>
      <c r="L477" t="s">
        <v>56</v>
      </c>
      <c r="M477" t="s">
        <v>179</v>
      </c>
      <c r="N477" t="s">
        <v>79</v>
      </c>
      <c r="O477" t="s">
        <v>161</v>
      </c>
      <c r="P477">
        <v>5</v>
      </c>
      <c r="Q477" t="b">
        <v>1</v>
      </c>
      <c r="R477" s="1">
        <v>44365.047222222223</v>
      </c>
      <c r="S477" s="1">
        <v>44370.063194444447</v>
      </c>
      <c r="T477" t="s">
        <v>109</v>
      </c>
      <c r="U477" t="b">
        <v>0</v>
      </c>
      <c r="V477" s="2">
        <v>44365.047222222223</v>
      </c>
      <c r="W477">
        <v>6</v>
      </c>
      <c r="X477">
        <v>2021</v>
      </c>
      <c r="Y477" t="s">
        <v>35</v>
      </c>
      <c r="Z477">
        <v>5</v>
      </c>
    </row>
    <row r="478" spans="1:26" x14ac:dyDescent="0.45">
      <c r="A478">
        <v>2501</v>
      </c>
      <c r="B478">
        <v>1420</v>
      </c>
      <c r="C478" t="s">
        <v>445</v>
      </c>
      <c r="D478" t="s">
        <v>42</v>
      </c>
      <c r="E478">
        <v>23</v>
      </c>
      <c r="F478">
        <v>671</v>
      </c>
      <c r="G478" t="s">
        <v>446</v>
      </c>
      <c r="H478" t="s">
        <v>172</v>
      </c>
      <c r="I478" t="s">
        <v>173</v>
      </c>
      <c r="J478" t="s">
        <v>399</v>
      </c>
      <c r="K478" t="s">
        <v>37</v>
      </c>
      <c r="L478" t="s">
        <v>96</v>
      </c>
      <c r="M478" t="s">
        <v>136</v>
      </c>
      <c r="N478" t="s">
        <v>30</v>
      </c>
      <c r="O478" t="s">
        <v>137</v>
      </c>
      <c r="P478">
        <v>5</v>
      </c>
      <c r="Q478" t="b">
        <v>1</v>
      </c>
      <c r="R478" s="1">
        <v>44541.048611111109</v>
      </c>
      <c r="S478" s="1">
        <v>44543.325694444444</v>
      </c>
      <c r="T478" t="s">
        <v>32</v>
      </c>
      <c r="U478" t="b">
        <v>0</v>
      </c>
      <c r="V478" s="2">
        <v>44541.048611111109</v>
      </c>
      <c r="W478">
        <v>12</v>
      </c>
      <c r="X478">
        <v>2021</v>
      </c>
      <c r="Y478" t="s">
        <v>172</v>
      </c>
      <c r="Z478">
        <v>5</v>
      </c>
    </row>
    <row r="479" spans="1:26" x14ac:dyDescent="0.45">
      <c r="A479">
        <v>2502</v>
      </c>
      <c r="B479">
        <v>1433</v>
      </c>
      <c r="C479" t="s">
        <v>447</v>
      </c>
      <c r="D479" t="s">
        <v>22</v>
      </c>
      <c r="E479">
        <v>68</v>
      </c>
      <c r="F479">
        <v>742</v>
      </c>
      <c r="G479" t="s">
        <v>448</v>
      </c>
      <c r="H479" t="s">
        <v>85</v>
      </c>
      <c r="I479" t="s">
        <v>86</v>
      </c>
      <c r="J479" t="s">
        <v>87</v>
      </c>
      <c r="K479" t="s">
        <v>27</v>
      </c>
      <c r="L479" t="s">
        <v>96</v>
      </c>
      <c r="M479" t="s">
        <v>118</v>
      </c>
      <c r="N479" t="s">
        <v>90</v>
      </c>
      <c r="O479" t="s">
        <v>119</v>
      </c>
      <c r="P479">
        <v>1</v>
      </c>
      <c r="Q479" t="b">
        <v>0</v>
      </c>
      <c r="R479" s="1">
        <v>44047.119444444441</v>
      </c>
      <c r="V479" s="2">
        <v>44047.119444444441</v>
      </c>
      <c r="W479">
        <v>8</v>
      </c>
      <c r="X479">
        <v>2020</v>
      </c>
      <c r="Y479" t="s">
        <v>85</v>
      </c>
      <c r="Z479">
        <v>1</v>
      </c>
    </row>
    <row r="480" spans="1:26" x14ac:dyDescent="0.45">
      <c r="A480">
        <v>2503</v>
      </c>
      <c r="B480">
        <v>1271</v>
      </c>
      <c r="C480" t="s">
        <v>352</v>
      </c>
      <c r="D480" t="s">
        <v>42</v>
      </c>
      <c r="E480">
        <v>54</v>
      </c>
      <c r="F480">
        <v>715</v>
      </c>
      <c r="G480" t="s">
        <v>353</v>
      </c>
      <c r="H480" t="s">
        <v>73</v>
      </c>
      <c r="I480" t="s">
        <v>74</v>
      </c>
      <c r="J480" t="s">
        <v>157</v>
      </c>
      <c r="K480" t="s">
        <v>46</v>
      </c>
      <c r="L480" t="s">
        <v>96</v>
      </c>
      <c r="M480" t="s">
        <v>136</v>
      </c>
      <c r="N480" t="s">
        <v>30</v>
      </c>
      <c r="O480" t="s">
        <v>137</v>
      </c>
      <c r="P480">
        <v>2</v>
      </c>
      <c r="Q480" t="b">
        <v>1</v>
      </c>
      <c r="R480" s="1">
        <v>44019.34097222222</v>
      </c>
      <c r="S480" s="1">
        <v>44023.086805555555</v>
      </c>
      <c r="T480" t="s">
        <v>40</v>
      </c>
      <c r="U480" t="b">
        <v>0</v>
      </c>
      <c r="V480" s="2">
        <v>44019.34097222222</v>
      </c>
      <c r="W480">
        <v>7</v>
      </c>
      <c r="X480">
        <v>2020</v>
      </c>
      <c r="Y480" t="s">
        <v>73</v>
      </c>
      <c r="Z480">
        <v>2</v>
      </c>
    </row>
    <row r="481" spans="1:26" x14ac:dyDescent="0.45">
      <c r="A481">
        <v>2504</v>
      </c>
      <c r="B481">
        <v>1300</v>
      </c>
      <c r="C481" t="s">
        <v>91</v>
      </c>
      <c r="D481" t="s">
        <v>22</v>
      </c>
      <c r="E481">
        <v>41</v>
      </c>
      <c r="F481">
        <v>682</v>
      </c>
      <c r="G481" t="s">
        <v>92</v>
      </c>
      <c r="H481" t="s">
        <v>93</v>
      </c>
      <c r="I481" t="s">
        <v>94</v>
      </c>
      <c r="J481" t="s">
        <v>95</v>
      </c>
      <c r="K481" t="s">
        <v>37</v>
      </c>
      <c r="L481" t="s">
        <v>67</v>
      </c>
      <c r="M481" t="s">
        <v>233</v>
      </c>
      <c r="N481" t="s">
        <v>89</v>
      </c>
      <c r="O481" t="s">
        <v>90</v>
      </c>
      <c r="P481">
        <v>4</v>
      </c>
      <c r="Q481" t="b">
        <v>1</v>
      </c>
      <c r="R481" s="1">
        <v>43962.213194444441</v>
      </c>
      <c r="S481" s="1">
        <v>43966.649305555555</v>
      </c>
      <c r="T481" t="s">
        <v>109</v>
      </c>
      <c r="U481" t="b">
        <v>0</v>
      </c>
      <c r="V481" s="2">
        <v>43962.213194444441</v>
      </c>
      <c r="W481">
        <v>5</v>
      </c>
      <c r="X481">
        <v>2020</v>
      </c>
      <c r="Y481" t="s">
        <v>93</v>
      </c>
      <c r="Z481">
        <v>4</v>
      </c>
    </row>
    <row r="482" spans="1:26" x14ac:dyDescent="0.45">
      <c r="A482">
        <v>2505</v>
      </c>
      <c r="B482">
        <v>1225</v>
      </c>
      <c r="C482" t="s">
        <v>449</v>
      </c>
      <c r="D482" t="s">
        <v>42</v>
      </c>
      <c r="E482">
        <v>15</v>
      </c>
      <c r="H482" t="s">
        <v>24</v>
      </c>
      <c r="I482" t="s">
        <v>44</v>
      </c>
      <c r="J482" t="s">
        <v>208</v>
      </c>
      <c r="K482" t="s">
        <v>46</v>
      </c>
      <c r="L482" t="s">
        <v>56</v>
      </c>
      <c r="M482" t="s">
        <v>179</v>
      </c>
      <c r="N482" t="s">
        <v>79</v>
      </c>
      <c r="O482" t="s">
        <v>161</v>
      </c>
      <c r="P482">
        <v>3</v>
      </c>
      <c r="Q482" t="b">
        <v>1</v>
      </c>
      <c r="R482" s="1">
        <v>44893.113194444442</v>
      </c>
      <c r="S482" s="1">
        <v>44894.45416666667</v>
      </c>
      <c r="T482" t="s">
        <v>109</v>
      </c>
      <c r="U482" t="b">
        <v>0</v>
      </c>
      <c r="V482" s="2">
        <v>44893.113194444442</v>
      </c>
      <c r="W482">
        <v>11</v>
      </c>
      <c r="X482">
        <v>2022</v>
      </c>
      <c r="Y482" t="s">
        <v>24</v>
      </c>
      <c r="Z482">
        <v>3</v>
      </c>
    </row>
    <row r="483" spans="1:26" x14ac:dyDescent="0.45">
      <c r="A483">
        <v>2506</v>
      </c>
      <c r="B483">
        <v>1136</v>
      </c>
      <c r="C483" t="s">
        <v>450</v>
      </c>
      <c r="D483" t="s">
        <v>22</v>
      </c>
      <c r="E483">
        <v>55</v>
      </c>
      <c r="F483">
        <v>737</v>
      </c>
      <c r="G483" t="s">
        <v>451</v>
      </c>
      <c r="H483" t="s">
        <v>172</v>
      </c>
      <c r="I483" t="s">
        <v>173</v>
      </c>
      <c r="J483" t="s">
        <v>174</v>
      </c>
      <c r="K483" t="s">
        <v>37</v>
      </c>
      <c r="L483" t="s">
        <v>67</v>
      </c>
      <c r="M483" t="s">
        <v>108</v>
      </c>
      <c r="N483" t="s">
        <v>99</v>
      </c>
      <c r="O483" t="s">
        <v>30</v>
      </c>
      <c r="P483">
        <v>4</v>
      </c>
      <c r="Q483" t="b">
        <v>1</v>
      </c>
      <c r="R483" s="1">
        <v>44543.248611111114</v>
      </c>
      <c r="S483" s="1">
        <v>44543.955555555556</v>
      </c>
      <c r="T483" t="s">
        <v>109</v>
      </c>
      <c r="U483" t="b">
        <v>0</v>
      </c>
      <c r="V483" s="2">
        <v>44543.248611111114</v>
      </c>
      <c r="W483">
        <v>12</v>
      </c>
      <c r="X483">
        <v>2021</v>
      </c>
      <c r="Y483" t="s">
        <v>172</v>
      </c>
      <c r="Z483">
        <v>4</v>
      </c>
    </row>
    <row r="484" spans="1:26" x14ac:dyDescent="0.45">
      <c r="A484">
        <v>2507</v>
      </c>
      <c r="B484">
        <v>1171</v>
      </c>
      <c r="C484" t="s">
        <v>158</v>
      </c>
      <c r="D484" t="s">
        <v>42</v>
      </c>
      <c r="E484">
        <v>65</v>
      </c>
      <c r="F484">
        <v>746</v>
      </c>
      <c r="G484" t="s">
        <v>159</v>
      </c>
      <c r="H484" t="s">
        <v>52</v>
      </c>
      <c r="I484" t="s">
        <v>150</v>
      </c>
      <c r="J484" t="s">
        <v>151</v>
      </c>
      <c r="K484" t="s">
        <v>27</v>
      </c>
      <c r="L484" t="s">
        <v>28</v>
      </c>
      <c r="M484" t="s">
        <v>47</v>
      </c>
      <c r="N484" t="s">
        <v>48</v>
      </c>
      <c r="O484" t="s">
        <v>49</v>
      </c>
      <c r="P484">
        <v>4</v>
      </c>
      <c r="Q484" t="b">
        <v>1</v>
      </c>
      <c r="R484" s="1">
        <v>45040.37777777778</v>
      </c>
      <c r="S484" s="1">
        <v>45040.977777777778</v>
      </c>
      <c r="T484" t="s">
        <v>32</v>
      </c>
      <c r="U484" t="b">
        <v>0</v>
      </c>
      <c r="V484" s="2">
        <v>45040.37777777778</v>
      </c>
      <c r="W484">
        <v>4</v>
      </c>
      <c r="X484">
        <v>2023</v>
      </c>
      <c r="Y484" t="s">
        <v>52</v>
      </c>
      <c r="Z484">
        <v>4</v>
      </c>
    </row>
    <row r="485" spans="1:26" x14ac:dyDescent="0.45">
      <c r="A485">
        <v>2508</v>
      </c>
      <c r="B485">
        <v>1482</v>
      </c>
      <c r="C485" t="s">
        <v>452</v>
      </c>
      <c r="D485" t="s">
        <v>22</v>
      </c>
      <c r="E485">
        <v>20</v>
      </c>
      <c r="F485">
        <v>679</v>
      </c>
      <c r="G485" t="s">
        <v>453</v>
      </c>
      <c r="H485" t="s">
        <v>73</v>
      </c>
      <c r="I485" t="s">
        <v>74</v>
      </c>
      <c r="J485" t="s">
        <v>75</v>
      </c>
      <c r="K485" t="s">
        <v>102</v>
      </c>
      <c r="L485" t="s">
        <v>28</v>
      </c>
      <c r="M485" t="s">
        <v>142</v>
      </c>
      <c r="N485" t="s">
        <v>143</v>
      </c>
      <c r="O485" t="s">
        <v>144</v>
      </c>
      <c r="P485">
        <v>4</v>
      </c>
      <c r="Q485" t="b">
        <v>1</v>
      </c>
      <c r="R485" s="1">
        <v>44787.506944444445</v>
      </c>
      <c r="S485" s="1">
        <v>44787.525694444441</v>
      </c>
      <c r="T485" t="s">
        <v>109</v>
      </c>
      <c r="U485" t="b">
        <v>0</v>
      </c>
      <c r="V485" s="2">
        <v>44787.506944444445</v>
      </c>
      <c r="W485">
        <v>8</v>
      </c>
      <c r="X485">
        <v>2022</v>
      </c>
      <c r="Y485" t="s">
        <v>73</v>
      </c>
      <c r="Z485">
        <v>4</v>
      </c>
    </row>
    <row r="486" spans="1:26" x14ac:dyDescent="0.45">
      <c r="A486">
        <v>2509</v>
      </c>
      <c r="B486">
        <v>1457</v>
      </c>
      <c r="C486" t="s">
        <v>454</v>
      </c>
      <c r="D486" t="s">
        <v>42</v>
      </c>
      <c r="E486">
        <v>33</v>
      </c>
      <c r="F486">
        <v>690</v>
      </c>
      <c r="G486" t="s">
        <v>377</v>
      </c>
      <c r="H486" t="s">
        <v>85</v>
      </c>
      <c r="I486" t="s">
        <v>116</v>
      </c>
      <c r="J486" t="s">
        <v>330</v>
      </c>
      <c r="K486" t="s">
        <v>37</v>
      </c>
      <c r="L486" t="s">
        <v>28</v>
      </c>
      <c r="M486" t="s">
        <v>142</v>
      </c>
      <c r="N486" t="s">
        <v>143</v>
      </c>
      <c r="O486" t="s">
        <v>144</v>
      </c>
      <c r="P486">
        <v>3</v>
      </c>
      <c r="Q486" t="b">
        <v>1</v>
      </c>
      <c r="R486" s="1">
        <v>45215.26458333333</v>
      </c>
      <c r="S486" s="1">
        <v>45220.378472222219</v>
      </c>
      <c r="T486" t="s">
        <v>40</v>
      </c>
      <c r="U486" t="b">
        <v>0</v>
      </c>
      <c r="V486" s="2">
        <v>45215.26458333333</v>
      </c>
      <c r="W486">
        <v>10</v>
      </c>
      <c r="X486">
        <v>2023</v>
      </c>
      <c r="Y486" t="s">
        <v>85</v>
      </c>
      <c r="Z486">
        <v>3</v>
      </c>
    </row>
    <row r="487" spans="1:26" x14ac:dyDescent="0.45">
      <c r="A487">
        <v>2510</v>
      </c>
      <c r="B487">
        <v>1134</v>
      </c>
      <c r="C487" t="s">
        <v>438</v>
      </c>
      <c r="D487" t="s">
        <v>22</v>
      </c>
      <c r="E487">
        <v>53</v>
      </c>
      <c r="F487">
        <v>711</v>
      </c>
      <c r="G487" t="s">
        <v>299</v>
      </c>
      <c r="H487" t="s">
        <v>85</v>
      </c>
      <c r="I487" t="s">
        <v>116</v>
      </c>
      <c r="J487" t="s">
        <v>117</v>
      </c>
      <c r="K487" t="s">
        <v>46</v>
      </c>
      <c r="L487" t="s">
        <v>56</v>
      </c>
      <c r="M487" t="s">
        <v>57</v>
      </c>
      <c r="N487" t="s">
        <v>58</v>
      </c>
      <c r="O487" t="s">
        <v>59</v>
      </c>
      <c r="P487">
        <v>4</v>
      </c>
      <c r="Q487" t="b">
        <v>1</v>
      </c>
      <c r="R487" s="1">
        <v>44765.349305555559</v>
      </c>
      <c r="S487" s="1">
        <v>44769.92291666667</v>
      </c>
      <c r="T487" t="s">
        <v>109</v>
      </c>
      <c r="U487" t="b">
        <v>0</v>
      </c>
      <c r="V487" s="2">
        <v>44765.349305555559</v>
      </c>
      <c r="W487">
        <v>7</v>
      </c>
      <c r="X487">
        <v>2022</v>
      </c>
      <c r="Y487" t="s">
        <v>85</v>
      </c>
      <c r="Z487">
        <v>4</v>
      </c>
    </row>
    <row r="488" spans="1:26" x14ac:dyDescent="0.45">
      <c r="A488">
        <v>2511</v>
      </c>
      <c r="B488">
        <v>1255</v>
      </c>
      <c r="C488" t="s">
        <v>455</v>
      </c>
      <c r="D488" t="s">
        <v>22</v>
      </c>
      <c r="E488">
        <v>32</v>
      </c>
      <c r="F488">
        <v>691</v>
      </c>
      <c r="G488" t="s">
        <v>456</v>
      </c>
      <c r="H488" t="s">
        <v>172</v>
      </c>
      <c r="I488" t="s">
        <v>173</v>
      </c>
      <c r="J488" t="s">
        <v>423</v>
      </c>
      <c r="K488" t="s">
        <v>102</v>
      </c>
      <c r="L488" t="s">
        <v>28</v>
      </c>
      <c r="M488" t="s">
        <v>142</v>
      </c>
      <c r="N488" t="s">
        <v>143</v>
      </c>
      <c r="O488" t="s">
        <v>144</v>
      </c>
      <c r="P488">
        <v>5</v>
      </c>
      <c r="Q488" t="b">
        <v>1</v>
      </c>
      <c r="R488" s="1">
        <v>44057.355555555558</v>
      </c>
      <c r="S488" s="1">
        <v>44059.713194444441</v>
      </c>
      <c r="T488" t="s">
        <v>32</v>
      </c>
      <c r="U488" t="b">
        <v>0</v>
      </c>
      <c r="V488" s="2">
        <v>44057.355555555558</v>
      </c>
      <c r="W488">
        <v>8</v>
      </c>
      <c r="X488">
        <v>2020</v>
      </c>
      <c r="Y488" t="s">
        <v>172</v>
      </c>
      <c r="Z488">
        <v>5</v>
      </c>
    </row>
    <row r="489" spans="1:26" x14ac:dyDescent="0.45">
      <c r="A489">
        <v>2512</v>
      </c>
      <c r="B489">
        <v>1209</v>
      </c>
      <c r="C489" t="s">
        <v>457</v>
      </c>
      <c r="D489" t="s">
        <v>42</v>
      </c>
      <c r="E489">
        <v>35</v>
      </c>
      <c r="F489">
        <v>698</v>
      </c>
      <c r="G489" t="s">
        <v>458</v>
      </c>
      <c r="H489" t="s">
        <v>85</v>
      </c>
      <c r="I489" t="s">
        <v>116</v>
      </c>
      <c r="J489" t="s">
        <v>117</v>
      </c>
      <c r="K489" t="s">
        <v>102</v>
      </c>
      <c r="L489" t="s">
        <v>67</v>
      </c>
      <c r="M489" t="s">
        <v>108</v>
      </c>
      <c r="N489" t="s">
        <v>99</v>
      </c>
      <c r="O489" t="s">
        <v>30</v>
      </c>
      <c r="P489">
        <v>3</v>
      </c>
      <c r="Q489" t="b">
        <v>0</v>
      </c>
      <c r="R489" s="1">
        <v>44805.972222222219</v>
      </c>
      <c r="V489" s="2">
        <v>44805.972222222219</v>
      </c>
      <c r="W489">
        <v>9</v>
      </c>
      <c r="X489">
        <v>2022</v>
      </c>
      <c r="Y489" t="s">
        <v>85</v>
      </c>
      <c r="Z489">
        <v>3</v>
      </c>
    </row>
    <row r="490" spans="1:26" x14ac:dyDescent="0.45">
      <c r="A490">
        <v>2513</v>
      </c>
      <c r="B490">
        <v>1316</v>
      </c>
      <c r="C490" t="s">
        <v>459</v>
      </c>
      <c r="D490" t="s">
        <v>42</v>
      </c>
      <c r="E490">
        <v>65</v>
      </c>
      <c r="F490">
        <v>745</v>
      </c>
      <c r="G490" t="s">
        <v>460</v>
      </c>
      <c r="H490" t="s">
        <v>129</v>
      </c>
      <c r="I490" t="s">
        <v>263</v>
      </c>
      <c r="J490" t="s">
        <v>278</v>
      </c>
      <c r="K490" t="s">
        <v>37</v>
      </c>
      <c r="L490" t="s">
        <v>28</v>
      </c>
      <c r="M490" t="s">
        <v>142</v>
      </c>
      <c r="N490" t="s">
        <v>143</v>
      </c>
      <c r="O490" t="s">
        <v>144</v>
      </c>
      <c r="P490">
        <v>5</v>
      </c>
      <c r="Q490" t="b">
        <v>1</v>
      </c>
      <c r="R490" s="1">
        <v>43941.356249999997</v>
      </c>
      <c r="S490" s="1">
        <v>43943.495138888888</v>
      </c>
      <c r="T490" t="s">
        <v>40</v>
      </c>
      <c r="U490" t="b">
        <v>0</v>
      </c>
      <c r="V490" s="2">
        <v>43941.356249999997</v>
      </c>
      <c r="W490">
        <v>4</v>
      </c>
      <c r="X490">
        <v>2020</v>
      </c>
      <c r="Y490" t="s">
        <v>129</v>
      </c>
      <c r="Z490">
        <v>5</v>
      </c>
    </row>
    <row r="491" spans="1:26" x14ac:dyDescent="0.45">
      <c r="A491">
        <v>2514</v>
      </c>
      <c r="B491">
        <v>1263</v>
      </c>
      <c r="C491" t="s">
        <v>461</v>
      </c>
      <c r="D491" t="s">
        <v>22</v>
      </c>
      <c r="E491">
        <v>57</v>
      </c>
      <c r="F491">
        <v>736</v>
      </c>
      <c r="G491" t="s">
        <v>462</v>
      </c>
      <c r="H491" t="s">
        <v>73</v>
      </c>
      <c r="I491" t="s">
        <v>74</v>
      </c>
      <c r="J491" t="s">
        <v>245</v>
      </c>
      <c r="K491" t="s">
        <v>37</v>
      </c>
      <c r="L491" t="s">
        <v>56</v>
      </c>
      <c r="M491" t="s">
        <v>197</v>
      </c>
      <c r="N491" t="s">
        <v>198</v>
      </c>
      <c r="O491" t="s">
        <v>199</v>
      </c>
      <c r="P491">
        <v>1</v>
      </c>
      <c r="Q491" t="b">
        <v>1</v>
      </c>
      <c r="R491" s="1">
        <v>44701.673611111109</v>
      </c>
      <c r="S491" s="1">
        <v>44704.120138888888</v>
      </c>
      <c r="T491" t="s">
        <v>109</v>
      </c>
      <c r="U491" t="b">
        <v>0</v>
      </c>
      <c r="V491" s="2">
        <v>44701.673611111109</v>
      </c>
      <c r="W491">
        <v>5</v>
      </c>
      <c r="X491">
        <v>2022</v>
      </c>
      <c r="Y491" t="s">
        <v>73</v>
      </c>
      <c r="Z491">
        <v>1</v>
      </c>
    </row>
    <row r="492" spans="1:26" x14ac:dyDescent="0.45">
      <c r="A492">
        <v>2515</v>
      </c>
      <c r="B492">
        <v>1052</v>
      </c>
      <c r="C492" t="s">
        <v>463</v>
      </c>
      <c r="D492" t="s">
        <v>42</v>
      </c>
      <c r="E492">
        <v>60</v>
      </c>
      <c r="F492">
        <v>748</v>
      </c>
      <c r="G492" t="s">
        <v>464</v>
      </c>
      <c r="H492" t="s">
        <v>85</v>
      </c>
      <c r="I492" t="s">
        <v>86</v>
      </c>
      <c r="J492" t="s">
        <v>182</v>
      </c>
      <c r="K492" t="s">
        <v>27</v>
      </c>
      <c r="L492" t="s">
        <v>96</v>
      </c>
      <c r="M492" t="s">
        <v>136</v>
      </c>
      <c r="N492" t="s">
        <v>30</v>
      </c>
      <c r="O492" t="s">
        <v>137</v>
      </c>
      <c r="P492">
        <v>2</v>
      </c>
      <c r="Q492" t="b">
        <v>1</v>
      </c>
      <c r="R492" s="1">
        <v>44947.169444444444</v>
      </c>
      <c r="S492" s="1">
        <v>44947.37777777778</v>
      </c>
      <c r="T492" t="s">
        <v>60</v>
      </c>
      <c r="U492" t="b">
        <v>0</v>
      </c>
      <c r="V492" s="2">
        <v>44947.169444444444</v>
      </c>
      <c r="W492">
        <v>1</v>
      </c>
      <c r="X492">
        <v>2023</v>
      </c>
      <c r="Y492" t="s">
        <v>85</v>
      </c>
      <c r="Z492">
        <v>2</v>
      </c>
    </row>
    <row r="493" spans="1:26" x14ac:dyDescent="0.45">
      <c r="A493">
        <v>2516</v>
      </c>
      <c r="B493">
        <v>1217</v>
      </c>
      <c r="C493" t="s">
        <v>333</v>
      </c>
      <c r="D493" t="s">
        <v>42</v>
      </c>
      <c r="E493">
        <v>67</v>
      </c>
      <c r="F493">
        <v>743</v>
      </c>
      <c r="G493" t="s">
        <v>334</v>
      </c>
      <c r="H493" t="s">
        <v>35</v>
      </c>
      <c r="I493" t="s">
        <v>122</v>
      </c>
      <c r="J493" t="s">
        <v>82</v>
      </c>
      <c r="K493" t="s">
        <v>102</v>
      </c>
      <c r="L493" t="s">
        <v>67</v>
      </c>
      <c r="M493" t="s">
        <v>165</v>
      </c>
      <c r="N493" t="s">
        <v>166</v>
      </c>
      <c r="O493" t="s">
        <v>167</v>
      </c>
      <c r="P493">
        <v>4</v>
      </c>
      <c r="Q493" t="b">
        <v>0</v>
      </c>
      <c r="R493" s="1">
        <v>44933.887499999997</v>
      </c>
      <c r="V493" s="2">
        <v>44933.887499999997</v>
      </c>
      <c r="W493">
        <v>1</v>
      </c>
      <c r="X493">
        <v>2023</v>
      </c>
      <c r="Y493" t="s">
        <v>35</v>
      </c>
      <c r="Z493">
        <v>4</v>
      </c>
    </row>
    <row r="494" spans="1:26" x14ac:dyDescent="0.45">
      <c r="A494">
        <v>2517</v>
      </c>
      <c r="B494">
        <v>1062</v>
      </c>
      <c r="C494" t="s">
        <v>465</v>
      </c>
      <c r="D494" t="s">
        <v>42</v>
      </c>
      <c r="E494">
        <v>16</v>
      </c>
      <c r="H494" t="s">
        <v>172</v>
      </c>
      <c r="I494" t="s">
        <v>177</v>
      </c>
      <c r="J494" t="s">
        <v>178</v>
      </c>
      <c r="K494" t="s">
        <v>46</v>
      </c>
      <c r="L494" t="s">
        <v>76</v>
      </c>
      <c r="M494" t="s">
        <v>160</v>
      </c>
      <c r="N494" t="s">
        <v>79</v>
      </c>
      <c r="O494" t="s">
        <v>161</v>
      </c>
      <c r="P494">
        <v>4</v>
      </c>
      <c r="Q494" t="b">
        <v>1</v>
      </c>
      <c r="R494" s="1">
        <v>43931.101388888892</v>
      </c>
      <c r="S494" s="1">
        <v>43934.763888888891</v>
      </c>
      <c r="T494" t="s">
        <v>60</v>
      </c>
      <c r="U494" t="b">
        <v>0</v>
      </c>
      <c r="V494" s="2">
        <v>43931.101388888892</v>
      </c>
      <c r="W494">
        <v>4</v>
      </c>
      <c r="X494">
        <v>2020</v>
      </c>
      <c r="Y494" t="s">
        <v>172</v>
      </c>
      <c r="Z494">
        <v>4</v>
      </c>
    </row>
    <row r="495" spans="1:26" x14ac:dyDescent="0.45">
      <c r="A495">
        <v>2518</v>
      </c>
      <c r="B495">
        <v>1133</v>
      </c>
      <c r="C495" t="s">
        <v>384</v>
      </c>
      <c r="D495" t="s">
        <v>22</v>
      </c>
      <c r="E495">
        <v>18</v>
      </c>
      <c r="F495">
        <v>633</v>
      </c>
      <c r="G495" t="s">
        <v>385</v>
      </c>
      <c r="H495" t="s">
        <v>52</v>
      </c>
      <c r="I495" t="s">
        <v>150</v>
      </c>
      <c r="J495" t="s">
        <v>151</v>
      </c>
      <c r="K495" t="s">
        <v>102</v>
      </c>
      <c r="L495" t="s">
        <v>28</v>
      </c>
      <c r="M495" t="s">
        <v>29</v>
      </c>
      <c r="N495" t="s">
        <v>30</v>
      </c>
      <c r="O495" t="s">
        <v>31</v>
      </c>
      <c r="P495">
        <v>4</v>
      </c>
      <c r="Q495" t="b">
        <v>0</v>
      </c>
      <c r="R495" s="1">
        <v>45181.512499999997</v>
      </c>
      <c r="V495" s="2">
        <v>45181.512499999997</v>
      </c>
      <c r="W495">
        <v>9</v>
      </c>
      <c r="X495">
        <v>2023</v>
      </c>
      <c r="Y495" t="s">
        <v>52</v>
      </c>
      <c r="Z495">
        <v>4</v>
      </c>
    </row>
    <row r="496" spans="1:26" x14ac:dyDescent="0.45">
      <c r="A496">
        <v>2519</v>
      </c>
      <c r="B496">
        <v>1256</v>
      </c>
      <c r="C496" t="s">
        <v>466</v>
      </c>
      <c r="D496" t="s">
        <v>42</v>
      </c>
      <c r="E496">
        <v>31</v>
      </c>
      <c r="F496">
        <v>693</v>
      </c>
      <c r="G496" t="s">
        <v>467</v>
      </c>
      <c r="H496" t="s">
        <v>52</v>
      </c>
      <c r="I496" t="s">
        <v>150</v>
      </c>
      <c r="J496" t="s">
        <v>306</v>
      </c>
      <c r="K496" t="s">
        <v>66</v>
      </c>
      <c r="L496" t="s">
        <v>96</v>
      </c>
      <c r="M496" t="s">
        <v>97</v>
      </c>
      <c r="N496" t="s">
        <v>98</v>
      </c>
      <c r="O496" t="s">
        <v>99</v>
      </c>
      <c r="P496">
        <v>1</v>
      </c>
      <c r="Q496" t="b">
        <v>1</v>
      </c>
      <c r="R496" s="1">
        <v>43963.995138888888</v>
      </c>
      <c r="S496" s="1">
        <v>43967.807638888888</v>
      </c>
      <c r="T496" t="s">
        <v>40</v>
      </c>
      <c r="U496" t="b">
        <v>0</v>
      </c>
      <c r="V496" s="2">
        <v>43963.995138888888</v>
      </c>
      <c r="W496">
        <v>5</v>
      </c>
      <c r="X496">
        <v>2020</v>
      </c>
      <c r="Y496" t="s">
        <v>52</v>
      </c>
      <c r="Z496">
        <v>1</v>
      </c>
    </row>
    <row r="497" spans="1:26" x14ac:dyDescent="0.45">
      <c r="A497">
        <v>2520</v>
      </c>
      <c r="B497">
        <v>1366</v>
      </c>
      <c r="C497" t="s">
        <v>468</v>
      </c>
      <c r="D497" t="s">
        <v>22</v>
      </c>
      <c r="E497">
        <v>68</v>
      </c>
      <c r="F497">
        <v>757</v>
      </c>
      <c r="G497" t="s">
        <v>469</v>
      </c>
      <c r="H497" t="s">
        <v>85</v>
      </c>
      <c r="I497" t="s">
        <v>116</v>
      </c>
      <c r="J497" t="s">
        <v>330</v>
      </c>
      <c r="K497" t="s">
        <v>27</v>
      </c>
      <c r="L497" t="s">
        <v>28</v>
      </c>
      <c r="M497" t="s">
        <v>29</v>
      </c>
      <c r="N497" t="s">
        <v>30</v>
      </c>
      <c r="O497" t="s">
        <v>31</v>
      </c>
      <c r="P497">
        <v>5</v>
      </c>
      <c r="Q497" t="b">
        <v>1</v>
      </c>
      <c r="R497" s="1">
        <v>44728.091666666667</v>
      </c>
      <c r="S497" s="1">
        <v>44734.861111111109</v>
      </c>
      <c r="T497" t="s">
        <v>40</v>
      </c>
      <c r="U497" t="b">
        <v>0</v>
      </c>
      <c r="V497" s="2">
        <v>44728.091666666667</v>
      </c>
      <c r="W497">
        <v>6</v>
      </c>
      <c r="X497">
        <v>2022</v>
      </c>
      <c r="Y497" t="s">
        <v>85</v>
      </c>
      <c r="Z497">
        <v>5</v>
      </c>
    </row>
    <row r="498" spans="1:26" x14ac:dyDescent="0.45">
      <c r="A498">
        <v>2521</v>
      </c>
      <c r="B498">
        <v>1455</v>
      </c>
      <c r="C498" t="s">
        <v>470</v>
      </c>
      <c r="D498" t="s">
        <v>22</v>
      </c>
      <c r="E498">
        <v>62</v>
      </c>
      <c r="F498">
        <v>755</v>
      </c>
      <c r="G498" t="s">
        <v>471</v>
      </c>
      <c r="H498" t="s">
        <v>85</v>
      </c>
      <c r="I498" t="s">
        <v>116</v>
      </c>
      <c r="J498" t="s">
        <v>330</v>
      </c>
      <c r="K498" t="s">
        <v>46</v>
      </c>
      <c r="L498" t="s">
        <v>56</v>
      </c>
      <c r="M498" t="s">
        <v>57</v>
      </c>
      <c r="N498" t="s">
        <v>58</v>
      </c>
      <c r="O498" t="s">
        <v>59</v>
      </c>
      <c r="P498">
        <v>2</v>
      </c>
      <c r="Q498" t="b">
        <v>0</v>
      </c>
      <c r="R498" s="1">
        <v>44123.525694444441</v>
      </c>
      <c r="V498" s="2">
        <v>44123.525694444441</v>
      </c>
      <c r="W498">
        <v>10</v>
      </c>
      <c r="X498">
        <v>2020</v>
      </c>
      <c r="Y498" t="s">
        <v>85</v>
      </c>
      <c r="Z498">
        <v>2</v>
      </c>
    </row>
    <row r="499" spans="1:26" x14ac:dyDescent="0.45">
      <c r="A499">
        <v>2522</v>
      </c>
      <c r="B499">
        <v>1400</v>
      </c>
      <c r="C499" t="s">
        <v>472</v>
      </c>
      <c r="D499" t="s">
        <v>42</v>
      </c>
      <c r="E499">
        <v>53</v>
      </c>
      <c r="F499">
        <v>717</v>
      </c>
      <c r="G499" t="s">
        <v>473</v>
      </c>
      <c r="H499" t="s">
        <v>24</v>
      </c>
      <c r="I499" t="s">
        <v>44</v>
      </c>
      <c r="J499" t="s">
        <v>45</v>
      </c>
      <c r="K499" t="s">
        <v>55</v>
      </c>
      <c r="L499" t="s">
        <v>67</v>
      </c>
      <c r="M499" t="s">
        <v>108</v>
      </c>
      <c r="N499" t="s">
        <v>99</v>
      </c>
      <c r="O499" t="s">
        <v>30</v>
      </c>
      <c r="P499">
        <v>2</v>
      </c>
      <c r="Q499" t="b">
        <v>0</v>
      </c>
      <c r="R499" s="1">
        <v>44018.206250000003</v>
      </c>
      <c r="V499" s="2">
        <v>44018.206250000003</v>
      </c>
      <c r="W499">
        <v>7</v>
      </c>
      <c r="X499">
        <v>2020</v>
      </c>
      <c r="Y499" t="s">
        <v>24</v>
      </c>
      <c r="Z499">
        <v>2</v>
      </c>
    </row>
    <row r="500" spans="1:26" x14ac:dyDescent="0.45">
      <c r="A500">
        <v>2523</v>
      </c>
      <c r="B500">
        <v>1026</v>
      </c>
      <c r="C500" t="s">
        <v>474</v>
      </c>
      <c r="D500" t="s">
        <v>22</v>
      </c>
      <c r="E500">
        <v>18</v>
      </c>
      <c r="F500">
        <v>663</v>
      </c>
      <c r="G500" t="s">
        <v>475</v>
      </c>
      <c r="H500" t="s">
        <v>73</v>
      </c>
      <c r="I500" t="s">
        <v>74</v>
      </c>
      <c r="J500" t="s">
        <v>157</v>
      </c>
      <c r="K500" t="s">
        <v>102</v>
      </c>
      <c r="L500" t="s">
        <v>67</v>
      </c>
      <c r="M500" t="s">
        <v>165</v>
      </c>
      <c r="N500" t="s">
        <v>166</v>
      </c>
      <c r="O500" t="s">
        <v>167</v>
      </c>
      <c r="P500">
        <v>2</v>
      </c>
      <c r="Q500" t="b">
        <v>1</v>
      </c>
      <c r="R500" s="1">
        <v>44573.35833333333</v>
      </c>
      <c r="S500" s="1">
        <v>44575.307638888888</v>
      </c>
      <c r="T500" t="s">
        <v>109</v>
      </c>
      <c r="U500" t="b">
        <v>0</v>
      </c>
      <c r="V500" s="2">
        <v>44573.35833333333</v>
      </c>
      <c r="W500">
        <v>1</v>
      </c>
      <c r="X500">
        <v>2022</v>
      </c>
      <c r="Y500" t="s">
        <v>73</v>
      </c>
      <c r="Z500">
        <v>2</v>
      </c>
    </row>
    <row r="501" spans="1:26" x14ac:dyDescent="0.45">
      <c r="A501">
        <v>2524</v>
      </c>
      <c r="B501">
        <v>1211</v>
      </c>
      <c r="C501" t="s">
        <v>476</v>
      </c>
      <c r="D501" t="s">
        <v>42</v>
      </c>
      <c r="E501">
        <v>23</v>
      </c>
      <c r="F501">
        <v>641</v>
      </c>
      <c r="G501" t="s">
        <v>477</v>
      </c>
      <c r="H501" t="s">
        <v>35</v>
      </c>
      <c r="I501" t="s">
        <v>36</v>
      </c>
      <c r="J501" t="s">
        <v>123</v>
      </c>
      <c r="K501" t="s">
        <v>27</v>
      </c>
      <c r="L501" t="s">
        <v>96</v>
      </c>
      <c r="M501" t="s">
        <v>136</v>
      </c>
      <c r="N501" t="s">
        <v>30</v>
      </c>
      <c r="O501" t="s">
        <v>137</v>
      </c>
      <c r="P501">
        <v>1</v>
      </c>
      <c r="Q501" t="b">
        <v>1</v>
      </c>
      <c r="R501" s="1">
        <v>45030.373611111114</v>
      </c>
      <c r="S501" s="1">
        <v>45037.25</v>
      </c>
      <c r="T501" t="s">
        <v>40</v>
      </c>
      <c r="U501" t="b">
        <v>0</v>
      </c>
      <c r="V501" s="2">
        <v>45030.373611111114</v>
      </c>
      <c r="W501">
        <v>4</v>
      </c>
      <c r="X501">
        <v>2023</v>
      </c>
      <c r="Y501" t="s">
        <v>35</v>
      </c>
      <c r="Z501">
        <v>1</v>
      </c>
    </row>
    <row r="502" spans="1:26" x14ac:dyDescent="0.45">
      <c r="A502">
        <v>2525</v>
      </c>
      <c r="B502">
        <v>1079</v>
      </c>
      <c r="C502" t="s">
        <v>478</v>
      </c>
      <c r="D502" t="s">
        <v>22</v>
      </c>
      <c r="E502">
        <v>38</v>
      </c>
      <c r="F502">
        <v>686</v>
      </c>
      <c r="G502" t="s">
        <v>479</v>
      </c>
      <c r="H502" t="s">
        <v>24</v>
      </c>
      <c r="I502" t="s">
        <v>44</v>
      </c>
      <c r="J502" t="s">
        <v>225</v>
      </c>
      <c r="K502" t="s">
        <v>66</v>
      </c>
      <c r="L502" t="s">
        <v>56</v>
      </c>
      <c r="M502" t="s">
        <v>88</v>
      </c>
      <c r="N502" t="s">
        <v>89</v>
      </c>
      <c r="O502" t="s">
        <v>90</v>
      </c>
      <c r="P502">
        <v>1</v>
      </c>
      <c r="Q502" t="b">
        <v>1</v>
      </c>
      <c r="R502" s="1">
        <v>44570.373611111114</v>
      </c>
      <c r="S502" s="1">
        <v>44574.998611111114</v>
      </c>
      <c r="T502" t="s">
        <v>109</v>
      </c>
      <c r="U502" t="b">
        <v>0</v>
      </c>
      <c r="V502" s="2">
        <v>44570.373611111114</v>
      </c>
      <c r="W502">
        <v>1</v>
      </c>
      <c r="X502">
        <v>2022</v>
      </c>
      <c r="Y502" t="s">
        <v>24</v>
      </c>
      <c r="Z502">
        <v>1</v>
      </c>
    </row>
    <row r="503" spans="1:26" x14ac:dyDescent="0.45">
      <c r="A503">
        <v>2526</v>
      </c>
      <c r="B503">
        <v>1341</v>
      </c>
      <c r="C503" t="s">
        <v>480</v>
      </c>
      <c r="D503" t="s">
        <v>42</v>
      </c>
      <c r="E503">
        <v>40</v>
      </c>
      <c r="F503">
        <v>696</v>
      </c>
      <c r="G503" t="s">
        <v>481</v>
      </c>
      <c r="H503" t="s">
        <v>85</v>
      </c>
      <c r="I503" t="s">
        <v>86</v>
      </c>
      <c r="J503" t="s">
        <v>87</v>
      </c>
      <c r="K503" t="s">
        <v>66</v>
      </c>
      <c r="L503" t="s">
        <v>67</v>
      </c>
      <c r="M503" t="s">
        <v>108</v>
      </c>
      <c r="N503" t="s">
        <v>99</v>
      </c>
      <c r="O503" t="s">
        <v>30</v>
      </c>
      <c r="P503">
        <v>2</v>
      </c>
      <c r="Q503" t="b">
        <v>1</v>
      </c>
      <c r="R503" s="1">
        <v>44571.506249999999</v>
      </c>
      <c r="S503" s="1">
        <v>44574.859722222223</v>
      </c>
      <c r="T503" t="s">
        <v>32</v>
      </c>
      <c r="U503" t="b">
        <v>0</v>
      </c>
      <c r="V503" s="2">
        <v>44571.506249999999</v>
      </c>
      <c r="W503">
        <v>1</v>
      </c>
      <c r="X503">
        <v>2022</v>
      </c>
      <c r="Y503" t="s">
        <v>85</v>
      </c>
      <c r="Z503">
        <v>2</v>
      </c>
    </row>
    <row r="504" spans="1:26" x14ac:dyDescent="0.45">
      <c r="A504">
        <v>2527</v>
      </c>
      <c r="B504">
        <v>1408</v>
      </c>
      <c r="C504" t="s">
        <v>482</v>
      </c>
      <c r="D504" t="s">
        <v>42</v>
      </c>
      <c r="E504">
        <v>62</v>
      </c>
      <c r="F504">
        <v>752</v>
      </c>
      <c r="G504" t="s">
        <v>483</v>
      </c>
      <c r="H504" t="s">
        <v>172</v>
      </c>
      <c r="I504" t="s">
        <v>173</v>
      </c>
      <c r="J504" t="s">
        <v>423</v>
      </c>
      <c r="K504" t="s">
        <v>55</v>
      </c>
      <c r="L504" t="s">
        <v>76</v>
      </c>
      <c r="M504" t="s">
        <v>77</v>
      </c>
      <c r="N504" t="s">
        <v>78</v>
      </c>
      <c r="O504" t="s">
        <v>79</v>
      </c>
      <c r="P504">
        <v>1</v>
      </c>
      <c r="Q504" t="b">
        <v>1</v>
      </c>
      <c r="R504" s="1">
        <v>44646.84375</v>
      </c>
      <c r="S504" s="1">
        <v>44647.585416666669</v>
      </c>
      <c r="T504" t="s">
        <v>109</v>
      </c>
      <c r="U504" t="b">
        <v>0</v>
      </c>
      <c r="V504" s="2">
        <v>44646.84375</v>
      </c>
      <c r="W504">
        <v>3</v>
      </c>
      <c r="X504">
        <v>2022</v>
      </c>
      <c r="Y504" t="s">
        <v>172</v>
      </c>
      <c r="Z504">
        <v>1</v>
      </c>
    </row>
    <row r="505" spans="1:26" x14ac:dyDescent="0.45">
      <c r="A505">
        <v>2528</v>
      </c>
      <c r="B505">
        <v>1345</v>
      </c>
      <c r="C505" t="s">
        <v>484</v>
      </c>
      <c r="D505" t="s">
        <v>42</v>
      </c>
      <c r="E505">
        <v>46</v>
      </c>
      <c r="F505">
        <v>709</v>
      </c>
      <c r="G505" t="s">
        <v>485</v>
      </c>
      <c r="H505" t="s">
        <v>73</v>
      </c>
      <c r="I505" t="s">
        <v>74</v>
      </c>
      <c r="J505" t="s">
        <v>245</v>
      </c>
      <c r="K505" t="s">
        <v>66</v>
      </c>
      <c r="L505" t="s">
        <v>67</v>
      </c>
      <c r="M505" t="s">
        <v>108</v>
      </c>
      <c r="N505" t="s">
        <v>99</v>
      </c>
      <c r="O505" t="s">
        <v>30</v>
      </c>
      <c r="P505">
        <v>3</v>
      </c>
      <c r="Q505" t="b">
        <v>1</v>
      </c>
      <c r="R505" s="1">
        <v>44018.71875</v>
      </c>
      <c r="S505" s="1">
        <v>44024.584027777775</v>
      </c>
      <c r="T505" t="s">
        <v>32</v>
      </c>
      <c r="U505" t="b">
        <v>0</v>
      </c>
      <c r="V505" s="2">
        <v>44018.71875</v>
      </c>
      <c r="W505">
        <v>7</v>
      </c>
      <c r="X505">
        <v>2020</v>
      </c>
      <c r="Y505" t="s">
        <v>73</v>
      </c>
      <c r="Z505">
        <v>3</v>
      </c>
    </row>
    <row r="506" spans="1:26" x14ac:dyDescent="0.45">
      <c r="A506">
        <v>2529</v>
      </c>
      <c r="B506">
        <v>1003</v>
      </c>
      <c r="C506" t="s">
        <v>368</v>
      </c>
      <c r="D506" t="s">
        <v>42</v>
      </c>
      <c r="E506">
        <v>46</v>
      </c>
      <c r="F506">
        <v>708</v>
      </c>
      <c r="G506" t="s">
        <v>369</v>
      </c>
      <c r="H506" t="s">
        <v>35</v>
      </c>
      <c r="I506" t="s">
        <v>122</v>
      </c>
      <c r="J506" t="s">
        <v>123</v>
      </c>
      <c r="K506" t="s">
        <v>66</v>
      </c>
      <c r="L506" t="s">
        <v>28</v>
      </c>
      <c r="M506" t="s">
        <v>38</v>
      </c>
      <c r="N506" t="s">
        <v>31</v>
      </c>
      <c r="O506" t="s">
        <v>39</v>
      </c>
      <c r="P506">
        <v>1</v>
      </c>
      <c r="Q506" t="b">
        <v>1</v>
      </c>
      <c r="R506" s="1">
        <v>45170.380555555559</v>
      </c>
      <c r="S506" s="1">
        <v>45176.90625</v>
      </c>
      <c r="T506" t="s">
        <v>40</v>
      </c>
      <c r="U506" t="b">
        <v>0</v>
      </c>
      <c r="V506" s="2">
        <v>45170.380555555559</v>
      </c>
      <c r="W506">
        <v>9</v>
      </c>
      <c r="X506">
        <v>2023</v>
      </c>
      <c r="Y506" t="s">
        <v>35</v>
      </c>
      <c r="Z506">
        <v>1</v>
      </c>
    </row>
    <row r="507" spans="1:26" x14ac:dyDescent="0.45">
      <c r="A507">
        <v>2530</v>
      </c>
      <c r="B507">
        <v>1183</v>
      </c>
      <c r="C507" t="s">
        <v>486</v>
      </c>
      <c r="D507" t="s">
        <v>22</v>
      </c>
      <c r="E507">
        <v>25</v>
      </c>
      <c r="F507">
        <v>632</v>
      </c>
      <c r="G507" t="s">
        <v>487</v>
      </c>
      <c r="H507" t="s">
        <v>24</v>
      </c>
      <c r="I507" t="s">
        <v>44</v>
      </c>
      <c r="J507" t="s">
        <v>208</v>
      </c>
      <c r="K507" t="s">
        <v>37</v>
      </c>
      <c r="L507" t="s">
        <v>67</v>
      </c>
      <c r="M507" t="s">
        <v>165</v>
      </c>
      <c r="N507" t="s">
        <v>166</v>
      </c>
      <c r="O507" t="s">
        <v>167</v>
      </c>
      <c r="P507">
        <v>3</v>
      </c>
      <c r="Q507" t="b">
        <v>1</v>
      </c>
      <c r="R507" s="1">
        <v>44307.761805555558</v>
      </c>
      <c r="S507" s="1">
        <v>44310.5625</v>
      </c>
      <c r="T507" t="s">
        <v>109</v>
      </c>
      <c r="U507" t="b">
        <v>0</v>
      </c>
      <c r="V507" s="2">
        <v>44307.761805555558</v>
      </c>
      <c r="W507">
        <v>4</v>
      </c>
      <c r="X507">
        <v>2021</v>
      </c>
      <c r="Y507" t="s">
        <v>24</v>
      </c>
      <c r="Z507">
        <v>3</v>
      </c>
    </row>
    <row r="508" spans="1:26" x14ac:dyDescent="0.45">
      <c r="A508">
        <v>2531</v>
      </c>
      <c r="B508">
        <v>1035</v>
      </c>
      <c r="C508" t="s">
        <v>488</v>
      </c>
      <c r="D508" t="s">
        <v>42</v>
      </c>
      <c r="E508">
        <v>66</v>
      </c>
      <c r="F508">
        <v>758</v>
      </c>
      <c r="G508" t="s">
        <v>489</v>
      </c>
      <c r="H508" t="s">
        <v>172</v>
      </c>
      <c r="I508" t="s">
        <v>173</v>
      </c>
      <c r="J508" t="s">
        <v>174</v>
      </c>
      <c r="K508" t="s">
        <v>27</v>
      </c>
      <c r="L508" t="s">
        <v>56</v>
      </c>
      <c r="M508" t="s">
        <v>88</v>
      </c>
      <c r="N508" t="s">
        <v>89</v>
      </c>
      <c r="O508" t="s">
        <v>90</v>
      </c>
      <c r="P508">
        <v>1</v>
      </c>
      <c r="Q508" t="b">
        <v>1</v>
      </c>
      <c r="R508" s="1">
        <v>44657.931250000001</v>
      </c>
      <c r="S508" s="1">
        <v>44662.865972222222</v>
      </c>
      <c r="T508" t="s">
        <v>60</v>
      </c>
      <c r="U508" t="b">
        <v>0</v>
      </c>
      <c r="V508" s="2">
        <v>44657.931250000001</v>
      </c>
      <c r="W508">
        <v>4</v>
      </c>
      <c r="X508">
        <v>2022</v>
      </c>
      <c r="Y508" t="s">
        <v>172</v>
      </c>
      <c r="Z508">
        <v>1</v>
      </c>
    </row>
    <row r="509" spans="1:26" x14ac:dyDescent="0.45">
      <c r="A509">
        <v>2532</v>
      </c>
      <c r="B509">
        <v>1365</v>
      </c>
      <c r="C509" t="s">
        <v>490</v>
      </c>
      <c r="D509" t="s">
        <v>42</v>
      </c>
      <c r="E509">
        <v>59</v>
      </c>
      <c r="F509">
        <v>741</v>
      </c>
      <c r="G509" t="s">
        <v>491</v>
      </c>
      <c r="H509" t="s">
        <v>93</v>
      </c>
      <c r="I509" t="s">
        <v>94</v>
      </c>
      <c r="J509" t="s">
        <v>107</v>
      </c>
      <c r="K509" t="s">
        <v>102</v>
      </c>
      <c r="L509" t="s">
        <v>67</v>
      </c>
      <c r="M509" t="s">
        <v>68</v>
      </c>
      <c r="N509" t="s">
        <v>69</v>
      </c>
      <c r="O509" t="s">
        <v>70</v>
      </c>
      <c r="P509">
        <v>4</v>
      </c>
      <c r="Q509" t="b">
        <v>0</v>
      </c>
      <c r="R509" s="1">
        <v>43894.911111111112</v>
      </c>
      <c r="V509" s="2">
        <v>43894.911111111112</v>
      </c>
      <c r="W509">
        <v>3</v>
      </c>
      <c r="X509">
        <v>2020</v>
      </c>
      <c r="Y509" t="s">
        <v>93</v>
      </c>
      <c r="Z509">
        <v>4</v>
      </c>
    </row>
    <row r="510" spans="1:26" x14ac:dyDescent="0.45">
      <c r="A510">
        <v>2534</v>
      </c>
      <c r="B510">
        <v>1441</v>
      </c>
      <c r="C510" t="s">
        <v>492</v>
      </c>
      <c r="D510" t="s">
        <v>42</v>
      </c>
      <c r="E510">
        <v>42</v>
      </c>
      <c r="F510">
        <v>686</v>
      </c>
      <c r="G510" t="s">
        <v>493</v>
      </c>
      <c r="H510" t="s">
        <v>63</v>
      </c>
      <c r="I510" t="s">
        <v>64</v>
      </c>
      <c r="J510" t="s">
        <v>65</v>
      </c>
      <c r="K510" t="s">
        <v>55</v>
      </c>
      <c r="L510" t="s">
        <v>28</v>
      </c>
      <c r="M510" t="s">
        <v>38</v>
      </c>
      <c r="N510" t="s">
        <v>31</v>
      </c>
      <c r="O510" t="s">
        <v>39</v>
      </c>
      <c r="P510">
        <v>5</v>
      </c>
      <c r="Q510" t="b">
        <v>1</v>
      </c>
      <c r="R510" s="1">
        <v>43895.326388888891</v>
      </c>
      <c r="S510" s="1">
        <v>43897.130555555559</v>
      </c>
      <c r="T510" t="s">
        <v>109</v>
      </c>
      <c r="U510" t="b">
        <v>1</v>
      </c>
      <c r="V510" s="2">
        <v>43895.326388888891</v>
      </c>
      <c r="W510">
        <v>3</v>
      </c>
      <c r="X510">
        <v>2020</v>
      </c>
      <c r="Y510" t="s">
        <v>63</v>
      </c>
      <c r="Z510">
        <v>5</v>
      </c>
    </row>
    <row r="511" spans="1:26" x14ac:dyDescent="0.45">
      <c r="A511">
        <v>2535</v>
      </c>
      <c r="B511">
        <v>1159</v>
      </c>
      <c r="C511" t="s">
        <v>494</v>
      </c>
      <c r="D511" t="s">
        <v>42</v>
      </c>
      <c r="E511">
        <v>45</v>
      </c>
      <c r="F511">
        <v>713</v>
      </c>
      <c r="G511" t="s">
        <v>495</v>
      </c>
      <c r="H511" t="s">
        <v>35</v>
      </c>
      <c r="I511" t="s">
        <v>122</v>
      </c>
      <c r="J511" t="s">
        <v>123</v>
      </c>
      <c r="K511" t="s">
        <v>66</v>
      </c>
      <c r="L511" t="s">
        <v>56</v>
      </c>
      <c r="M511" t="s">
        <v>88</v>
      </c>
      <c r="N511" t="s">
        <v>89</v>
      </c>
      <c r="O511" t="s">
        <v>90</v>
      </c>
      <c r="P511">
        <v>5</v>
      </c>
      <c r="Q511" t="b">
        <v>1</v>
      </c>
      <c r="R511" s="1">
        <v>44381.5</v>
      </c>
      <c r="S511" s="1">
        <v>44386.455555555556</v>
      </c>
      <c r="T511" t="s">
        <v>32</v>
      </c>
      <c r="U511" t="b">
        <v>0</v>
      </c>
      <c r="V511" s="2">
        <v>44381.5</v>
      </c>
      <c r="W511">
        <v>7</v>
      </c>
      <c r="X511">
        <v>2021</v>
      </c>
      <c r="Y511" t="s">
        <v>35</v>
      </c>
      <c r="Z511">
        <v>5</v>
      </c>
    </row>
    <row r="512" spans="1:26" x14ac:dyDescent="0.45">
      <c r="A512">
        <v>2536</v>
      </c>
      <c r="B512">
        <v>1176</v>
      </c>
      <c r="C512" t="s">
        <v>496</v>
      </c>
      <c r="D512" t="s">
        <v>22</v>
      </c>
      <c r="E512">
        <v>30</v>
      </c>
      <c r="F512">
        <v>690</v>
      </c>
      <c r="G512" t="s">
        <v>497</v>
      </c>
      <c r="H512" t="s">
        <v>73</v>
      </c>
      <c r="I512" t="s">
        <v>140</v>
      </c>
      <c r="J512" t="s">
        <v>141</v>
      </c>
      <c r="K512" t="s">
        <v>55</v>
      </c>
      <c r="L512" t="s">
        <v>56</v>
      </c>
      <c r="M512" t="s">
        <v>88</v>
      </c>
      <c r="N512" t="s">
        <v>89</v>
      </c>
      <c r="O512" t="s">
        <v>90</v>
      </c>
      <c r="P512">
        <v>2</v>
      </c>
      <c r="Q512" t="b">
        <v>0</v>
      </c>
      <c r="R512" s="1">
        <v>44617.580555555556</v>
      </c>
      <c r="V512" s="2">
        <v>44617.580555555556</v>
      </c>
      <c r="W512">
        <v>2</v>
      </c>
      <c r="X512">
        <v>2022</v>
      </c>
      <c r="Y512" t="s">
        <v>73</v>
      </c>
      <c r="Z512">
        <v>2</v>
      </c>
    </row>
    <row r="513" spans="1:26" x14ac:dyDescent="0.45">
      <c r="A513">
        <v>2537</v>
      </c>
      <c r="B513">
        <v>1205</v>
      </c>
      <c r="C513" t="s">
        <v>395</v>
      </c>
      <c r="D513" t="s">
        <v>42</v>
      </c>
      <c r="E513">
        <v>27</v>
      </c>
      <c r="F513">
        <v>693</v>
      </c>
      <c r="G513" t="s">
        <v>396</v>
      </c>
      <c r="H513" t="s">
        <v>172</v>
      </c>
      <c r="I513" t="s">
        <v>177</v>
      </c>
      <c r="J513" t="s">
        <v>178</v>
      </c>
      <c r="K513" t="s">
        <v>55</v>
      </c>
      <c r="L513" t="s">
        <v>76</v>
      </c>
      <c r="M513" t="s">
        <v>160</v>
      </c>
      <c r="N513" t="s">
        <v>79</v>
      </c>
      <c r="O513" t="s">
        <v>161</v>
      </c>
      <c r="P513">
        <v>1</v>
      </c>
      <c r="Q513" t="b">
        <v>1</v>
      </c>
      <c r="R513" s="1">
        <v>44606.748611111114</v>
      </c>
      <c r="S513" s="1">
        <v>44607.378472222219</v>
      </c>
      <c r="T513" t="s">
        <v>40</v>
      </c>
      <c r="U513" t="b">
        <v>1</v>
      </c>
      <c r="V513" s="2">
        <v>44606.748611111114</v>
      </c>
      <c r="W513">
        <v>2</v>
      </c>
      <c r="X513">
        <v>2022</v>
      </c>
      <c r="Y513" t="s">
        <v>172</v>
      </c>
      <c r="Z513">
        <v>1</v>
      </c>
    </row>
    <row r="514" spans="1:26" x14ac:dyDescent="0.45">
      <c r="A514">
        <v>2538</v>
      </c>
      <c r="B514">
        <v>1396</v>
      </c>
      <c r="C514" t="s">
        <v>498</v>
      </c>
      <c r="D514" t="s">
        <v>42</v>
      </c>
      <c r="E514">
        <v>63</v>
      </c>
      <c r="F514">
        <v>754</v>
      </c>
      <c r="G514" t="s">
        <v>499</v>
      </c>
      <c r="H514" t="s">
        <v>63</v>
      </c>
      <c r="I514" t="s">
        <v>64</v>
      </c>
      <c r="J514" t="s">
        <v>281</v>
      </c>
      <c r="K514" t="s">
        <v>37</v>
      </c>
      <c r="L514" t="s">
        <v>67</v>
      </c>
      <c r="M514" t="s">
        <v>108</v>
      </c>
      <c r="N514" t="s">
        <v>99</v>
      </c>
      <c r="O514" t="s">
        <v>30</v>
      </c>
      <c r="P514">
        <v>4</v>
      </c>
      <c r="Q514" t="b">
        <v>1</v>
      </c>
      <c r="R514" s="1">
        <v>44820.52847222222</v>
      </c>
      <c r="S514" s="1">
        <v>44826.216666666667</v>
      </c>
      <c r="T514" t="s">
        <v>32</v>
      </c>
      <c r="U514" t="b">
        <v>0</v>
      </c>
      <c r="V514" s="2">
        <v>44820.52847222222</v>
      </c>
      <c r="W514">
        <v>9</v>
      </c>
      <c r="X514">
        <v>2022</v>
      </c>
      <c r="Y514" t="s">
        <v>63</v>
      </c>
      <c r="Z514">
        <v>4</v>
      </c>
    </row>
    <row r="515" spans="1:26" x14ac:dyDescent="0.45">
      <c r="A515">
        <v>2539</v>
      </c>
      <c r="B515">
        <v>1046</v>
      </c>
      <c r="C515" t="s">
        <v>500</v>
      </c>
      <c r="D515" t="s">
        <v>22</v>
      </c>
      <c r="E515">
        <v>43</v>
      </c>
      <c r="F515">
        <v>710</v>
      </c>
      <c r="G515" t="s">
        <v>501</v>
      </c>
      <c r="H515" t="s">
        <v>52</v>
      </c>
      <c r="I515" t="s">
        <v>53</v>
      </c>
      <c r="J515" t="s">
        <v>54</v>
      </c>
      <c r="K515" t="s">
        <v>66</v>
      </c>
      <c r="L515" t="s">
        <v>28</v>
      </c>
      <c r="M515" t="s">
        <v>142</v>
      </c>
      <c r="N515" t="s">
        <v>143</v>
      </c>
      <c r="O515" t="s">
        <v>144</v>
      </c>
      <c r="P515">
        <v>5</v>
      </c>
      <c r="Q515" t="b">
        <v>1</v>
      </c>
      <c r="R515" s="1">
        <v>44384.1875</v>
      </c>
      <c r="S515" s="1">
        <v>44387.392361111109</v>
      </c>
      <c r="T515" t="s">
        <v>40</v>
      </c>
      <c r="U515" t="b">
        <v>0</v>
      </c>
      <c r="V515" s="2">
        <v>44384.1875</v>
      </c>
      <c r="W515">
        <v>7</v>
      </c>
      <c r="X515">
        <v>2021</v>
      </c>
      <c r="Y515" t="s">
        <v>52</v>
      </c>
      <c r="Z515">
        <v>5</v>
      </c>
    </row>
    <row r="516" spans="1:26" x14ac:dyDescent="0.45">
      <c r="A516">
        <v>2540</v>
      </c>
      <c r="B516">
        <v>1254</v>
      </c>
      <c r="C516" t="s">
        <v>502</v>
      </c>
      <c r="D516" t="s">
        <v>42</v>
      </c>
      <c r="E516">
        <v>29</v>
      </c>
      <c r="F516">
        <v>690</v>
      </c>
      <c r="G516" t="s">
        <v>503</v>
      </c>
      <c r="H516" t="s">
        <v>24</v>
      </c>
      <c r="I516" t="s">
        <v>44</v>
      </c>
      <c r="J516" t="s">
        <v>208</v>
      </c>
      <c r="K516" t="s">
        <v>37</v>
      </c>
      <c r="L516" t="s">
        <v>67</v>
      </c>
      <c r="M516" t="s">
        <v>165</v>
      </c>
      <c r="N516" t="s">
        <v>166</v>
      </c>
      <c r="O516" t="s">
        <v>167</v>
      </c>
      <c r="P516">
        <v>5</v>
      </c>
      <c r="Q516" t="b">
        <v>0</v>
      </c>
      <c r="R516" s="1">
        <v>44779.520138888889</v>
      </c>
      <c r="V516" s="2">
        <v>44779.520138888889</v>
      </c>
      <c r="W516">
        <v>8</v>
      </c>
      <c r="X516">
        <v>2022</v>
      </c>
      <c r="Y516" t="s">
        <v>24</v>
      </c>
      <c r="Z516">
        <v>5</v>
      </c>
    </row>
    <row r="517" spans="1:26" x14ac:dyDescent="0.45">
      <c r="A517">
        <v>2541</v>
      </c>
      <c r="B517">
        <v>1418</v>
      </c>
      <c r="C517" t="s">
        <v>285</v>
      </c>
      <c r="D517" t="s">
        <v>22</v>
      </c>
      <c r="E517">
        <v>28</v>
      </c>
      <c r="F517">
        <v>682</v>
      </c>
      <c r="G517" t="s">
        <v>286</v>
      </c>
      <c r="H517" t="s">
        <v>35</v>
      </c>
      <c r="I517" t="s">
        <v>122</v>
      </c>
      <c r="J517" t="s">
        <v>135</v>
      </c>
      <c r="K517" t="s">
        <v>46</v>
      </c>
      <c r="L517" t="s">
        <v>76</v>
      </c>
      <c r="M517" t="s">
        <v>160</v>
      </c>
      <c r="N517" t="s">
        <v>79</v>
      </c>
      <c r="O517" t="s">
        <v>161</v>
      </c>
      <c r="P517">
        <v>2</v>
      </c>
      <c r="Q517" t="b">
        <v>1</v>
      </c>
      <c r="R517" s="1">
        <v>43985.706944444442</v>
      </c>
      <c r="S517" s="1">
        <v>43990.675694444442</v>
      </c>
      <c r="T517" t="s">
        <v>109</v>
      </c>
      <c r="U517" t="b">
        <v>0</v>
      </c>
      <c r="V517" s="2">
        <v>43985.706944444442</v>
      </c>
      <c r="W517">
        <v>6</v>
      </c>
      <c r="X517">
        <v>2020</v>
      </c>
      <c r="Y517" t="s">
        <v>35</v>
      </c>
      <c r="Z517">
        <v>2</v>
      </c>
    </row>
    <row r="518" spans="1:26" x14ac:dyDescent="0.45">
      <c r="A518">
        <v>2543</v>
      </c>
      <c r="B518">
        <v>1117</v>
      </c>
      <c r="C518" t="s">
        <v>243</v>
      </c>
      <c r="D518" t="s">
        <v>22</v>
      </c>
      <c r="E518">
        <v>53</v>
      </c>
      <c r="F518">
        <v>727</v>
      </c>
      <c r="G518" t="s">
        <v>244</v>
      </c>
      <c r="H518" t="s">
        <v>73</v>
      </c>
      <c r="I518" t="s">
        <v>74</v>
      </c>
      <c r="J518" t="s">
        <v>245</v>
      </c>
      <c r="K518" t="s">
        <v>27</v>
      </c>
      <c r="L518" t="s">
        <v>96</v>
      </c>
      <c r="M518" t="s">
        <v>136</v>
      </c>
      <c r="N518" t="s">
        <v>30</v>
      </c>
      <c r="O518" t="s">
        <v>137</v>
      </c>
      <c r="P518">
        <v>3</v>
      </c>
      <c r="Q518" t="b">
        <v>0</v>
      </c>
      <c r="R518" s="1">
        <v>45257.241666666669</v>
      </c>
      <c r="V518" s="2">
        <v>45257.241666666669</v>
      </c>
      <c r="W518">
        <v>11</v>
      </c>
      <c r="X518">
        <v>2023</v>
      </c>
      <c r="Y518" t="s">
        <v>73</v>
      </c>
      <c r="Z518">
        <v>3</v>
      </c>
    </row>
    <row r="519" spans="1:26" x14ac:dyDescent="0.45">
      <c r="A519">
        <v>2544</v>
      </c>
      <c r="B519">
        <v>1278</v>
      </c>
      <c r="C519" t="s">
        <v>61</v>
      </c>
      <c r="D519" t="s">
        <v>42</v>
      </c>
      <c r="E519">
        <v>18</v>
      </c>
      <c r="F519">
        <v>607</v>
      </c>
      <c r="G519" t="s">
        <v>62</v>
      </c>
      <c r="H519" t="s">
        <v>63</v>
      </c>
      <c r="I519" t="s">
        <v>64</v>
      </c>
      <c r="J519" t="s">
        <v>65</v>
      </c>
      <c r="K519" t="s">
        <v>46</v>
      </c>
      <c r="L519" t="s">
        <v>56</v>
      </c>
      <c r="M519" t="s">
        <v>179</v>
      </c>
      <c r="N519" t="s">
        <v>79</v>
      </c>
      <c r="O519" t="s">
        <v>161</v>
      </c>
      <c r="P519">
        <v>5</v>
      </c>
      <c r="Q519" t="b">
        <v>1</v>
      </c>
      <c r="R519" s="1">
        <v>44111.466666666667</v>
      </c>
      <c r="S519" s="1">
        <v>44113.570138888892</v>
      </c>
      <c r="T519" t="s">
        <v>40</v>
      </c>
      <c r="U519" t="b">
        <v>0</v>
      </c>
      <c r="V519" s="2">
        <v>44111.466666666667</v>
      </c>
      <c r="W519">
        <v>10</v>
      </c>
      <c r="X519">
        <v>2020</v>
      </c>
      <c r="Y519" t="s">
        <v>63</v>
      </c>
      <c r="Z519">
        <v>5</v>
      </c>
    </row>
    <row r="520" spans="1:26" x14ac:dyDescent="0.45">
      <c r="A520">
        <v>2545</v>
      </c>
      <c r="B520">
        <v>1166</v>
      </c>
      <c r="C520" t="s">
        <v>397</v>
      </c>
      <c r="D520" t="s">
        <v>22</v>
      </c>
      <c r="E520">
        <v>70</v>
      </c>
      <c r="F520">
        <v>754</v>
      </c>
      <c r="G520" t="s">
        <v>398</v>
      </c>
      <c r="H520" t="s">
        <v>172</v>
      </c>
      <c r="I520" t="s">
        <v>173</v>
      </c>
      <c r="J520" t="s">
        <v>399</v>
      </c>
      <c r="K520" t="s">
        <v>66</v>
      </c>
      <c r="L520" t="s">
        <v>56</v>
      </c>
      <c r="M520" t="s">
        <v>88</v>
      </c>
      <c r="N520" t="s">
        <v>89</v>
      </c>
      <c r="O520" t="s">
        <v>90</v>
      </c>
      <c r="P520">
        <v>2</v>
      </c>
      <c r="Q520" t="b">
        <v>1</v>
      </c>
      <c r="R520" s="1">
        <v>44652.575694444444</v>
      </c>
      <c r="S520" s="1">
        <v>44655.438888888886</v>
      </c>
      <c r="T520" t="s">
        <v>60</v>
      </c>
      <c r="U520" t="b">
        <v>0</v>
      </c>
      <c r="V520" s="2">
        <v>44652.575694444444</v>
      </c>
      <c r="W520">
        <v>4</v>
      </c>
      <c r="X520">
        <v>2022</v>
      </c>
      <c r="Y520" t="s">
        <v>172</v>
      </c>
      <c r="Z520">
        <v>2</v>
      </c>
    </row>
    <row r="521" spans="1:26" x14ac:dyDescent="0.45">
      <c r="A521">
        <v>2546</v>
      </c>
      <c r="B521">
        <v>1358</v>
      </c>
      <c r="C521" t="s">
        <v>504</v>
      </c>
      <c r="D521" t="s">
        <v>42</v>
      </c>
      <c r="E521">
        <v>40</v>
      </c>
      <c r="F521">
        <v>697</v>
      </c>
      <c r="G521" t="s">
        <v>505</v>
      </c>
      <c r="H521" t="s">
        <v>52</v>
      </c>
      <c r="I521" t="s">
        <v>150</v>
      </c>
      <c r="J521" t="s">
        <v>151</v>
      </c>
      <c r="K521" t="s">
        <v>66</v>
      </c>
      <c r="L521" t="s">
        <v>67</v>
      </c>
      <c r="M521" t="s">
        <v>68</v>
      </c>
      <c r="N521" t="s">
        <v>69</v>
      </c>
      <c r="O521" t="s">
        <v>70</v>
      </c>
      <c r="P521">
        <v>3</v>
      </c>
      <c r="Q521" t="b">
        <v>1</v>
      </c>
      <c r="R521" s="1">
        <v>44584.114583333336</v>
      </c>
      <c r="S521" s="1">
        <v>44590.429166666669</v>
      </c>
      <c r="T521" t="s">
        <v>60</v>
      </c>
      <c r="U521" t="b">
        <v>0</v>
      </c>
      <c r="V521" s="2">
        <v>44584.114583333336</v>
      </c>
      <c r="W521">
        <v>1</v>
      </c>
      <c r="X521">
        <v>2022</v>
      </c>
      <c r="Y521" t="s">
        <v>52</v>
      </c>
      <c r="Z521">
        <v>3</v>
      </c>
    </row>
    <row r="522" spans="1:26" x14ac:dyDescent="0.45">
      <c r="A522">
        <v>2547</v>
      </c>
      <c r="B522">
        <v>1435</v>
      </c>
      <c r="C522" t="s">
        <v>273</v>
      </c>
      <c r="D522" t="s">
        <v>22</v>
      </c>
      <c r="E522">
        <v>52</v>
      </c>
      <c r="F522">
        <v>715</v>
      </c>
      <c r="G522" t="s">
        <v>274</v>
      </c>
      <c r="H522" t="s">
        <v>172</v>
      </c>
      <c r="I522" t="s">
        <v>177</v>
      </c>
      <c r="J522" t="s">
        <v>178</v>
      </c>
      <c r="K522" t="s">
        <v>102</v>
      </c>
      <c r="L522" t="s">
        <v>96</v>
      </c>
      <c r="M522" t="s">
        <v>136</v>
      </c>
      <c r="N522" t="s">
        <v>30</v>
      </c>
      <c r="O522" t="s">
        <v>137</v>
      </c>
      <c r="P522">
        <v>1</v>
      </c>
      <c r="Q522" t="b">
        <v>1</v>
      </c>
      <c r="R522" s="1">
        <v>44250.085416666669</v>
      </c>
      <c r="S522" s="1">
        <v>44251.402777777781</v>
      </c>
      <c r="T522" t="s">
        <v>109</v>
      </c>
      <c r="U522" t="b">
        <v>1</v>
      </c>
      <c r="V522" s="2">
        <v>44250.085416666669</v>
      </c>
      <c r="W522">
        <v>2</v>
      </c>
      <c r="X522">
        <v>2021</v>
      </c>
      <c r="Y522" t="s">
        <v>172</v>
      </c>
      <c r="Z522">
        <v>1</v>
      </c>
    </row>
    <row r="523" spans="1:26" x14ac:dyDescent="0.45">
      <c r="A523">
        <v>2548</v>
      </c>
      <c r="B523">
        <v>1314</v>
      </c>
      <c r="C523" t="s">
        <v>506</v>
      </c>
      <c r="D523" t="s">
        <v>42</v>
      </c>
      <c r="E523">
        <v>54</v>
      </c>
      <c r="F523">
        <v>738</v>
      </c>
      <c r="G523" t="s">
        <v>507</v>
      </c>
      <c r="H523" t="s">
        <v>93</v>
      </c>
      <c r="I523" t="s">
        <v>94</v>
      </c>
      <c r="J523" t="s">
        <v>107</v>
      </c>
      <c r="K523" t="s">
        <v>46</v>
      </c>
      <c r="L523" t="s">
        <v>96</v>
      </c>
      <c r="M523" t="s">
        <v>97</v>
      </c>
      <c r="N523" t="s">
        <v>98</v>
      </c>
      <c r="O523" t="s">
        <v>99</v>
      </c>
      <c r="P523">
        <v>2</v>
      </c>
      <c r="Q523" t="b">
        <v>1</v>
      </c>
      <c r="R523" s="1">
        <v>45277.490277777775</v>
      </c>
      <c r="S523" s="1">
        <v>45282.763194444444</v>
      </c>
      <c r="T523" t="s">
        <v>60</v>
      </c>
      <c r="U523" t="b">
        <v>0</v>
      </c>
      <c r="V523" s="2">
        <v>45277.490277777775</v>
      </c>
      <c r="W523">
        <v>12</v>
      </c>
      <c r="X523">
        <v>2023</v>
      </c>
      <c r="Y523" t="s">
        <v>93</v>
      </c>
      <c r="Z523">
        <v>2</v>
      </c>
    </row>
    <row r="524" spans="1:26" x14ac:dyDescent="0.45">
      <c r="A524">
        <v>2549</v>
      </c>
      <c r="B524">
        <v>1161</v>
      </c>
      <c r="C524" t="s">
        <v>508</v>
      </c>
      <c r="D524" t="s">
        <v>22</v>
      </c>
      <c r="E524">
        <v>72</v>
      </c>
      <c r="F524">
        <v>759</v>
      </c>
      <c r="G524" t="s">
        <v>509</v>
      </c>
      <c r="H524" t="s">
        <v>85</v>
      </c>
      <c r="I524" t="s">
        <v>116</v>
      </c>
      <c r="J524" t="s">
        <v>154</v>
      </c>
      <c r="K524" t="s">
        <v>37</v>
      </c>
      <c r="L524" t="s">
        <v>28</v>
      </c>
      <c r="M524" t="s">
        <v>142</v>
      </c>
      <c r="N524" t="s">
        <v>143</v>
      </c>
      <c r="O524" t="s">
        <v>144</v>
      </c>
      <c r="P524">
        <v>5</v>
      </c>
      <c r="Q524" t="b">
        <v>0</v>
      </c>
      <c r="R524" s="1">
        <v>44207.761111111111</v>
      </c>
      <c r="V524" s="2">
        <v>44207.761111111111</v>
      </c>
      <c r="W524">
        <v>1</v>
      </c>
      <c r="X524">
        <v>2021</v>
      </c>
      <c r="Y524" t="s">
        <v>85</v>
      </c>
      <c r="Z524">
        <v>5</v>
      </c>
    </row>
    <row r="525" spans="1:26" x14ac:dyDescent="0.45">
      <c r="A525">
        <v>2550</v>
      </c>
      <c r="B525">
        <v>1100</v>
      </c>
      <c r="C525" t="s">
        <v>510</v>
      </c>
      <c r="D525" t="s">
        <v>42</v>
      </c>
      <c r="E525">
        <v>48</v>
      </c>
      <c r="F525">
        <v>734</v>
      </c>
      <c r="G525" t="s">
        <v>511</v>
      </c>
      <c r="H525" t="s">
        <v>93</v>
      </c>
      <c r="I525" t="s">
        <v>112</v>
      </c>
      <c r="J525" t="s">
        <v>147</v>
      </c>
      <c r="K525" t="s">
        <v>46</v>
      </c>
      <c r="L525" t="s">
        <v>56</v>
      </c>
      <c r="M525" t="s">
        <v>57</v>
      </c>
      <c r="N525" t="s">
        <v>58</v>
      </c>
      <c r="O525" t="s">
        <v>59</v>
      </c>
      <c r="P525">
        <v>1</v>
      </c>
      <c r="Q525" t="b">
        <v>1</v>
      </c>
      <c r="R525" s="1">
        <v>44439.011111111111</v>
      </c>
      <c r="S525" s="1">
        <v>44442.76666666667</v>
      </c>
      <c r="T525" t="s">
        <v>32</v>
      </c>
      <c r="U525" t="b">
        <v>0</v>
      </c>
      <c r="V525" s="2">
        <v>44439.011111111111</v>
      </c>
      <c r="W525">
        <v>8</v>
      </c>
      <c r="X525">
        <v>2021</v>
      </c>
      <c r="Y525" t="s">
        <v>93</v>
      </c>
      <c r="Z525">
        <v>1</v>
      </c>
    </row>
    <row r="526" spans="1:26" x14ac:dyDescent="0.45">
      <c r="A526">
        <v>2551</v>
      </c>
      <c r="B526">
        <v>1255</v>
      </c>
      <c r="C526" t="s">
        <v>455</v>
      </c>
      <c r="D526" t="s">
        <v>22</v>
      </c>
      <c r="E526">
        <v>32</v>
      </c>
      <c r="F526">
        <v>691</v>
      </c>
      <c r="G526" t="s">
        <v>456</v>
      </c>
      <c r="H526" t="s">
        <v>172</v>
      </c>
      <c r="I526" t="s">
        <v>173</v>
      </c>
      <c r="J526" t="s">
        <v>423</v>
      </c>
      <c r="K526" t="s">
        <v>102</v>
      </c>
      <c r="L526" t="s">
        <v>56</v>
      </c>
      <c r="M526" t="s">
        <v>88</v>
      </c>
      <c r="N526" t="s">
        <v>89</v>
      </c>
      <c r="O526" t="s">
        <v>90</v>
      </c>
      <c r="P526">
        <v>1</v>
      </c>
      <c r="Q526" t="b">
        <v>1</v>
      </c>
      <c r="R526" s="1">
        <v>44503.134722222225</v>
      </c>
      <c r="S526" s="1">
        <v>44504.647222222222</v>
      </c>
      <c r="T526" t="s">
        <v>32</v>
      </c>
      <c r="U526" t="b">
        <v>0</v>
      </c>
      <c r="V526" s="2">
        <v>44503.134722222225</v>
      </c>
      <c r="W526">
        <v>11</v>
      </c>
      <c r="X526">
        <v>2021</v>
      </c>
      <c r="Y526" t="s">
        <v>172</v>
      </c>
      <c r="Z526">
        <v>1</v>
      </c>
    </row>
    <row r="527" spans="1:26" x14ac:dyDescent="0.45">
      <c r="A527">
        <v>2552</v>
      </c>
      <c r="B527">
        <v>1272</v>
      </c>
      <c r="C527" t="s">
        <v>512</v>
      </c>
      <c r="D527" t="s">
        <v>42</v>
      </c>
      <c r="E527">
        <v>49</v>
      </c>
      <c r="F527">
        <v>734</v>
      </c>
      <c r="G527" t="s">
        <v>513</v>
      </c>
      <c r="H527" t="s">
        <v>63</v>
      </c>
      <c r="I527" t="s">
        <v>300</v>
      </c>
      <c r="J527" t="s">
        <v>514</v>
      </c>
      <c r="K527" t="s">
        <v>102</v>
      </c>
      <c r="L527" t="s">
        <v>96</v>
      </c>
      <c r="M527" t="s">
        <v>136</v>
      </c>
      <c r="N527" t="s">
        <v>30</v>
      </c>
      <c r="O527" t="s">
        <v>137</v>
      </c>
      <c r="P527">
        <v>5</v>
      </c>
      <c r="Q527" t="b">
        <v>1</v>
      </c>
      <c r="R527" s="1">
        <v>44398.834722222222</v>
      </c>
      <c r="S527" s="1">
        <v>44402.243750000001</v>
      </c>
      <c r="T527" t="s">
        <v>32</v>
      </c>
      <c r="U527" t="b">
        <v>0</v>
      </c>
      <c r="V527" s="2">
        <v>44398.834722222222</v>
      </c>
      <c r="W527">
        <v>7</v>
      </c>
      <c r="X527">
        <v>2021</v>
      </c>
      <c r="Y527" t="s">
        <v>63</v>
      </c>
      <c r="Z527">
        <v>5</v>
      </c>
    </row>
    <row r="528" spans="1:26" x14ac:dyDescent="0.45">
      <c r="A528">
        <v>2553</v>
      </c>
      <c r="B528">
        <v>1483</v>
      </c>
      <c r="C528" t="s">
        <v>515</v>
      </c>
      <c r="D528" t="s">
        <v>22</v>
      </c>
      <c r="E528">
        <v>61</v>
      </c>
      <c r="F528">
        <v>751</v>
      </c>
      <c r="G528" t="s">
        <v>516</v>
      </c>
      <c r="H528" t="s">
        <v>24</v>
      </c>
      <c r="I528" t="s">
        <v>25</v>
      </c>
      <c r="J528" t="s">
        <v>188</v>
      </c>
      <c r="K528" t="s">
        <v>37</v>
      </c>
      <c r="L528" t="s">
        <v>56</v>
      </c>
      <c r="M528" t="s">
        <v>88</v>
      </c>
      <c r="N528" t="s">
        <v>89</v>
      </c>
      <c r="O528" t="s">
        <v>90</v>
      </c>
      <c r="P528">
        <v>2</v>
      </c>
      <c r="Q528" t="b">
        <v>1</v>
      </c>
      <c r="R528" s="1">
        <v>44445.688194444447</v>
      </c>
      <c r="S528" s="1">
        <v>44449.555555555555</v>
      </c>
      <c r="T528" t="s">
        <v>109</v>
      </c>
      <c r="U528" t="b">
        <v>0</v>
      </c>
      <c r="V528" s="2">
        <v>44445.688194444447</v>
      </c>
      <c r="W528">
        <v>9</v>
      </c>
      <c r="X528">
        <v>2021</v>
      </c>
      <c r="Y528" t="s">
        <v>24</v>
      </c>
      <c r="Z528">
        <v>2</v>
      </c>
    </row>
    <row r="529" spans="1:26" x14ac:dyDescent="0.45">
      <c r="A529">
        <v>2554</v>
      </c>
      <c r="B529">
        <v>1421</v>
      </c>
      <c r="C529" t="s">
        <v>517</v>
      </c>
      <c r="D529" t="s">
        <v>22</v>
      </c>
      <c r="E529">
        <v>74</v>
      </c>
      <c r="F529">
        <v>760</v>
      </c>
      <c r="G529" t="s">
        <v>518</v>
      </c>
      <c r="H529" t="s">
        <v>63</v>
      </c>
      <c r="I529" t="s">
        <v>64</v>
      </c>
      <c r="J529" t="s">
        <v>164</v>
      </c>
      <c r="K529" t="s">
        <v>46</v>
      </c>
      <c r="L529" t="s">
        <v>67</v>
      </c>
      <c r="M529" t="s">
        <v>165</v>
      </c>
      <c r="N529" t="s">
        <v>166</v>
      </c>
      <c r="O529" t="s">
        <v>167</v>
      </c>
      <c r="P529">
        <v>1</v>
      </c>
      <c r="Q529" t="b">
        <v>0</v>
      </c>
      <c r="R529" s="1">
        <v>44227.943055555559</v>
      </c>
      <c r="V529" s="2">
        <v>44227.943055555559</v>
      </c>
      <c r="W529">
        <v>1</v>
      </c>
      <c r="X529">
        <v>2021</v>
      </c>
      <c r="Y529" t="s">
        <v>63</v>
      </c>
      <c r="Z529">
        <v>1</v>
      </c>
    </row>
    <row r="530" spans="1:26" x14ac:dyDescent="0.45">
      <c r="A530">
        <v>2555</v>
      </c>
      <c r="B530">
        <v>1332</v>
      </c>
      <c r="C530" t="s">
        <v>406</v>
      </c>
      <c r="D530" t="s">
        <v>22</v>
      </c>
      <c r="E530">
        <v>33</v>
      </c>
      <c r="F530">
        <v>699</v>
      </c>
      <c r="G530" t="s">
        <v>407</v>
      </c>
      <c r="H530" t="s">
        <v>129</v>
      </c>
      <c r="I530" t="s">
        <v>130</v>
      </c>
      <c r="J530" t="s">
        <v>131</v>
      </c>
      <c r="K530" t="s">
        <v>37</v>
      </c>
      <c r="L530" t="s">
        <v>28</v>
      </c>
      <c r="M530" t="s">
        <v>29</v>
      </c>
      <c r="N530" t="s">
        <v>30</v>
      </c>
      <c r="O530" t="s">
        <v>31</v>
      </c>
      <c r="P530">
        <v>1</v>
      </c>
      <c r="Q530" t="b">
        <v>1</v>
      </c>
      <c r="R530" s="1">
        <v>44866.906944444447</v>
      </c>
      <c r="S530" s="1">
        <v>44871.1</v>
      </c>
      <c r="T530" t="s">
        <v>40</v>
      </c>
      <c r="U530" t="b">
        <v>0</v>
      </c>
      <c r="V530" s="2">
        <v>44866.906944444447</v>
      </c>
      <c r="W530">
        <v>11</v>
      </c>
      <c r="X530">
        <v>2022</v>
      </c>
      <c r="Y530" t="s">
        <v>129</v>
      </c>
      <c r="Z530">
        <v>1</v>
      </c>
    </row>
    <row r="531" spans="1:26" x14ac:dyDescent="0.45">
      <c r="A531">
        <v>2556</v>
      </c>
      <c r="B531">
        <v>1074</v>
      </c>
      <c r="C531" t="s">
        <v>519</v>
      </c>
      <c r="D531" t="s">
        <v>22</v>
      </c>
      <c r="E531">
        <v>46</v>
      </c>
      <c r="F531">
        <v>732</v>
      </c>
      <c r="G531" t="s">
        <v>520</v>
      </c>
      <c r="H531" t="s">
        <v>172</v>
      </c>
      <c r="I531" t="s">
        <v>177</v>
      </c>
      <c r="J531" t="s">
        <v>356</v>
      </c>
      <c r="K531" t="s">
        <v>37</v>
      </c>
      <c r="L531" t="s">
        <v>96</v>
      </c>
      <c r="M531" t="s">
        <v>118</v>
      </c>
      <c r="N531" t="s">
        <v>90</v>
      </c>
      <c r="O531" t="s">
        <v>119</v>
      </c>
      <c r="P531">
        <v>5</v>
      </c>
      <c r="Q531" t="b">
        <v>1</v>
      </c>
      <c r="R531" s="1">
        <v>44937.538888888892</v>
      </c>
      <c r="S531" s="1">
        <v>44940.966666666667</v>
      </c>
      <c r="T531" t="s">
        <v>32</v>
      </c>
      <c r="U531" t="b">
        <v>0</v>
      </c>
      <c r="V531" s="2">
        <v>44937.538888888892</v>
      </c>
      <c r="W531">
        <v>1</v>
      </c>
      <c r="X531">
        <v>2023</v>
      </c>
      <c r="Y531" t="s">
        <v>172</v>
      </c>
      <c r="Z531">
        <v>5</v>
      </c>
    </row>
    <row r="532" spans="1:26" x14ac:dyDescent="0.45">
      <c r="A532">
        <v>2557</v>
      </c>
      <c r="B532">
        <v>1185</v>
      </c>
      <c r="C532" t="s">
        <v>248</v>
      </c>
      <c r="D532" t="s">
        <v>22</v>
      </c>
      <c r="E532">
        <v>49</v>
      </c>
      <c r="F532">
        <v>701</v>
      </c>
      <c r="G532" t="s">
        <v>249</v>
      </c>
      <c r="H532" t="s">
        <v>35</v>
      </c>
      <c r="I532" t="s">
        <v>36</v>
      </c>
      <c r="J532" t="s">
        <v>36</v>
      </c>
      <c r="K532" t="s">
        <v>55</v>
      </c>
      <c r="L532" t="s">
        <v>96</v>
      </c>
      <c r="M532" t="s">
        <v>97</v>
      </c>
      <c r="N532" t="s">
        <v>98</v>
      </c>
      <c r="O532" t="s">
        <v>99</v>
      </c>
      <c r="P532">
        <v>4</v>
      </c>
      <c r="Q532" t="b">
        <v>1</v>
      </c>
      <c r="R532" s="1">
        <v>45092.17083333333</v>
      </c>
      <c r="S532" s="1">
        <v>45094.697222222225</v>
      </c>
      <c r="T532" t="s">
        <v>32</v>
      </c>
      <c r="U532" t="b">
        <v>1</v>
      </c>
      <c r="V532" s="2">
        <v>45092.17083333333</v>
      </c>
      <c r="W532">
        <v>6</v>
      </c>
      <c r="X532">
        <v>2023</v>
      </c>
      <c r="Y532" t="s">
        <v>35</v>
      </c>
      <c r="Z532">
        <v>4</v>
      </c>
    </row>
    <row r="533" spans="1:26" x14ac:dyDescent="0.45">
      <c r="A533">
        <v>2558</v>
      </c>
      <c r="B533">
        <v>1167</v>
      </c>
      <c r="C533" t="s">
        <v>521</v>
      </c>
      <c r="D533" t="s">
        <v>22</v>
      </c>
      <c r="E533">
        <v>45</v>
      </c>
      <c r="F533">
        <v>736</v>
      </c>
      <c r="G533" t="s">
        <v>522</v>
      </c>
      <c r="H533" t="s">
        <v>129</v>
      </c>
      <c r="I533" t="s">
        <v>130</v>
      </c>
      <c r="J533" t="s">
        <v>131</v>
      </c>
      <c r="K533" t="s">
        <v>46</v>
      </c>
      <c r="L533" t="s">
        <v>67</v>
      </c>
      <c r="M533" t="s">
        <v>165</v>
      </c>
      <c r="N533" t="s">
        <v>166</v>
      </c>
      <c r="O533" t="s">
        <v>167</v>
      </c>
      <c r="P533">
        <v>4</v>
      </c>
      <c r="Q533" t="b">
        <v>1</v>
      </c>
      <c r="R533" s="1">
        <v>43910.052083333336</v>
      </c>
      <c r="S533" s="1">
        <v>43913.082638888889</v>
      </c>
      <c r="T533" t="s">
        <v>32</v>
      </c>
      <c r="U533" t="b">
        <v>0</v>
      </c>
      <c r="V533" s="2">
        <v>43910.052083333336</v>
      </c>
      <c r="W533">
        <v>3</v>
      </c>
      <c r="X533">
        <v>2020</v>
      </c>
      <c r="Y533" t="s">
        <v>129</v>
      </c>
      <c r="Z533">
        <v>4</v>
      </c>
    </row>
    <row r="534" spans="1:26" x14ac:dyDescent="0.45">
      <c r="A534">
        <v>2559</v>
      </c>
      <c r="B534">
        <v>1335</v>
      </c>
      <c r="C534" t="s">
        <v>523</v>
      </c>
      <c r="D534" t="s">
        <v>42</v>
      </c>
      <c r="E534">
        <v>51</v>
      </c>
      <c r="F534">
        <v>736</v>
      </c>
      <c r="G534" t="s">
        <v>524</v>
      </c>
      <c r="H534" t="s">
        <v>85</v>
      </c>
      <c r="I534" t="s">
        <v>116</v>
      </c>
      <c r="J534" t="s">
        <v>154</v>
      </c>
      <c r="K534" t="s">
        <v>102</v>
      </c>
      <c r="L534" t="s">
        <v>76</v>
      </c>
      <c r="M534" t="s">
        <v>132</v>
      </c>
      <c r="N534" t="s">
        <v>59</v>
      </c>
      <c r="O534" t="s">
        <v>98</v>
      </c>
      <c r="P534">
        <v>4</v>
      </c>
      <c r="Q534" t="b">
        <v>1</v>
      </c>
      <c r="R534" s="1">
        <v>44085.060416666667</v>
      </c>
      <c r="S534" s="1">
        <v>44089.056944444441</v>
      </c>
      <c r="T534" t="s">
        <v>32</v>
      </c>
      <c r="U534" t="b">
        <v>0</v>
      </c>
      <c r="V534" s="2">
        <v>44085.060416666667</v>
      </c>
      <c r="W534">
        <v>9</v>
      </c>
      <c r="X534">
        <v>2020</v>
      </c>
      <c r="Y534" t="s">
        <v>85</v>
      </c>
      <c r="Z534">
        <v>4</v>
      </c>
    </row>
    <row r="535" spans="1:26" x14ac:dyDescent="0.45">
      <c r="A535">
        <v>2560</v>
      </c>
      <c r="B535">
        <v>1448</v>
      </c>
      <c r="C535" t="s">
        <v>525</v>
      </c>
      <c r="D535" t="s">
        <v>22</v>
      </c>
      <c r="E535">
        <v>43</v>
      </c>
      <c r="F535">
        <v>732</v>
      </c>
      <c r="G535" t="s">
        <v>526</v>
      </c>
      <c r="H535" t="s">
        <v>24</v>
      </c>
      <c r="I535" t="s">
        <v>44</v>
      </c>
      <c r="J535" t="s">
        <v>208</v>
      </c>
      <c r="K535" t="s">
        <v>27</v>
      </c>
      <c r="L535" t="s">
        <v>56</v>
      </c>
      <c r="M535" t="s">
        <v>88</v>
      </c>
      <c r="N535" t="s">
        <v>89</v>
      </c>
      <c r="O535" t="s">
        <v>90</v>
      </c>
      <c r="P535">
        <v>4</v>
      </c>
      <c r="Q535" t="b">
        <v>0</v>
      </c>
      <c r="R535" s="1">
        <v>45165.734027777777</v>
      </c>
      <c r="V535" s="2">
        <v>45165.734027777777</v>
      </c>
      <c r="W535">
        <v>8</v>
      </c>
      <c r="X535">
        <v>2023</v>
      </c>
      <c r="Y535" t="s">
        <v>24</v>
      </c>
      <c r="Z535">
        <v>4</v>
      </c>
    </row>
    <row r="536" spans="1:26" x14ac:dyDescent="0.45">
      <c r="A536">
        <v>2561</v>
      </c>
      <c r="B536">
        <v>1388</v>
      </c>
      <c r="C536" t="s">
        <v>527</v>
      </c>
      <c r="D536" t="s">
        <v>22</v>
      </c>
      <c r="E536">
        <v>18</v>
      </c>
      <c r="F536">
        <v>627</v>
      </c>
      <c r="G536" t="s">
        <v>528</v>
      </c>
      <c r="H536" t="s">
        <v>52</v>
      </c>
      <c r="I536" t="s">
        <v>53</v>
      </c>
      <c r="J536" t="s">
        <v>196</v>
      </c>
      <c r="K536" t="s">
        <v>46</v>
      </c>
      <c r="L536" t="s">
        <v>28</v>
      </c>
      <c r="M536" t="s">
        <v>142</v>
      </c>
      <c r="N536" t="s">
        <v>143</v>
      </c>
      <c r="O536" t="s">
        <v>144</v>
      </c>
      <c r="P536">
        <v>1</v>
      </c>
      <c r="Q536" t="b">
        <v>1</v>
      </c>
      <c r="R536" s="1">
        <v>44824.824999999997</v>
      </c>
      <c r="S536" s="1">
        <v>44831.666666666664</v>
      </c>
      <c r="T536" t="s">
        <v>60</v>
      </c>
      <c r="U536" t="b">
        <v>0</v>
      </c>
      <c r="V536" s="2">
        <v>44824.824999999997</v>
      </c>
      <c r="W536">
        <v>9</v>
      </c>
      <c r="X536">
        <v>2022</v>
      </c>
      <c r="Y536" t="s">
        <v>52</v>
      </c>
      <c r="Z536">
        <v>1</v>
      </c>
    </row>
    <row r="537" spans="1:26" x14ac:dyDescent="0.45">
      <c r="A537">
        <v>2562</v>
      </c>
      <c r="B537">
        <v>1149</v>
      </c>
      <c r="C537" t="s">
        <v>529</v>
      </c>
      <c r="D537" t="s">
        <v>22</v>
      </c>
      <c r="E537">
        <v>20</v>
      </c>
      <c r="F537">
        <v>633</v>
      </c>
      <c r="G537" t="s">
        <v>530</v>
      </c>
      <c r="H537" t="s">
        <v>93</v>
      </c>
      <c r="I537" t="s">
        <v>112</v>
      </c>
      <c r="J537" t="s">
        <v>113</v>
      </c>
      <c r="K537" t="s">
        <v>37</v>
      </c>
      <c r="L537" t="s">
        <v>56</v>
      </c>
      <c r="M537" t="s">
        <v>197</v>
      </c>
      <c r="N537" t="s">
        <v>198</v>
      </c>
      <c r="O537" t="s">
        <v>199</v>
      </c>
      <c r="P537">
        <v>5</v>
      </c>
      <c r="Q537" t="b">
        <v>1</v>
      </c>
      <c r="R537" s="1">
        <v>44041.619444444441</v>
      </c>
      <c r="S537" s="1">
        <v>44043.324305555558</v>
      </c>
      <c r="T537" t="s">
        <v>32</v>
      </c>
      <c r="U537" t="b">
        <v>0</v>
      </c>
      <c r="V537" s="2">
        <v>44041.619444444441</v>
      </c>
      <c r="W537">
        <v>7</v>
      </c>
      <c r="X537">
        <v>2020</v>
      </c>
      <c r="Y537" t="s">
        <v>93</v>
      </c>
      <c r="Z537">
        <v>5</v>
      </c>
    </row>
    <row r="538" spans="1:26" x14ac:dyDescent="0.45">
      <c r="A538">
        <v>2563</v>
      </c>
      <c r="B538">
        <v>1071</v>
      </c>
      <c r="C538" t="s">
        <v>531</v>
      </c>
      <c r="D538" t="s">
        <v>42</v>
      </c>
      <c r="E538">
        <v>54</v>
      </c>
      <c r="F538">
        <v>729</v>
      </c>
      <c r="G538" t="s">
        <v>532</v>
      </c>
      <c r="H538" t="s">
        <v>63</v>
      </c>
      <c r="I538" t="s">
        <v>64</v>
      </c>
      <c r="J538" t="s">
        <v>281</v>
      </c>
      <c r="K538" t="s">
        <v>55</v>
      </c>
      <c r="L538" t="s">
        <v>76</v>
      </c>
      <c r="M538" t="s">
        <v>77</v>
      </c>
      <c r="N538" t="s">
        <v>78</v>
      </c>
      <c r="O538" t="s">
        <v>79</v>
      </c>
      <c r="P538">
        <v>3</v>
      </c>
      <c r="Q538" t="b">
        <v>0</v>
      </c>
      <c r="R538" s="1">
        <v>44808.595138888886</v>
      </c>
      <c r="V538" s="2">
        <v>44808.595138888886</v>
      </c>
      <c r="W538">
        <v>9</v>
      </c>
      <c r="X538">
        <v>2022</v>
      </c>
      <c r="Y538" t="s">
        <v>63</v>
      </c>
      <c r="Z538">
        <v>3</v>
      </c>
    </row>
    <row r="539" spans="1:26" x14ac:dyDescent="0.45">
      <c r="A539">
        <v>2564</v>
      </c>
      <c r="B539">
        <v>1472</v>
      </c>
      <c r="C539" t="s">
        <v>209</v>
      </c>
      <c r="D539" t="s">
        <v>42</v>
      </c>
      <c r="E539">
        <v>46</v>
      </c>
      <c r="F539">
        <v>733</v>
      </c>
      <c r="G539" t="s">
        <v>210</v>
      </c>
      <c r="H539" t="s">
        <v>63</v>
      </c>
      <c r="I539" t="s">
        <v>64</v>
      </c>
      <c r="J539" t="s">
        <v>164</v>
      </c>
      <c r="K539" t="s">
        <v>46</v>
      </c>
      <c r="L539" t="s">
        <v>28</v>
      </c>
      <c r="M539" t="s">
        <v>29</v>
      </c>
      <c r="N539" t="s">
        <v>30</v>
      </c>
      <c r="O539" t="s">
        <v>31</v>
      </c>
      <c r="P539">
        <v>5</v>
      </c>
      <c r="Q539" t="b">
        <v>1</v>
      </c>
      <c r="R539" s="1">
        <v>44219.8125</v>
      </c>
      <c r="S539" s="1">
        <v>44225.592361111114</v>
      </c>
      <c r="T539" t="s">
        <v>32</v>
      </c>
      <c r="U539" t="b">
        <v>0</v>
      </c>
      <c r="V539" s="2">
        <v>44219.8125</v>
      </c>
      <c r="W539">
        <v>1</v>
      </c>
      <c r="X539">
        <v>2021</v>
      </c>
      <c r="Y539" t="s">
        <v>63</v>
      </c>
      <c r="Z539">
        <v>5</v>
      </c>
    </row>
    <row r="540" spans="1:26" x14ac:dyDescent="0.45">
      <c r="A540">
        <v>2565</v>
      </c>
      <c r="B540">
        <v>1497</v>
      </c>
      <c r="C540" t="s">
        <v>533</v>
      </c>
      <c r="D540" t="s">
        <v>22</v>
      </c>
      <c r="E540">
        <v>23</v>
      </c>
      <c r="F540">
        <v>625</v>
      </c>
      <c r="G540" t="s">
        <v>534</v>
      </c>
      <c r="H540" t="s">
        <v>85</v>
      </c>
      <c r="I540" t="s">
        <v>86</v>
      </c>
      <c r="J540" t="s">
        <v>182</v>
      </c>
      <c r="K540" t="s">
        <v>66</v>
      </c>
      <c r="L540" t="s">
        <v>56</v>
      </c>
      <c r="M540" t="s">
        <v>197</v>
      </c>
      <c r="N540" t="s">
        <v>198</v>
      </c>
      <c r="O540" t="s">
        <v>199</v>
      </c>
      <c r="P540">
        <v>1</v>
      </c>
      <c r="Q540" t="b">
        <v>1</v>
      </c>
      <c r="R540" s="1">
        <v>44936.43472222222</v>
      </c>
      <c r="S540" s="1">
        <v>44941.54791666667</v>
      </c>
      <c r="T540" t="s">
        <v>109</v>
      </c>
      <c r="U540" t="b">
        <v>0</v>
      </c>
      <c r="V540" s="2">
        <v>44936.43472222222</v>
      </c>
      <c r="W540">
        <v>1</v>
      </c>
      <c r="X540">
        <v>2023</v>
      </c>
      <c r="Y540" t="s">
        <v>85</v>
      </c>
      <c r="Z540">
        <v>1</v>
      </c>
    </row>
    <row r="541" spans="1:26" x14ac:dyDescent="0.45">
      <c r="A541">
        <v>2566</v>
      </c>
      <c r="B541">
        <v>1345</v>
      </c>
      <c r="C541" t="s">
        <v>484</v>
      </c>
      <c r="D541" t="s">
        <v>42</v>
      </c>
      <c r="E541">
        <v>46</v>
      </c>
      <c r="F541">
        <v>709</v>
      </c>
      <c r="G541" t="s">
        <v>485</v>
      </c>
      <c r="H541" t="s">
        <v>73</v>
      </c>
      <c r="I541" t="s">
        <v>74</v>
      </c>
      <c r="J541" t="s">
        <v>245</v>
      </c>
      <c r="K541" t="s">
        <v>46</v>
      </c>
      <c r="L541" t="s">
        <v>56</v>
      </c>
      <c r="M541" t="s">
        <v>88</v>
      </c>
      <c r="N541" t="s">
        <v>89</v>
      </c>
      <c r="O541" t="s">
        <v>90</v>
      </c>
      <c r="P541">
        <v>3</v>
      </c>
      <c r="Q541" t="b">
        <v>1</v>
      </c>
      <c r="R541" s="1">
        <v>44769.397916666669</v>
      </c>
      <c r="S541" s="1">
        <v>44773.04791666667</v>
      </c>
      <c r="T541" t="s">
        <v>40</v>
      </c>
      <c r="U541" t="b">
        <v>0</v>
      </c>
      <c r="V541" s="2">
        <v>44769.397916666669</v>
      </c>
      <c r="W541">
        <v>7</v>
      </c>
      <c r="X541">
        <v>2022</v>
      </c>
      <c r="Y541" t="s">
        <v>73</v>
      </c>
      <c r="Z541">
        <v>3</v>
      </c>
    </row>
    <row r="542" spans="1:26" x14ac:dyDescent="0.45">
      <c r="A542">
        <v>2567</v>
      </c>
      <c r="B542">
        <v>1061</v>
      </c>
      <c r="C542" t="s">
        <v>535</v>
      </c>
      <c r="D542" t="s">
        <v>22</v>
      </c>
      <c r="E542">
        <v>28</v>
      </c>
      <c r="F542">
        <v>688</v>
      </c>
      <c r="G542" t="s">
        <v>536</v>
      </c>
      <c r="H542" t="s">
        <v>129</v>
      </c>
      <c r="I542" t="s">
        <v>263</v>
      </c>
      <c r="J542" t="s">
        <v>278</v>
      </c>
      <c r="K542" t="s">
        <v>66</v>
      </c>
      <c r="L542" t="s">
        <v>96</v>
      </c>
      <c r="M542" t="s">
        <v>136</v>
      </c>
      <c r="N542" t="s">
        <v>30</v>
      </c>
      <c r="O542" t="s">
        <v>137</v>
      </c>
      <c r="P542">
        <v>3</v>
      </c>
      <c r="Q542" t="b">
        <v>1</v>
      </c>
      <c r="R542" s="1">
        <v>45182.773611111108</v>
      </c>
      <c r="S542" s="1">
        <v>45186.091666666667</v>
      </c>
      <c r="T542" t="s">
        <v>109</v>
      </c>
      <c r="U542" t="b">
        <v>0</v>
      </c>
      <c r="V542" s="2">
        <v>45182.773611111108</v>
      </c>
      <c r="W542">
        <v>9</v>
      </c>
      <c r="X542">
        <v>2023</v>
      </c>
      <c r="Y542" t="s">
        <v>129</v>
      </c>
      <c r="Z542">
        <v>3</v>
      </c>
    </row>
    <row r="543" spans="1:26" x14ac:dyDescent="0.45">
      <c r="A543">
        <v>2568</v>
      </c>
      <c r="B543">
        <v>1298</v>
      </c>
      <c r="C543" t="s">
        <v>537</v>
      </c>
      <c r="D543" t="s">
        <v>42</v>
      </c>
      <c r="E543">
        <v>71</v>
      </c>
      <c r="F543">
        <v>757</v>
      </c>
      <c r="G543" t="s">
        <v>538</v>
      </c>
      <c r="H543" t="s">
        <v>172</v>
      </c>
      <c r="I543" t="s">
        <v>173</v>
      </c>
      <c r="J543" t="s">
        <v>174</v>
      </c>
      <c r="K543" t="s">
        <v>46</v>
      </c>
      <c r="L543" t="s">
        <v>96</v>
      </c>
      <c r="M543" t="s">
        <v>97</v>
      </c>
      <c r="N543" t="s">
        <v>98</v>
      </c>
      <c r="O543" t="s">
        <v>99</v>
      </c>
      <c r="P543">
        <v>5</v>
      </c>
      <c r="Q543" t="b">
        <v>1</v>
      </c>
      <c r="R543" s="1">
        <v>43880.831944444442</v>
      </c>
      <c r="S543" s="1">
        <v>43885.75277777778</v>
      </c>
      <c r="T543" t="s">
        <v>109</v>
      </c>
      <c r="U543" t="b">
        <v>0</v>
      </c>
      <c r="V543" s="2">
        <v>43880.831944444442</v>
      </c>
      <c r="W543">
        <v>2</v>
      </c>
      <c r="X543">
        <v>2020</v>
      </c>
      <c r="Y543" t="s">
        <v>172</v>
      </c>
      <c r="Z543">
        <v>5</v>
      </c>
    </row>
    <row r="544" spans="1:26" x14ac:dyDescent="0.45">
      <c r="A544">
        <v>2569</v>
      </c>
      <c r="B544">
        <v>1178</v>
      </c>
      <c r="C544" t="s">
        <v>539</v>
      </c>
      <c r="D544" t="s">
        <v>22</v>
      </c>
      <c r="E544">
        <v>16</v>
      </c>
      <c r="H544" t="s">
        <v>93</v>
      </c>
      <c r="I544" t="s">
        <v>112</v>
      </c>
      <c r="J544" t="s">
        <v>242</v>
      </c>
      <c r="K544" t="s">
        <v>27</v>
      </c>
      <c r="L544" t="s">
        <v>67</v>
      </c>
      <c r="M544" t="s">
        <v>233</v>
      </c>
      <c r="N544" t="s">
        <v>89</v>
      </c>
      <c r="O544" t="s">
        <v>90</v>
      </c>
      <c r="P544">
        <v>3</v>
      </c>
      <c r="Q544" t="b">
        <v>1</v>
      </c>
      <c r="R544" s="1">
        <v>44312.395138888889</v>
      </c>
      <c r="S544" s="1">
        <v>44317.577777777777</v>
      </c>
      <c r="T544" t="s">
        <v>32</v>
      </c>
      <c r="U544" t="b">
        <v>0</v>
      </c>
      <c r="V544" s="2">
        <v>44312.395138888889</v>
      </c>
      <c r="W544">
        <v>4</v>
      </c>
      <c r="X544">
        <v>2021</v>
      </c>
      <c r="Y544" t="s">
        <v>93</v>
      </c>
      <c r="Z544">
        <v>3</v>
      </c>
    </row>
    <row r="545" spans="1:26" x14ac:dyDescent="0.45">
      <c r="A545">
        <v>2570</v>
      </c>
      <c r="B545">
        <v>1481</v>
      </c>
      <c r="C545" t="s">
        <v>288</v>
      </c>
      <c r="D545" t="s">
        <v>42</v>
      </c>
      <c r="E545">
        <v>34</v>
      </c>
      <c r="F545">
        <v>697</v>
      </c>
      <c r="G545" t="s">
        <v>289</v>
      </c>
      <c r="H545" t="s">
        <v>35</v>
      </c>
      <c r="I545" t="s">
        <v>36</v>
      </c>
      <c r="J545" t="s">
        <v>123</v>
      </c>
      <c r="K545" t="s">
        <v>66</v>
      </c>
      <c r="L545" t="s">
        <v>76</v>
      </c>
      <c r="M545" t="s">
        <v>160</v>
      </c>
      <c r="N545" t="s">
        <v>79</v>
      </c>
      <c r="O545" t="s">
        <v>161</v>
      </c>
      <c r="P545">
        <v>2</v>
      </c>
      <c r="Q545" t="b">
        <v>0</v>
      </c>
      <c r="R545" s="1">
        <v>45178.738194444442</v>
      </c>
      <c r="V545" s="2">
        <v>45178.738194444442</v>
      </c>
      <c r="W545">
        <v>9</v>
      </c>
      <c r="X545">
        <v>2023</v>
      </c>
      <c r="Y545" t="s">
        <v>35</v>
      </c>
      <c r="Z545">
        <v>2</v>
      </c>
    </row>
    <row r="546" spans="1:26" x14ac:dyDescent="0.45">
      <c r="A546">
        <v>2571</v>
      </c>
      <c r="B546">
        <v>1317</v>
      </c>
      <c r="C546" t="s">
        <v>540</v>
      </c>
      <c r="D546" t="s">
        <v>22</v>
      </c>
      <c r="E546">
        <v>53</v>
      </c>
      <c r="F546">
        <v>709</v>
      </c>
      <c r="G546" t="s">
        <v>541</v>
      </c>
      <c r="H546" t="s">
        <v>172</v>
      </c>
      <c r="I546" t="s">
        <v>173</v>
      </c>
      <c r="J546" t="s">
        <v>399</v>
      </c>
      <c r="K546" t="s">
        <v>102</v>
      </c>
      <c r="L546" t="s">
        <v>96</v>
      </c>
      <c r="M546" t="s">
        <v>136</v>
      </c>
      <c r="N546" t="s">
        <v>30</v>
      </c>
      <c r="O546" t="s">
        <v>137</v>
      </c>
      <c r="P546">
        <v>4</v>
      </c>
      <c r="Q546" t="b">
        <v>1</v>
      </c>
      <c r="R546" s="1">
        <v>44110.958333333336</v>
      </c>
      <c r="S546" s="1">
        <v>44114.100694444445</v>
      </c>
      <c r="T546" t="s">
        <v>60</v>
      </c>
      <c r="U546" t="b">
        <v>0</v>
      </c>
      <c r="V546" s="2">
        <v>44110.958333333336</v>
      </c>
      <c r="W546">
        <v>10</v>
      </c>
      <c r="X546">
        <v>2020</v>
      </c>
      <c r="Y546" t="s">
        <v>172</v>
      </c>
      <c r="Z546">
        <v>4</v>
      </c>
    </row>
    <row r="547" spans="1:26" x14ac:dyDescent="0.45">
      <c r="A547">
        <v>2572</v>
      </c>
      <c r="B547">
        <v>1208</v>
      </c>
      <c r="C547" t="s">
        <v>542</v>
      </c>
      <c r="D547" t="s">
        <v>22</v>
      </c>
      <c r="E547">
        <v>24</v>
      </c>
      <c r="F547">
        <v>620</v>
      </c>
      <c r="G547" t="s">
        <v>543</v>
      </c>
      <c r="H547" t="s">
        <v>35</v>
      </c>
      <c r="I547" t="s">
        <v>36</v>
      </c>
      <c r="J547" t="s">
        <v>82</v>
      </c>
      <c r="K547" t="s">
        <v>102</v>
      </c>
      <c r="L547" t="s">
        <v>96</v>
      </c>
      <c r="M547" t="s">
        <v>103</v>
      </c>
      <c r="N547" t="s">
        <v>31</v>
      </c>
      <c r="O547" t="s">
        <v>104</v>
      </c>
      <c r="P547">
        <v>1</v>
      </c>
      <c r="Q547" t="b">
        <v>1</v>
      </c>
      <c r="R547" s="1">
        <v>44865.395833333336</v>
      </c>
      <c r="S547" s="1">
        <v>44871.6</v>
      </c>
      <c r="T547" t="s">
        <v>40</v>
      </c>
      <c r="U547" t="b">
        <v>0</v>
      </c>
      <c r="V547" s="2">
        <v>44865.395833333336</v>
      </c>
      <c r="W547">
        <v>10</v>
      </c>
      <c r="X547">
        <v>2022</v>
      </c>
      <c r="Y547" t="s">
        <v>35</v>
      </c>
      <c r="Z547">
        <v>1</v>
      </c>
    </row>
    <row r="548" spans="1:26" x14ac:dyDescent="0.45">
      <c r="A548">
        <v>2573</v>
      </c>
      <c r="B548">
        <v>1172</v>
      </c>
      <c r="C548" t="s">
        <v>200</v>
      </c>
      <c r="D548" t="s">
        <v>22</v>
      </c>
      <c r="E548">
        <v>18</v>
      </c>
      <c r="F548">
        <v>653</v>
      </c>
      <c r="G548" t="s">
        <v>201</v>
      </c>
      <c r="H548" t="s">
        <v>172</v>
      </c>
      <c r="I548" t="s">
        <v>177</v>
      </c>
      <c r="J548" t="s">
        <v>202</v>
      </c>
      <c r="K548" t="s">
        <v>102</v>
      </c>
      <c r="L548" t="s">
        <v>76</v>
      </c>
      <c r="M548" t="s">
        <v>132</v>
      </c>
      <c r="N548" t="s">
        <v>59</v>
      </c>
      <c r="O548" t="s">
        <v>98</v>
      </c>
      <c r="P548">
        <v>3</v>
      </c>
      <c r="Q548" t="b">
        <v>1</v>
      </c>
      <c r="R548" s="1">
        <v>44908.068749999999</v>
      </c>
      <c r="S548" s="1">
        <v>44909.676388888889</v>
      </c>
      <c r="T548" t="s">
        <v>32</v>
      </c>
      <c r="U548" t="b">
        <v>0</v>
      </c>
      <c r="V548" s="2">
        <v>44908.068749999999</v>
      </c>
      <c r="W548">
        <v>12</v>
      </c>
      <c r="X548">
        <v>2022</v>
      </c>
      <c r="Y548" t="s">
        <v>172</v>
      </c>
      <c r="Z548">
        <v>3</v>
      </c>
    </row>
    <row r="549" spans="1:26" x14ac:dyDescent="0.45">
      <c r="A549">
        <v>2574</v>
      </c>
      <c r="B549">
        <v>1118</v>
      </c>
      <c r="C549" t="s">
        <v>544</v>
      </c>
      <c r="D549" t="s">
        <v>42</v>
      </c>
      <c r="E549">
        <v>48</v>
      </c>
      <c r="F549">
        <v>711</v>
      </c>
      <c r="G549" t="s">
        <v>545</v>
      </c>
      <c r="H549" t="s">
        <v>63</v>
      </c>
      <c r="I549" t="s">
        <v>300</v>
      </c>
      <c r="J549" t="s">
        <v>301</v>
      </c>
      <c r="K549" t="s">
        <v>55</v>
      </c>
      <c r="L549" t="s">
        <v>67</v>
      </c>
      <c r="M549" t="s">
        <v>108</v>
      </c>
      <c r="N549" t="s">
        <v>99</v>
      </c>
      <c r="O549" t="s">
        <v>30</v>
      </c>
      <c r="P549">
        <v>4</v>
      </c>
      <c r="Q549" t="b">
        <v>1</v>
      </c>
      <c r="R549" s="1">
        <v>44224.814583333333</v>
      </c>
      <c r="S549" s="1">
        <v>44230.183333333334</v>
      </c>
      <c r="T549" t="s">
        <v>109</v>
      </c>
      <c r="U549" t="b">
        <v>0</v>
      </c>
      <c r="V549" s="2">
        <v>44224.814583333333</v>
      </c>
      <c r="W549">
        <v>1</v>
      </c>
      <c r="X549">
        <v>2021</v>
      </c>
      <c r="Y549" t="s">
        <v>63</v>
      </c>
      <c r="Z549">
        <v>4</v>
      </c>
    </row>
    <row r="550" spans="1:26" x14ac:dyDescent="0.45">
      <c r="A550">
        <v>2575</v>
      </c>
      <c r="B550">
        <v>1051</v>
      </c>
      <c r="C550" t="s">
        <v>279</v>
      </c>
      <c r="D550" t="s">
        <v>42</v>
      </c>
      <c r="E550">
        <v>41</v>
      </c>
      <c r="F550">
        <v>697</v>
      </c>
      <c r="G550" t="s">
        <v>280</v>
      </c>
      <c r="H550" t="s">
        <v>63</v>
      </c>
      <c r="I550" t="s">
        <v>64</v>
      </c>
      <c r="J550" t="s">
        <v>281</v>
      </c>
      <c r="K550" t="s">
        <v>46</v>
      </c>
      <c r="L550" t="s">
        <v>56</v>
      </c>
      <c r="M550" t="s">
        <v>197</v>
      </c>
      <c r="N550" t="s">
        <v>198</v>
      </c>
      <c r="O550" t="s">
        <v>199</v>
      </c>
      <c r="P550">
        <v>4</v>
      </c>
      <c r="Q550" t="b">
        <v>1</v>
      </c>
      <c r="R550" s="1">
        <v>45047.979166666664</v>
      </c>
      <c r="S550" s="1">
        <v>45051.460416666669</v>
      </c>
      <c r="T550" t="s">
        <v>109</v>
      </c>
      <c r="U550" t="b">
        <v>0</v>
      </c>
      <c r="V550" s="2">
        <v>45047.979166666664</v>
      </c>
      <c r="W550">
        <v>5</v>
      </c>
      <c r="X550">
        <v>2023</v>
      </c>
      <c r="Y550" t="s">
        <v>63</v>
      </c>
      <c r="Z550">
        <v>4</v>
      </c>
    </row>
    <row r="551" spans="1:26" x14ac:dyDescent="0.45">
      <c r="A551">
        <v>2576</v>
      </c>
      <c r="B551">
        <v>1077</v>
      </c>
      <c r="C551" t="s">
        <v>546</v>
      </c>
      <c r="D551" t="s">
        <v>42</v>
      </c>
      <c r="E551">
        <v>28</v>
      </c>
      <c r="F551">
        <v>694</v>
      </c>
      <c r="G551" t="s">
        <v>547</v>
      </c>
      <c r="H551" t="s">
        <v>85</v>
      </c>
      <c r="I551" t="s">
        <v>86</v>
      </c>
      <c r="J551" t="s">
        <v>87</v>
      </c>
      <c r="K551" t="s">
        <v>66</v>
      </c>
      <c r="L551" t="s">
        <v>67</v>
      </c>
      <c r="M551" t="s">
        <v>233</v>
      </c>
      <c r="N551" t="s">
        <v>89</v>
      </c>
      <c r="O551" t="s">
        <v>90</v>
      </c>
      <c r="P551">
        <v>3</v>
      </c>
      <c r="Q551" t="b">
        <v>1</v>
      </c>
      <c r="R551" s="1">
        <v>44321.173611111109</v>
      </c>
      <c r="S551" s="1">
        <v>44325.438888888886</v>
      </c>
      <c r="T551" t="s">
        <v>109</v>
      </c>
      <c r="U551" t="b">
        <v>0</v>
      </c>
      <c r="V551" s="2">
        <v>44321.173611111109</v>
      </c>
      <c r="W551">
        <v>5</v>
      </c>
      <c r="X551">
        <v>2021</v>
      </c>
      <c r="Y551" t="s">
        <v>85</v>
      </c>
      <c r="Z551">
        <v>3</v>
      </c>
    </row>
    <row r="552" spans="1:26" x14ac:dyDescent="0.45">
      <c r="A552">
        <v>2578</v>
      </c>
      <c r="B552">
        <v>1064</v>
      </c>
      <c r="C552" t="s">
        <v>331</v>
      </c>
      <c r="D552" t="s">
        <v>42</v>
      </c>
      <c r="E552">
        <v>76</v>
      </c>
      <c r="F552">
        <v>750</v>
      </c>
      <c r="G552" t="s">
        <v>332</v>
      </c>
      <c r="H552" t="s">
        <v>24</v>
      </c>
      <c r="I552" t="s">
        <v>44</v>
      </c>
      <c r="J552" t="s">
        <v>45</v>
      </c>
      <c r="K552" t="s">
        <v>46</v>
      </c>
      <c r="L552" t="s">
        <v>67</v>
      </c>
      <c r="M552" t="s">
        <v>233</v>
      </c>
      <c r="N552" t="s">
        <v>89</v>
      </c>
      <c r="O552" t="s">
        <v>90</v>
      </c>
      <c r="P552">
        <v>4</v>
      </c>
      <c r="Q552" t="b">
        <v>1</v>
      </c>
      <c r="R552" s="1">
        <v>44681.304861111108</v>
      </c>
      <c r="S552" s="1">
        <v>44682.399305555555</v>
      </c>
      <c r="T552" t="s">
        <v>32</v>
      </c>
      <c r="U552" t="b">
        <v>0</v>
      </c>
      <c r="V552" s="2">
        <v>44681.304861111108</v>
      </c>
      <c r="W552">
        <v>4</v>
      </c>
      <c r="X552">
        <v>2022</v>
      </c>
      <c r="Y552" t="s">
        <v>24</v>
      </c>
      <c r="Z552">
        <v>4</v>
      </c>
    </row>
    <row r="553" spans="1:26" x14ac:dyDescent="0.45">
      <c r="A553">
        <v>2579</v>
      </c>
      <c r="B553">
        <v>1217</v>
      </c>
      <c r="C553" t="s">
        <v>333</v>
      </c>
      <c r="D553" t="s">
        <v>42</v>
      </c>
      <c r="E553">
        <v>67</v>
      </c>
      <c r="F553">
        <v>743</v>
      </c>
      <c r="G553" t="s">
        <v>334</v>
      </c>
      <c r="H553" t="s">
        <v>35</v>
      </c>
      <c r="I553" t="s">
        <v>122</v>
      </c>
      <c r="J553" t="s">
        <v>82</v>
      </c>
      <c r="K553" t="s">
        <v>66</v>
      </c>
      <c r="L553" t="s">
        <v>28</v>
      </c>
      <c r="M553" t="s">
        <v>38</v>
      </c>
      <c r="N553" t="s">
        <v>31</v>
      </c>
      <c r="O553" t="s">
        <v>39</v>
      </c>
      <c r="P553">
        <v>2</v>
      </c>
      <c r="Q553" t="b">
        <v>1</v>
      </c>
      <c r="R553" s="1">
        <v>45017.536111111112</v>
      </c>
      <c r="S553" s="1">
        <v>45024.023611111108</v>
      </c>
      <c r="T553" t="s">
        <v>60</v>
      </c>
      <c r="U553" t="b">
        <v>0</v>
      </c>
      <c r="V553" s="2">
        <v>45017.536111111112</v>
      </c>
      <c r="W553">
        <v>4</v>
      </c>
      <c r="X553">
        <v>2023</v>
      </c>
      <c r="Y553" t="s">
        <v>35</v>
      </c>
      <c r="Z553">
        <v>2</v>
      </c>
    </row>
    <row r="554" spans="1:26" x14ac:dyDescent="0.45">
      <c r="A554">
        <v>2580</v>
      </c>
      <c r="B554">
        <v>1024</v>
      </c>
      <c r="C554" t="s">
        <v>275</v>
      </c>
      <c r="D554" t="s">
        <v>42</v>
      </c>
      <c r="E554">
        <v>53</v>
      </c>
      <c r="F554">
        <v>730</v>
      </c>
      <c r="G554" t="s">
        <v>207</v>
      </c>
      <c r="H554" t="s">
        <v>129</v>
      </c>
      <c r="I554" t="s">
        <v>130</v>
      </c>
      <c r="J554" t="s">
        <v>252</v>
      </c>
      <c r="K554" t="s">
        <v>37</v>
      </c>
      <c r="L554" t="s">
        <v>76</v>
      </c>
      <c r="M554" t="s">
        <v>132</v>
      </c>
      <c r="N554" t="s">
        <v>59</v>
      </c>
      <c r="O554" t="s">
        <v>98</v>
      </c>
      <c r="P554">
        <v>4</v>
      </c>
      <c r="Q554" t="b">
        <v>1</v>
      </c>
      <c r="R554" s="1">
        <v>45040.322916666664</v>
      </c>
      <c r="S554" s="1">
        <v>45046.007638888892</v>
      </c>
      <c r="T554" t="s">
        <v>109</v>
      </c>
      <c r="U554" t="b">
        <v>0</v>
      </c>
      <c r="V554" s="2">
        <v>45040.322916666664</v>
      </c>
      <c r="W554">
        <v>4</v>
      </c>
      <c r="X554">
        <v>2023</v>
      </c>
      <c r="Y554" t="s">
        <v>129</v>
      </c>
      <c r="Z554">
        <v>4</v>
      </c>
    </row>
    <row r="555" spans="1:26" x14ac:dyDescent="0.45">
      <c r="A555">
        <v>2581</v>
      </c>
      <c r="B555">
        <v>1113</v>
      </c>
      <c r="C555" t="s">
        <v>186</v>
      </c>
      <c r="D555" t="s">
        <v>22</v>
      </c>
      <c r="E555">
        <v>73</v>
      </c>
      <c r="F555">
        <v>743</v>
      </c>
      <c r="G555" t="s">
        <v>187</v>
      </c>
      <c r="H555" t="s">
        <v>24</v>
      </c>
      <c r="I555" t="s">
        <v>25</v>
      </c>
      <c r="J555" t="s">
        <v>188</v>
      </c>
      <c r="K555" t="s">
        <v>46</v>
      </c>
      <c r="L555" t="s">
        <v>56</v>
      </c>
      <c r="M555" t="s">
        <v>88</v>
      </c>
      <c r="N555" t="s">
        <v>89</v>
      </c>
      <c r="O555" t="s">
        <v>90</v>
      </c>
      <c r="P555">
        <v>2</v>
      </c>
      <c r="Q555" t="b">
        <v>1</v>
      </c>
      <c r="R555" s="1">
        <v>45147.95208333333</v>
      </c>
      <c r="S555" s="1">
        <v>45152.847222222219</v>
      </c>
      <c r="T555" t="s">
        <v>109</v>
      </c>
      <c r="U555" t="b">
        <v>0</v>
      </c>
      <c r="V555" s="2">
        <v>45147.95208333333</v>
      </c>
      <c r="W555">
        <v>8</v>
      </c>
      <c r="X555">
        <v>2023</v>
      </c>
      <c r="Y555" t="s">
        <v>24</v>
      </c>
      <c r="Z555">
        <v>2</v>
      </c>
    </row>
    <row r="556" spans="1:26" x14ac:dyDescent="0.45">
      <c r="A556">
        <v>2582</v>
      </c>
      <c r="B556">
        <v>1174</v>
      </c>
      <c r="C556" t="s">
        <v>335</v>
      </c>
      <c r="D556" t="s">
        <v>42</v>
      </c>
      <c r="E556">
        <v>17</v>
      </c>
      <c r="H556" t="s">
        <v>172</v>
      </c>
      <c r="I556" t="s">
        <v>177</v>
      </c>
      <c r="J556" t="s">
        <v>178</v>
      </c>
      <c r="K556" t="s">
        <v>102</v>
      </c>
      <c r="L556" t="s">
        <v>28</v>
      </c>
      <c r="M556" t="s">
        <v>29</v>
      </c>
      <c r="N556" t="s">
        <v>30</v>
      </c>
      <c r="O556" t="s">
        <v>31</v>
      </c>
      <c r="P556">
        <v>5</v>
      </c>
      <c r="Q556" t="b">
        <v>1</v>
      </c>
      <c r="R556" s="1">
        <v>45157.912499999999</v>
      </c>
      <c r="S556" s="1">
        <v>45163.277083333334</v>
      </c>
      <c r="T556" t="s">
        <v>109</v>
      </c>
      <c r="U556" t="b">
        <v>1</v>
      </c>
      <c r="V556" s="2">
        <v>45157.912499999999</v>
      </c>
      <c r="W556">
        <v>8</v>
      </c>
      <c r="X556">
        <v>2023</v>
      </c>
      <c r="Y556" t="s">
        <v>172</v>
      </c>
      <c r="Z556">
        <v>5</v>
      </c>
    </row>
    <row r="557" spans="1:26" x14ac:dyDescent="0.45">
      <c r="A557">
        <v>2583</v>
      </c>
      <c r="B557">
        <v>1007</v>
      </c>
      <c r="C557" t="s">
        <v>336</v>
      </c>
      <c r="D557" t="s">
        <v>42</v>
      </c>
      <c r="E557">
        <v>28</v>
      </c>
      <c r="F557">
        <v>689</v>
      </c>
      <c r="G557" t="s">
        <v>337</v>
      </c>
      <c r="H557" t="s">
        <v>73</v>
      </c>
      <c r="I557" t="s">
        <v>140</v>
      </c>
      <c r="J557" t="s">
        <v>141</v>
      </c>
      <c r="K557" t="s">
        <v>37</v>
      </c>
      <c r="L557" t="s">
        <v>67</v>
      </c>
      <c r="M557" t="s">
        <v>108</v>
      </c>
      <c r="N557" t="s">
        <v>99</v>
      </c>
      <c r="O557" t="s">
        <v>30</v>
      </c>
      <c r="P557">
        <v>5</v>
      </c>
      <c r="Q557" t="b">
        <v>0</v>
      </c>
      <c r="R557" s="1">
        <v>45072.046527777777</v>
      </c>
      <c r="V557" s="2">
        <v>45072.046527777777</v>
      </c>
      <c r="W557">
        <v>5</v>
      </c>
      <c r="X557">
        <v>2023</v>
      </c>
      <c r="Y557" t="s">
        <v>73</v>
      </c>
      <c r="Z557">
        <v>5</v>
      </c>
    </row>
    <row r="558" spans="1:26" x14ac:dyDescent="0.45">
      <c r="A558">
        <v>2584</v>
      </c>
      <c r="B558">
        <v>1229</v>
      </c>
      <c r="C558" t="s">
        <v>338</v>
      </c>
      <c r="D558" t="s">
        <v>42</v>
      </c>
      <c r="E558">
        <v>77</v>
      </c>
      <c r="F558">
        <v>748</v>
      </c>
      <c r="G558" t="s">
        <v>339</v>
      </c>
      <c r="H558" t="s">
        <v>24</v>
      </c>
      <c r="I558" t="s">
        <v>44</v>
      </c>
      <c r="J558" t="s">
        <v>225</v>
      </c>
      <c r="K558" t="s">
        <v>46</v>
      </c>
      <c r="L558" t="s">
        <v>28</v>
      </c>
      <c r="M558" t="s">
        <v>142</v>
      </c>
      <c r="N558" t="s">
        <v>143</v>
      </c>
      <c r="O558" t="s">
        <v>144</v>
      </c>
      <c r="P558">
        <v>5</v>
      </c>
      <c r="Q558" t="b">
        <v>1</v>
      </c>
      <c r="R558" s="1">
        <v>45224.692361111112</v>
      </c>
      <c r="S558" s="1">
        <v>45229.072916666664</v>
      </c>
      <c r="T558" t="s">
        <v>40</v>
      </c>
      <c r="U558" t="b">
        <v>0</v>
      </c>
      <c r="V558" s="2">
        <v>45224.692361111112</v>
      </c>
      <c r="W558">
        <v>10</v>
      </c>
      <c r="X558">
        <v>2023</v>
      </c>
      <c r="Y558" t="s">
        <v>24</v>
      </c>
      <c r="Z558">
        <v>5</v>
      </c>
    </row>
    <row r="559" spans="1:26" x14ac:dyDescent="0.45">
      <c r="A559">
        <v>2585</v>
      </c>
      <c r="B559">
        <v>1152</v>
      </c>
      <c r="C559" t="s">
        <v>124</v>
      </c>
      <c r="D559" t="s">
        <v>22</v>
      </c>
      <c r="E559">
        <v>38</v>
      </c>
      <c r="F559">
        <v>698</v>
      </c>
      <c r="G559" t="s">
        <v>125</v>
      </c>
      <c r="H559" t="s">
        <v>85</v>
      </c>
      <c r="I559" t="s">
        <v>86</v>
      </c>
      <c r="J559" t="s">
        <v>87</v>
      </c>
      <c r="K559" t="s">
        <v>55</v>
      </c>
      <c r="L559" t="s">
        <v>76</v>
      </c>
      <c r="M559" t="s">
        <v>77</v>
      </c>
      <c r="N559" t="s">
        <v>78</v>
      </c>
      <c r="O559" t="s">
        <v>79</v>
      </c>
      <c r="P559">
        <v>5</v>
      </c>
      <c r="Q559" t="b">
        <v>1</v>
      </c>
      <c r="R559" s="1">
        <v>44009.640972222223</v>
      </c>
      <c r="S559" s="1">
        <v>44012.507638888892</v>
      </c>
      <c r="T559" t="s">
        <v>109</v>
      </c>
      <c r="U559" t="b">
        <v>0</v>
      </c>
      <c r="V559" s="2">
        <v>44009.640972222223</v>
      </c>
      <c r="W559">
        <v>6</v>
      </c>
      <c r="X559">
        <v>2020</v>
      </c>
      <c r="Y559" t="s">
        <v>85</v>
      </c>
      <c r="Z559">
        <v>5</v>
      </c>
    </row>
    <row r="560" spans="1:26" x14ac:dyDescent="0.45">
      <c r="A560">
        <v>2586</v>
      </c>
      <c r="B560">
        <v>1086</v>
      </c>
      <c r="C560" t="s">
        <v>340</v>
      </c>
      <c r="D560" t="s">
        <v>22</v>
      </c>
      <c r="E560">
        <v>72</v>
      </c>
      <c r="F560">
        <v>757</v>
      </c>
      <c r="G560" t="s">
        <v>341</v>
      </c>
      <c r="H560" t="s">
        <v>172</v>
      </c>
      <c r="I560" t="s">
        <v>177</v>
      </c>
      <c r="J560" t="s">
        <v>178</v>
      </c>
      <c r="K560" t="s">
        <v>66</v>
      </c>
      <c r="L560" t="s">
        <v>56</v>
      </c>
      <c r="M560" t="s">
        <v>179</v>
      </c>
      <c r="N560" t="s">
        <v>79</v>
      </c>
      <c r="O560" t="s">
        <v>161</v>
      </c>
      <c r="P560">
        <v>5</v>
      </c>
      <c r="Q560" t="b">
        <v>1</v>
      </c>
      <c r="R560" s="1">
        <v>43996.870833333334</v>
      </c>
      <c r="S560" s="1">
        <v>44002.474305555559</v>
      </c>
      <c r="T560" t="s">
        <v>32</v>
      </c>
      <c r="U560" t="b">
        <v>0</v>
      </c>
      <c r="V560" s="2">
        <v>43996.870833333334</v>
      </c>
      <c r="W560">
        <v>6</v>
      </c>
      <c r="X560">
        <v>2020</v>
      </c>
      <c r="Y560" t="s">
        <v>172</v>
      </c>
      <c r="Z560">
        <v>5</v>
      </c>
    </row>
    <row r="561" spans="1:26" x14ac:dyDescent="0.45">
      <c r="A561">
        <v>2587</v>
      </c>
      <c r="B561">
        <v>1362</v>
      </c>
      <c r="C561" t="s">
        <v>250</v>
      </c>
      <c r="D561" t="s">
        <v>22</v>
      </c>
      <c r="E561">
        <v>62</v>
      </c>
      <c r="F561">
        <v>753</v>
      </c>
      <c r="G561" t="s">
        <v>251</v>
      </c>
      <c r="H561" t="s">
        <v>129</v>
      </c>
      <c r="I561" t="s">
        <v>130</v>
      </c>
      <c r="J561" t="s">
        <v>252</v>
      </c>
      <c r="K561" t="s">
        <v>102</v>
      </c>
      <c r="L561" t="s">
        <v>96</v>
      </c>
      <c r="M561" t="s">
        <v>103</v>
      </c>
      <c r="N561" t="s">
        <v>31</v>
      </c>
      <c r="O561" t="s">
        <v>104</v>
      </c>
      <c r="P561">
        <v>5</v>
      </c>
      <c r="Q561" t="b">
        <v>0</v>
      </c>
      <c r="R561" s="1">
        <v>44102.648611111108</v>
      </c>
      <c r="V561" s="2">
        <v>44102.648611111108</v>
      </c>
      <c r="W561">
        <v>9</v>
      </c>
      <c r="X561">
        <v>2020</v>
      </c>
      <c r="Y561" t="s">
        <v>129</v>
      </c>
      <c r="Z561">
        <v>5</v>
      </c>
    </row>
    <row r="562" spans="1:26" x14ac:dyDescent="0.45">
      <c r="A562">
        <v>2589</v>
      </c>
      <c r="B562">
        <v>1049</v>
      </c>
      <c r="C562" t="s">
        <v>342</v>
      </c>
      <c r="D562" t="s">
        <v>42</v>
      </c>
      <c r="E562">
        <v>56</v>
      </c>
      <c r="F562">
        <v>724</v>
      </c>
      <c r="G562" t="s">
        <v>343</v>
      </c>
      <c r="H562" t="s">
        <v>63</v>
      </c>
      <c r="I562" t="s">
        <v>64</v>
      </c>
      <c r="J562" t="s">
        <v>281</v>
      </c>
      <c r="K562" t="s">
        <v>66</v>
      </c>
      <c r="L562" t="s">
        <v>96</v>
      </c>
      <c r="M562" t="s">
        <v>97</v>
      </c>
      <c r="N562" t="s">
        <v>98</v>
      </c>
      <c r="O562" t="s">
        <v>99</v>
      </c>
      <c r="P562">
        <v>5</v>
      </c>
      <c r="Q562" t="b">
        <v>0</v>
      </c>
      <c r="R562" s="1">
        <v>43903.754166666666</v>
      </c>
      <c r="V562" s="2">
        <v>43903.754166666666</v>
      </c>
      <c r="W562">
        <v>3</v>
      </c>
      <c r="X562">
        <v>2020</v>
      </c>
      <c r="Y562" t="s">
        <v>63</v>
      </c>
      <c r="Z562">
        <v>5</v>
      </c>
    </row>
    <row r="563" spans="1:26" x14ac:dyDescent="0.45">
      <c r="A563">
        <v>2590</v>
      </c>
      <c r="B563">
        <v>1331</v>
      </c>
      <c r="C563" t="s">
        <v>105</v>
      </c>
      <c r="D563" t="s">
        <v>22</v>
      </c>
      <c r="E563">
        <v>18</v>
      </c>
      <c r="F563">
        <v>623</v>
      </c>
      <c r="G563" t="s">
        <v>106</v>
      </c>
      <c r="H563" t="s">
        <v>93</v>
      </c>
      <c r="I563" t="s">
        <v>94</v>
      </c>
      <c r="J563" t="s">
        <v>107</v>
      </c>
      <c r="K563" t="s">
        <v>55</v>
      </c>
      <c r="L563" t="s">
        <v>96</v>
      </c>
      <c r="M563" t="s">
        <v>97</v>
      </c>
      <c r="N563" t="s">
        <v>98</v>
      </c>
      <c r="O563" t="s">
        <v>99</v>
      </c>
      <c r="P563">
        <v>4</v>
      </c>
      <c r="Q563" t="b">
        <v>1</v>
      </c>
      <c r="R563" s="1">
        <v>44377.595833333333</v>
      </c>
      <c r="S563" s="1">
        <v>44381.602777777778</v>
      </c>
      <c r="T563" t="s">
        <v>40</v>
      </c>
      <c r="U563" t="b">
        <v>0</v>
      </c>
      <c r="V563" s="2">
        <v>44377.595833333333</v>
      </c>
      <c r="W563">
        <v>6</v>
      </c>
      <c r="X563">
        <v>2021</v>
      </c>
      <c r="Y563" t="s">
        <v>93</v>
      </c>
      <c r="Z563">
        <v>4</v>
      </c>
    </row>
    <row r="564" spans="1:26" x14ac:dyDescent="0.45">
      <c r="A564">
        <v>2591</v>
      </c>
      <c r="B564">
        <v>1081</v>
      </c>
      <c r="C564" t="s">
        <v>344</v>
      </c>
      <c r="D564" t="s">
        <v>22</v>
      </c>
      <c r="E564">
        <v>36</v>
      </c>
      <c r="F564">
        <v>686</v>
      </c>
      <c r="G564" t="s">
        <v>345</v>
      </c>
      <c r="H564" t="s">
        <v>73</v>
      </c>
      <c r="I564" t="s">
        <v>140</v>
      </c>
      <c r="J564" t="s">
        <v>141</v>
      </c>
      <c r="K564" t="s">
        <v>46</v>
      </c>
      <c r="L564" t="s">
        <v>28</v>
      </c>
      <c r="M564" t="s">
        <v>29</v>
      </c>
      <c r="N564" t="s">
        <v>30</v>
      </c>
      <c r="O564" t="s">
        <v>31</v>
      </c>
      <c r="P564">
        <v>4</v>
      </c>
      <c r="Q564" t="b">
        <v>1</v>
      </c>
      <c r="R564" s="1">
        <v>44777.848611111112</v>
      </c>
      <c r="S564" s="1">
        <v>44779.037499999999</v>
      </c>
      <c r="T564" t="s">
        <v>60</v>
      </c>
      <c r="U564" t="b">
        <v>0</v>
      </c>
      <c r="V564" s="2">
        <v>44777.848611111112</v>
      </c>
      <c r="W564">
        <v>8</v>
      </c>
      <c r="X564">
        <v>2022</v>
      </c>
      <c r="Y564" t="s">
        <v>73</v>
      </c>
      <c r="Z564">
        <v>4</v>
      </c>
    </row>
    <row r="565" spans="1:26" x14ac:dyDescent="0.45">
      <c r="A565">
        <v>2592</v>
      </c>
      <c r="B565">
        <v>1117</v>
      </c>
      <c r="C565" t="s">
        <v>243</v>
      </c>
      <c r="D565" t="s">
        <v>22</v>
      </c>
      <c r="E565">
        <v>53</v>
      </c>
      <c r="F565">
        <v>727</v>
      </c>
      <c r="G565" t="s">
        <v>244</v>
      </c>
      <c r="H565" t="s">
        <v>73</v>
      </c>
      <c r="I565" t="s">
        <v>74</v>
      </c>
      <c r="J565" t="s">
        <v>245</v>
      </c>
      <c r="K565" t="s">
        <v>46</v>
      </c>
      <c r="L565" t="s">
        <v>56</v>
      </c>
      <c r="M565" t="s">
        <v>57</v>
      </c>
      <c r="N565" t="s">
        <v>58</v>
      </c>
      <c r="O565" t="s">
        <v>59</v>
      </c>
      <c r="P565">
        <v>2</v>
      </c>
      <c r="Q565" t="b">
        <v>1</v>
      </c>
      <c r="R565" s="1">
        <v>44364.325694444444</v>
      </c>
      <c r="S565" s="1">
        <v>44371.277777777781</v>
      </c>
      <c r="T565" t="s">
        <v>60</v>
      </c>
      <c r="U565" t="b">
        <v>0</v>
      </c>
      <c r="V565" s="2">
        <v>44364.325694444444</v>
      </c>
      <c r="W565">
        <v>6</v>
      </c>
      <c r="X565">
        <v>2021</v>
      </c>
      <c r="Y565" t="s">
        <v>73</v>
      </c>
      <c r="Z565">
        <v>2</v>
      </c>
    </row>
    <row r="566" spans="1:26" x14ac:dyDescent="0.45">
      <c r="A566">
        <v>2593</v>
      </c>
      <c r="B566">
        <v>1354</v>
      </c>
      <c r="C566" t="s">
        <v>346</v>
      </c>
      <c r="D566" t="s">
        <v>42</v>
      </c>
      <c r="E566">
        <v>26</v>
      </c>
      <c r="F566">
        <v>646</v>
      </c>
      <c r="G566" t="s">
        <v>347</v>
      </c>
      <c r="H566" t="s">
        <v>129</v>
      </c>
      <c r="I566" t="s">
        <v>130</v>
      </c>
      <c r="J566" t="s">
        <v>131</v>
      </c>
      <c r="K566" t="s">
        <v>46</v>
      </c>
      <c r="L566" t="s">
        <v>67</v>
      </c>
      <c r="M566" t="s">
        <v>233</v>
      </c>
      <c r="N566" t="s">
        <v>89</v>
      </c>
      <c r="O566" t="s">
        <v>90</v>
      </c>
      <c r="P566">
        <v>5</v>
      </c>
      <c r="Q566" t="b">
        <v>0</v>
      </c>
      <c r="R566" s="1">
        <v>44681.634027777778</v>
      </c>
      <c r="V566" s="2">
        <v>44681.634027777778</v>
      </c>
      <c r="W566">
        <v>4</v>
      </c>
      <c r="X566">
        <v>2022</v>
      </c>
      <c r="Y566" t="s">
        <v>129</v>
      </c>
      <c r="Z566">
        <v>5</v>
      </c>
    </row>
    <row r="567" spans="1:26" x14ac:dyDescent="0.45">
      <c r="A567">
        <v>2594</v>
      </c>
      <c r="B567">
        <v>1422</v>
      </c>
      <c r="C567" t="s">
        <v>348</v>
      </c>
      <c r="D567" t="s">
        <v>42</v>
      </c>
      <c r="E567">
        <v>40</v>
      </c>
      <c r="F567">
        <v>681</v>
      </c>
      <c r="G567" t="s">
        <v>349</v>
      </c>
      <c r="H567" t="s">
        <v>52</v>
      </c>
      <c r="I567" t="s">
        <v>150</v>
      </c>
      <c r="J567" t="s">
        <v>205</v>
      </c>
      <c r="K567" t="s">
        <v>55</v>
      </c>
      <c r="L567" t="s">
        <v>76</v>
      </c>
      <c r="M567" t="s">
        <v>132</v>
      </c>
      <c r="N567" t="s">
        <v>59</v>
      </c>
      <c r="O567" t="s">
        <v>98</v>
      </c>
      <c r="P567">
        <v>3</v>
      </c>
      <c r="Q567" t="b">
        <v>1</v>
      </c>
      <c r="R567" s="1">
        <v>44274.901388888888</v>
      </c>
      <c r="S567" s="1">
        <v>44278.347222222219</v>
      </c>
      <c r="T567" t="s">
        <v>109</v>
      </c>
      <c r="U567" t="b">
        <v>1</v>
      </c>
      <c r="V567" s="2">
        <v>44274.901388888888</v>
      </c>
      <c r="W567">
        <v>3</v>
      </c>
      <c r="X567">
        <v>2021</v>
      </c>
      <c r="Y567" t="s">
        <v>52</v>
      </c>
      <c r="Z567">
        <v>3</v>
      </c>
    </row>
    <row r="568" spans="1:26" x14ac:dyDescent="0.45">
      <c r="A568">
        <v>2595</v>
      </c>
      <c r="B568">
        <v>1405</v>
      </c>
      <c r="C568" t="s">
        <v>350</v>
      </c>
      <c r="D568" t="s">
        <v>22</v>
      </c>
      <c r="E568">
        <v>48</v>
      </c>
      <c r="F568">
        <v>709</v>
      </c>
      <c r="G568" t="s">
        <v>351</v>
      </c>
      <c r="H568" t="s">
        <v>63</v>
      </c>
      <c r="I568" t="s">
        <v>64</v>
      </c>
      <c r="J568" t="s">
        <v>164</v>
      </c>
      <c r="K568" t="s">
        <v>66</v>
      </c>
      <c r="L568" t="s">
        <v>28</v>
      </c>
      <c r="M568" t="s">
        <v>38</v>
      </c>
      <c r="N568" t="s">
        <v>31</v>
      </c>
      <c r="O568" t="s">
        <v>39</v>
      </c>
      <c r="P568">
        <v>5</v>
      </c>
      <c r="Q568" t="b">
        <v>1</v>
      </c>
      <c r="R568" s="1">
        <v>44618.470138888886</v>
      </c>
      <c r="S568" s="1">
        <v>44625.010416666664</v>
      </c>
      <c r="T568" t="s">
        <v>32</v>
      </c>
      <c r="U568" t="b">
        <v>0</v>
      </c>
      <c r="V568" s="2">
        <v>44618.470138888886</v>
      </c>
      <c r="W568">
        <v>2</v>
      </c>
      <c r="X568">
        <v>2022</v>
      </c>
      <c r="Y568" t="s">
        <v>63</v>
      </c>
      <c r="Z568">
        <v>5</v>
      </c>
    </row>
    <row r="569" spans="1:26" x14ac:dyDescent="0.45">
      <c r="A569">
        <v>2596</v>
      </c>
      <c r="B569">
        <v>1271</v>
      </c>
      <c r="C569" t="s">
        <v>352</v>
      </c>
      <c r="D569" t="s">
        <v>42</v>
      </c>
      <c r="E569">
        <v>54</v>
      </c>
      <c r="F569">
        <v>715</v>
      </c>
      <c r="G569" t="s">
        <v>353</v>
      </c>
      <c r="H569" t="s">
        <v>73</v>
      </c>
      <c r="I569" t="s">
        <v>74</v>
      </c>
      <c r="J569" t="s">
        <v>157</v>
      </c>
      <c r="K569" t="s">
        <v>46</v>
      </c>
      <c r="L569" t="s">
        <v>76</v>
      </c>
      <c r="M569" t="s">
        <v>160</v>
      </c>
      <c r="N569" t="s">
        <v>79</v>
      </c>
      <c r="O569" t="s">
        <v>161</v>
      </c>
      <c r="P569">
        <v>1</v>
      </c>
      <c r="Q569" t="b">
        <v>1</v>
      </c>
      <c r="R569" s="1">
        <v>44542.65</v>
      </c>
      <c r="S569" s="1">
        <v>44543.824999999997</v>
      </c>
      <c r="T569" t="s">
        <v>109</v>
      </c>
      <c r="U569" t="b">
        <v>0</v>
      </c>
      <c r="V569" s="2">
        <v>44542.65</v>
      </c>
      <c r="W569">
        <v>12</v>
      </c>
      <c r="X569">
        <v>2021</v>
      </c>
      <c r="Y569" t="s">
        <v>73</v>
      </c>
      <c r="Z569">
        <v>1</v>
      </c>
    </row>
    <row r="570" spans="1:26" x14ac:dyDescent="0.45">
      <c r="A570">
        <v>2597</v>
      </c>
      <c r="B570">
        <v>1206</v>
      </c>
      <c r="C570" t="s">
        <v>354</v>
      </c>
      <c r="D570" t="s">
        <v>22</v>
      </c>
      <c r="E570">
        <v>18</v>
      </c>
      <c r="F570">
        <v>643</v>
      </c>
      <c r="G570" t="s">
        <v>355</v>
      </c>
      <c r="H570" t="s">
        <v>172</v>
      </c>
      <c r="I570" t="s">
        <v>177</v>
      </c>
      <c r="J570" t="s">
        <v>356</v>
      </c>
      <c r="K570" t="s">
        <v>37</v>
      </c>
      <c r="L570" t="s">
        <v>28</v>
      </c>
      <c r="M570" t="s">
        <v>47</v>
      </c>
      <c r="N570" t="s">
        <v>48</v>
      </c>
      <c r="O570" t="s">
        <v>49</v>
      </c>
      <c r="P570">
        <v>3</v>
      </c>
      <c r="Q570" t="b">
        <v>1</v>
      </c>
      <c r="R570" s="1">
        <v>43991.524305555555</v>
      </c>
      <c r="S570" s="1">
        <v>43995.388194444444</v>
      </c>
      <c r="T570" t="s">
        <v>109</v>
      </c>
      <c r="U570" t="b">
        <v>0</v>
      </c>
      <c r="V570" s="2">
        <v>43991.524305555555</v>
      </c>
      <c r="W570">
        <v>6</v>
      </c>
      <c r="X570">
        <v>2020</v>
      </c>
      <c r="Y570" t="s">
        <v>172</v>
      </c>
      <c r="Z570">
        <v>3</v>
      </c>
    </row>
    <row r="571" spans="1:26" x14ac:dyDescent="0.45">
      <c r="A571">
        <v>2598</v>
      </c>
      <c r="B571">
        <v>1242</v>
      </c>
      <c r="C571" t="s">
        <v>357</v>
      </c>
      <c r="D571" t="s">
        <v>22</v>
      </c>
      <c r="E571">
        <v>40</v>
      </c>
      <c r="F571">
        <v>697</v>
      </c>
      <c r="G571" t="s">
        <v>358</v>
      </c>
      <c r="H571" t="s">
        <v>85</v>
      </c>
      <c r="I571" t="s">
        <v>116</v>
      </c>
      <c r="J571" t="s">
        <v>117</v>
      </c>
      <c r="K571" t="s">
        <v>46</v>
      </c>
      <c r="L571" t="s">
        <v>96</v>
      </c>
      <c r="M571" t="s">
        <v>136</v>
      </c>
      <c r="N571" t="s">
        <v>30</v>
      </c>
      <c r="O571" t="s">
        <v>137</v>
      </c>
      <c r="P571">
        <v>1</v>
      </c>
      <c r="Q571" t="b">
        <v>1</v>
      </c>
      <c r="R571" s="1">
        <v>44012.786805555559</v>
      </c>
      <c r="S571" s="1">
        <v>44019.353472222225</v>
      </c>
      <c r="T571" t="s">
        <v>109</v>
      </c>
      <c r="U571" t="b">
        <v>0</v>
      </c>
      <c r="V571" s="2">
        <v>44012.786805555559</v>
      </c>
      <c r="W571">
        <v>6</v>
      </c>
      <c r="X571">
        <v>2020</v>
      </c>
      <c r="Y571" t="s">
        <v>85</v>
      </c>
      <c r="Z571">
        <v>1</v>
      </c>
    </row>
    <row r="572" spans="1:26" x14ac:dyDescent="0.45">
      <c r="A572">
        <v>2599</v>
      </c>
      <c r="B572">
        <v>1000</v>
      </c>
      <c r="C572" t="s">
        <v>83</v>
      </c>
      <c r="D572" t="s">
        <v>22</v>
      </c>
      <c r="E572">
        <v>74</v>
      </c>
      <c r="F572">
        <v>747</v>
      </c>
      <c r="G572" t="s">
        <v>84</v>
      </c>
      <c r="H572" t="s">
        <v>85</v>
      </c>
      <c r="I572" t="s">
        <v>86</v>
      </c>
      <c r="J572" t="s">
        <v>87</v>
      </c>
      <c r="K572" t="s">
        <v>27</v>
      </c>
      <c r="L572" t="s">
        <v>28</v>
      </c>
      <c r="M572" t="s">
        <v>47</v>
      </c>
      <c r="N572" t="s">
        <v>48</v>
      </c>
      <c r="O572" t="s">
        <v>49</v>
      </c>
      <c r="P572">
        <v>5</v>
      </c>
      <c r="Q572" t="b">
        <v>0</v>
      </c>
      <c r="R572" s="1">
        <v>44964.304166666669</v>
      </c>
      <c r="V572" s="2">
        <v>44964.304166666669</v>
      </c>
      <c r="W572">
        <v>2</v>
      </c>
      <c r="X572">
        <v>2023</v>
      </c>
      <c r="Y572" t="s">
        <v>85</v>
      </c>
      <c r="Z572">
        <v>5</v>
      </c>
    </row>
    <row r="573" spans="1:26" x14ac:dyDescent="0.45">
      <c r="A573">
        <v>2600</v>
      </c>
      <c r="B573">
        <v>1124</v>
      </c>
      <c r="C573" t="s">
        <v>359</v>
      </c>
      <c r="D573" t="s">
        <v>42</v>
      </c>
      <c r="E573">
        <v>20</v>
      </c>
      <c r="F573">
        <v>644</v>
      </c>
      <c r="G573" t="s">
        <v>360</v>
      </c>
      <c r="H573" t="s">
        <v>63</v>
      </c>
      <c r="I573" t="s">
        <v>64</v>
      </c>
      <c r="J573" t="s">
        <v>164</v>
      </c>
      <c r="K573" t="s">
        <v>55</v>
      </c>
      <c r="L573" t="s">
        <v>96</v>
      </c>
      <c r="M573" t="s">
        <v>103</v>
      </c>
      <c r="N573" t="s">
        <v>31</v>
      </c>
      <c r="O573" t="s">
        <v>104</v>
      </c>
      <c r="P573">
        <v>1</v>
      </c>
      <c r="Q573" t="b">
        <v>1</v>
      </c>
      <c r="R573" s="1">
        <v>44692.171527777777</v>
      </c>
      <c r="S573" s="1">
        <v>44694.454861111109</v>
      </c>
      <c r="T573" t="s">
        <v>109</v>
      </c>
      <c r="U573" t="b">
        <v>0</v>
      </c>
      <c r="V573" s="2">
        <v>44692.171527777777</v>
      </c>
      <c r="W573">
        <v>5</v>
      </c>
      <c r="X573">
        <v>2022</v>
      </c>
      <c r="Y573" t="s">
        <v>63</v>
      </c>
      <c r="Z573">
        <v>1</v>
      </c>
    </row>
    <row r="574" spans="1:26" x14ac:dyDescent="0.45">
      <c r="A574">
        <v>2601</v>
      </c>
      <c r="B574">
        <v>1041</v>
      </c>
      <c r="C574" t="s">
        <v>361</v>
      </c>
      <c r="D574" t="s">
        <v>42</v>
      </c>
      <c r="E574">
        <v>17</v>
      </c>
      <c r="H574" t="s">
        <v>129</v>
      </c>
      <c r="I574" t="s">
        <v>263</v>
      </c>
      <c r="J574" t="s">
        <v>278</v>
      </c>
      <c r="K574" t="s">
        <v>37</v>
      </c>
      <c r="L574" t="s">
        <v>67</v>
      </c>
      <c r="M574" t="s">
        <v>68</v>
      </c>
      <c r="N574" t="s">
        <v>69</v>
      </c>
      <c r="O574" t="s">
        <v>70</v>
      </c>
      <c r="P574">
        <v>1</v>
      </c>
      <c r="Q574" t="b">
        <v>1</v>
      </c>
      <c r="R574" s="1">
        <v>45183.847222222219</v>
      </c>
      <c r="S574" s="1">
        <v>45185.268750000003</v>
      </c>
      <c r="T574" t="s">
        <v>60</v>
      </c>
      <c r="U574" t="b">
        <v>0</v>
      </c>
      <c r="V574" s="2">
        <v>45183.847222222219</v>
      </c>
      <c r="W574">
        <v>9</v>
      </c>
      <c r="X574">
        <v>2023</v>
      </c>
      <c r="Y574" t="s">
        <v>129</v>
      </c>
      <c r="Z574">
        <v>1</v>
      </c>
    </row>
    <row r="575" spans="1:26" x14ac:dyDescent="0.45">
      <c r="A575">
        <v>2602</v>
      </c>
      <c r="B575">
        <v>1060</v>
      </c>
      <c r="C575" t="s">
        <v>362</v>
      </c>
      <c r="D575" t="s">
        <v>42</v>
      </c>
      <c r="E575">
        <v>64</v>
      </c>
      <c r="F575">
        <v>742</v>
      </c>
      <c r="G575" t="s">
        <v>363</v>
      </c>
      <c r="H575" t="s">
        <v>93</v>
      </c>
      <c r="I575" t="s">
        <v>94</v>
      </c>
      <c r="J575" t="s">
        <v>364</v>
      </c>
      <c r="K575" t="s">
        <v>66</v>
      </c>
      <c r="L575" t="s">
        <v>96</v>
      </c>
      <c r="M575" t="s">
        <v>97</v>
      </c>
      <c r="N575" t="s">
        <v>98</v>
      </c>
      <c r="O575" t="s">
        <v>99</v>
      </c>
      <c r="P575">
        <v>1</v>
      </c>
      <c r="Q575" t="b">
        <v>0</v>
      </c>
      <c r="R575" s="1">
        <v>44998.23541666667</v>
      </c>
      <c r="V575" s="2">
        <v>44998.23541666667</v>
      </c>
      <c r="W575">
        <v>3</v>
      </c>
      <c r="X575">
        <v>2023</v>
      </c>
      <c r="Y575" t="s">
        <v>93</v>
      </c>
      <c r="Z575">
        <v>1</v>
      </c>
    </row>
    <row r="576" spans="1:26" x14ac:dyDescent="0.45">
      <c r="A576">
        <v>2603</v>
      </c>
      <c r="B576">
        <v>1204</v>
      </c>
      <c r="C576" t="s">
        <v>365</v>
      </c>
      <c r="D576" t="s">
        <v>42</v>
      </c>
      <c r="E576">
        <v>15</v>
      </c>
      <c r="H576" t="s">
        <v>129</v>
      </c>
      <c r="I576" t="s">
        <v>130</v>
      </c>
      <c r="J576" t="s">
        <v>272</v>
      </c>
      <c r="K576" t="s">
        <v>102</v>
      </c>
      <c r="L576" t="s">
        <v>96</v>
      </c>
      <c r="M576" t="s">
        <v>97</v>
      </c>
      <c r="N576" t="s">
        <v>98</v>
      </c>
      <c r="O576" t="s">
        <v>99</v>
      </c>
      <c r="P576">
        <v>1</v>
      </c>
      <c r="Q576" t="b">
        <v>1</v>
      </c>
      <c r="R576" s="1">
        <v>44437.800694444442</v>
      </c>
      <c r="S576" s="1">
        <v>44437.887499999997</v>
      </c>
      <c r="T576" t="s">
        <v>60</v>
      </c>
      <c r="U576" t="b">
        <v>1</v>
      </c>
      <c r="V576" s="2">
        <v>44437.800694444442</v>
      </c>
      <c r="W576">
        <v>8</v>
      </c>
      <c r="X576">
        <v>2021</v>
      </c>
      <c r="Y576" t="s">
        <v>129</v>
      </c>
      <c r="Z576">
        <v>1</v>
      </c>
    </row>
    <row r="577" spans="1:26" x14ac:dyDescent="0.45">
      <c r="A577">
        <v>2604</v>
      </c>
      <c r="B577">
        <v>1351</v>
      </c>
      <c r="C577" t="s">
        <v>366</v>
      </c>
      <c r="D577" t="s">
        <v>42</v>
      </c>
      <c r="E577">
        <v>21</v>
      </c>
      <c r="F577">
        <v>603</v>
      </c>
      <c r="G577" t="s">
        <v>367</v>
      </c>
      <c r="H577" t="s">
        <v>35</v>
      </c>
      <c r="I577" t="s">
        <v>36</v>
      </c>
      <c r="J577" t="s">
        <v>82</v>
      </c>
      <c r="K577" t="s">
        <v>102</v>
      </c>
      <c r="L577" t="s">
        <v>67</v>
      </c>
      <c r="M577" t="s">
        <v>165</v>
      </c>
      <c r="N577" t="s">
        <v>166</v>
      </c>
      <c r="O577" t="s">
        <v>167</v>
      </c>
      <c r="P577">
        <v>3</v>
      </c>
      <c r="Q577" t="b">
        <v>1</v>
      </c>
      <c r="R577" s="1">
        <v>45217.810416666667</v>
      </c>
      <c r="S577" s="1">
        <v>45224.01458333333</v>
      </c>
      <c r="T577" t="s">
        <v>40</v>
      </c>
      <c r="U577" t="b">
        <v>0</v>
      </c>
      <c r="V577" s="2">
        <v>45217.810416666667</v>
      </c>
      <c r="W577">
        <v>10</v>
      </c>
      <c r="X577">
        <v>2023</v>
      </c>
      <c r="Y577" t="s">
        <v>35</v>
      </c>
      <c r="Z577">
        <v>3</v>
      </c>
    </row>
    <row r="578" spans="1:26" x14ac:dyDescent="0.45">
      <c r="A578">
        <v>2605</v>
      </c>
      <c r="B578">
        <v>1003</v>
      </c>
      <c r="C578" t="s">
        <v>368</v>
      </c>
      <c r="D578" t="s">
        <v>42</v>
      </c>
      <c r="E578">
        <v>46</v>
      </c>
      <c r="F578">
        <v>708</v>
      </c>
      <c r="G578" t="s">
        <v>369</v>
      </c>
      <c r="H578" t="s">
        <v>35</v>
      </c>
      <c r="I578" t="s">
        <v>122</v>
      </c>
      <c r="J578" t="s">
        <v>123</v>
      </c>
      <c r="K578" t="s">
        <v>46</v>
      </c>
      <c r="L578" t="s">
        <v>96</v>
      </c>
      <c r="M578" t="s">
        <v>118</v>
      </c>
      <c r="N578" t="s">
        <v>90</v>
      </c>
      <c r="O578" t="s">
        <v>119</v>
      </c>
      <c r="P578">
        <v>2</v>
      </c>
      <c r="Q578" t="b">
        <v>1</v>
      </c>
      <c r="R578" s="1">
        <v>44608.449305555558</v>
      </c>
      <c r="S578" s="1">
        <v>44609.654166666667</v>
      </c>
      <c r="T578" t="s">
        <v>32</v>
      </c>
      <c r="U578" t="b">
        <v>0</v>
      </c>
      <c r="V578" s="2">
        <v>44608.449305555558</v>
      </c>
      <c r="W578">
        <v>2</v>
      </c>
      <c r="X578">
        <v>2022</v>
      </c>
      <c r="Y578" t="s">
        <v>35</v>
      </c>
      <c r="Z578">
        <v>2</v>
      </c>
    </row>
    <row r="579" spans="1:26" x14ac:dyDescent="0.45">
      <c r="A579">
        <v>2606</v>
      </c>
      <c r="B579">
        <v>1050</v>
      </c>
      <c r="C579" t="s">
        <v>370</v>
      </c>
      <c r="D579" t="s">
        <v>42</v>
      </c>
      <c r="E579">
        <v>56</v>
      </c>
      <c r="F579">
        <v>722</v>
      </c>
      <c r="G579" t="s">
        <v>371</v>
      </c>
      <c r="H579" t="s">
        <v>52</v>
      </c>
      <c r="I579" t="s">
        <v>150</v>
      </c>
      <c r="J579" t="s">
        <v>151</v>
      </c>
      <c r="K579" t="s">
        <v>27</v>
      </c>
      <c r="L579" t="s">
        <v>28</v>
      </c>
      <c r="M579" t="s">
        <v>142</v>
      </c>
      <c r="N579" t="s">
        <v>143</v>
      </c>
      <c r="O579" t="s">
        <v>144</v>
      </c>
      <c r="P579">
        <v>1</v>
      </c>
      <c r="Q579" t="b">
        <v>0</v>
      </c>
      <c r="R579" s="1">
        <v>44055.599305555559</v>
      </c>
      <c r="V579" s="2">
        <v>44055.599305555559</v>
      </c>
      <c r="W579">
        <v>8</v>
      </c>
      <c r="X579">
        <v>2020</v>
      </c>
      <c r="Y579" t="s">
        <v>52</v>
      </c>
      <c r="Z579">
        <v>1</v>
      </c>
    </row>
    <row r="580" spans="1:26" x14ac:dyDescent="0.45">
      <c r="A580">
        <v>2607</v>
      </c>
      <c r="B580">
        <v>1017</v>
      </c>
      <c r="C580" t="s">
        <v>372</v>
      </c>
      <c r="D580" t="s">
        <v>42</v>
      </c>
      <c r="E580">
        <v>46</v>
      </c>
      <c r="F580">
        <v>715</v>
      </c>
      <c r="G580" t="s">
        <v>373</v>
      </c>
      <c r="H580" t="s">
        <v>35</v>
      </c>
      <c r="I580" t="s">
        <v>122</v>
      </c>
      <c r="J580" t="s">
        <v>135</v>
      </c>
      <c r="K580" t="s">
        <v>55</v>
      </c>
      <c r="L580" t="s">
        <v>28</v>
      </c>
      <c r="M580" t="s">
        <v>29</v>
      </c>
      <c r="N580" t="s">
        <v>30</v>
      </c>
      <c r="O580" t="s">
        <v>31</v>
      </c>
      <c r="P580">
        <v>5</v>
      </c>
      <c r="Q580" t="b">
        <v>1</v>
      </c>
      <c r="R580" s="1">
        <v>45228.654861111114</v>
      </c>
      <c r="S580" s="1">
        <v>45229.841666666667</v>
      </c>
      <c r="T580" t="s">
        <v>109</v>
      </c>
      <c r="U580" t="b">
        <v>0</v>
      </c>
      <c r="V580" s="2">
        <v>45228.654861111114</v>
      </c>
      <c r="W580">
        <v>10</v>
      </c>
      <c r="X580">
        <v>2023</v>
      </c>
      <c r="Y580" t="s">
        <v>35</v>
      </c>
      <c r="Z580">
        <v>5</v>
      </c>
    </row>
    <row r="581" spans="1:26" x14ac:dyDescent="0.45">
      <c r="A581">
        <v>2608</v>
      </c>
      <c r="B581">
        <v>1032</v>
      </c>
      <c r="C581" t="s">
        <v>374</v>
      </c>
      <c r="D581" t="s">
        <v>22</v>
      </c>
      <c r="E581">
        <v>34</v>
      </c>
      <c r="F581">
        <v>689</v>
      </c>
      <c r="G581" t="s">
        <v>375</v>
      </c>
      <c r="H581" t="s">
        <v>93</v>
      </c>
      <c r="I581" t="s">
        <v>94</v>
      </c>
      <c r="J581" t="s">
        <v>364</v>
      </c>
      <c r="K581" t="s">
        <v>66</v>
      </c>
      <c r="L581" t="s">
        <v>76</v>
      </c>
      <c r="M581" t="s">
        <v>132</v>
      </c>
      <c r="N581" t="s">
        <v>59</v>
      </c>
      <c r="O581" t="s">
        <v>98</v>
      </c>
      <c r="P581">
        <v>4</v>
      </c>
      <c r="Q581" t="b">
        <v>1</v>
      </c>
      <c r="R581" s="1">
        <v>44149.180555555555</v>
      </c>
      <c r="S581" s="1">
        <v>44155.373611111114</v>
      </c>
      <c r="T581" t="s">
        <v>32</v>
      </c>
      <c r="U581" t="b">
        <v>0</v>
      </c>
      <c r="V581" s="2">
        <v>44149.180555555555</v>
      </c>
      <c r="W581">
        <v>11</v>
      </c>
      <c r="X581">
        <v>2020</v>
      </c>
      <c r="Y581" t="s">
        <v>93</v>
      </c>
      <c r="Z581">
        <v>4</v>
      </c>
    </row>
    <row r="582" spans="1:26" x14ac:dyDescent="0.45">
      <c r="A582">
        <v>2609</v>
      </c>
      <c r="B582">
        <v>1153</v>
      </c>
      <c r="C582" t="s">
        <v>376</v>
      </c>
      <c r="D582" t="s">
        <v>22</v>
      </c>
      <c r="E582">
        <v>37</v>
      </c>
      <c r="F582">
        <v>695</v>
      </c>
      <c r="G582" t="s">
        <v>377</v>
      </c>
      <c r="H582" t="s">
        <v>93</v>
      </c>
      <c r="I582" t="s">
        <v>94</v>
      </c>
      <c r="J582" t="s">
        <v>95</v>
      </c>
      <c r="K582" t="s">
        <v>102</v>
      </c>
      <c r="L582" t="s">
        <v>76</v>
      </c>
      <c r="M582" t="s">
        <v>126</v>
      </c>
      <c r="N582" t="s">
        <v>98</v>
      </c>
      <c r="O582" t="s">
        <v>99</v>
      </c>
      <c r="P582">
        <v>5</v>
      </c>
      <c r="Q582" t="b">
        <v>0</v>
      </c>
      <c r="R582" s="1">
        <v>44500.338194444441</v>
      </c>
      <c r="V582" s="2">
        <v>44500.338194444441</v>
      </c>
      <c r="W582">
        <v>10</v>
      </c>
      <c r="X582">
        <v>2021</v>
      </c>
      <c r="Y582" t="s">
        <v>93</v>
      </c>
      <c r="Z582">
        <v>5</v>
      </c>
    </row>
    <row r="583" spans="1:26" x14ac:dyDescent="0.45">
      <c r="A583">
        <v>2610</v>
      </c>
      <c r="B583">
        <v>1265</v>
      </c>
      <c r="C583" t="s">
        <v>378</v>
      </c>
      <c r="D583" t="s">
        <v>42</v>
      </c>
      <c r="E583">
        <v>31</v>
      </c>
      <c r="F583">
        <v>696</v>
      </c>
      <c r="G583" t="s">
        <v>379</v>
      </c>
      <c r="H583" t="s">
        <v>73</v>
      </c>
      <c r="I583" t="s">
        <v>74</v>
      </c>
      <c r="J583" t="s">
        <v>157</v>
      </c>
      <c r="K583" t="s">
        <v>55</v>
      </c>
      <c r="L583" t="s">
        <v>28</v>
      </c>
      <c r="M583" t="s">
        <v>47</v>
      </c>
      <c r="N583" t="s">
        <v>48</v>
      </c>
      <c r="O583" t="s">
        <v>49</v>
      </c>
      <c r="P583">
        <v>3</v>
      </c>
      <c r="Q583" t="b">
        <v>1</v>
      </c>
      <c r="R583" s="1">
        <v>44451.078472222223</v>
      </c>
      <c r="S583" s="1">
        <v>44451.893055555556</v>
      </c>
      <c r="T583" t="s">
        <v>109</v>
      </c>
      <c r="U583" t="b">
        <v>0</v>
      </c>
      <c r="V583" s="2">
        <v>44451.078472222223</v>
      </c>
      <c r="W583">
        <v>9</v>
      </c>
      <c r="X583">
        <v>2021</v>
      </c>
      <c r="Y583" t="s">
        <v>73</v>
      </c>
      <c r="Z583">
        <v>3</v>
      </c>
    </row>
    <row r="584" spans="1:26" x14ac:dyDescent="0.45">
      <c r="A584">
        <v>2611</v>
      </c>
      <c r="B584">
        <v>1402</v>
      </c>
      <c r="C584" t="s">
        <v>380</v>
      </c>
      <c r="D584" t="s">
        <v>22</v>
      </c>
      <c r="E584">
        <v>21</v>
      </c>
      <c r="F584">
        <v>661</v>
      </c>
      <c r="G584" t="s">
        <v>381</v>
      </c>
      <c r="H584" t="s">
        <v>172</v>
      </c>
      <c r="I584" t="s">
        <v>173</v>
      </c>
      <c r="J584" t="s">
        <v>174</v>
      </c>
      <c r="K584" t="s">
        <v>37</v>
      </c>
      <c r="L584" t="s">
        <v>56</v>
      </c>
      <c r="M584" t="s">
        <v>197</v>
      </c>
      <c r="N584" t="s">
        <v>198</v>
      </c>
      <c r="O584" t="s">
        <v>199</v>
      </c>
      <c r="P584">
        <v>1</v>
      </c>
      <c r="Q584" t="b">
        <v>1</v>
      </c>
      <c r="R584" s="1">
        <v>44447.411805555559</v>
      </c>
      <c r="S584" s="1">
        <v>44448.962500000001</v>
      </c>
      <c r="T584" t="s">
        <v>109</v>
      </c>
      <c r="U584" t="b">
        <v>1</v>
      </c>
      <c r="V584" s="2">
        <v>44447.411805555559</v>
      </c>
      <c r="W584">
        <v>9</v>
      </c>
      <c r="X584">
        <v>2021</v>
      </c>
      <c r="Y584" t="s">
        <v>172</v>
      </c>
      <c r="Z584">
        <v>1</v>
      </c>
    </row>
    <row r="585" spans="1:26" x14ac:dyDescent="0.45">
      <c r="A585">
        <v>2612</v>
      </c>
      <c r="B585">
        <v>1187</v>
      </c>
      <c r="C585" t="s">
        <v>382</v>
      </c>
      <c r="D585" t="s">
        <v>22</v>
      </c>
      <c r="E585">
        <v>70</v>
      </c>
      <c r="F585">
        <v>751</v>
      </c>
      <c r="G585" t="s">
        <v>383</v>
      </c>
      <c r="H585" t="s">
        <v>129</v>
      </c>
      <c r="I585" t="s">
        <v>130</v>
      </c>
      <c r="J585" t="s">
        <v>131</v>
      </c>
      <c r="K585" t="s">
        <v>27</v>
      </c>
      <c r="L585" t="s">
        <v>67</v>
      </c>
      <c r="M585" t="s">
        <v>68</v>
      </c>
      <c r="N585" t="s">
        <v>69</v>
      </c>
      <c r="O585" t="s">
        <v>70</v>
      </c>
      <c r="P585">
        <v>1</v>
      </c>
      <c r="Q585" t="b">
        <v>1</v>
      </c>
      <c r="R585" s="1">
        <v>44137.743055555555</v>
      </c>
      <c r="S585" s="1">
        <v>44141.38958333333</v>
      </c>
      <c r="T585" t="s">
        <v>60</v>
      </c>
      <c r="U585" t="b">
        <v>0</v>
      </c>
      <c r="V585" s="2">
        <v>44137.743055555555</v>
      </c>
      <c r="W585">
        <v>11</v>
      </c>
      <c r="X585">
        <v>2020</v>
      </c>
      <c r="Y585" t="s">
        <v>129</v>
      </c>
      <c r="Z585">
        <v>1</v>
      </c>
    </row>
    <row r="586" spans="1:26" x14ac:dyDescent="0.45">
      <c r="A586">
        <v>2613</v>
      </c>
      <c r="B586">
        <v>1133</v>
      </c>
      <c r="C586" t="s">
        <v>384</v>
      </c>
      <c r="D586" t="s">
        <v>22</v>
      </c>
      <c r="E586">
        <v>18</v>
      </c>
      <c r="F586">
        <v>633</v>
      </c>
      <c r="G586" t="s">
        <v>385</v>
      </c>
      <c r="H586" t="s">
        <v>52</v>
      </c>
      <c r="I586" t="s">
        <v>150</v>
      </c>
      <c r="J586" t="s">
        <v>151</v>
      </c>
      <c r="K586" t="s">
        <v>37</v>
      </c>
      <c r="L586" t="s">
        <v>28</v>
      </c>
      <c r="M586" t="s">
        <v>47</v>
      </c>
      <c r="N586" t="s">
        <v>48</v>
      </c>
      <c r="O586" t="s">
        <v>49</v>
      </c>
      <c r="P586">
        <v>2</v>
      </c>
      <c r="Q586" t="b">
        <v>1</v>
      </c>
      <c r="R586" s="1">
        <v>44755.313888888886</v>
      </c>
      <c r="S586" s="1">
        <v>44755.98333333333</v>
      </c>
      <c r="T586" t="s">
        <v>60</v>
      </c>
      <c r="U586" t="b">
        <v>0</v>
      </c>
      <c r="V586" s="2">
        <v>44755.313888888886</v>
      </c>
      <c r="W586">
        <v>7</v>
      </c>
      <c r="X586">
        <v>2022</v>
      </c>
      <c r="Y586" t="s">
        <v>52</v>
      </c>
      <c r="Z586">
        <v>2</v>
      </c>
    </row>
    <row r="587" spans="1:26" x14ac:dyDescent="0.45">
      <c r="A587">
        <v>2614</v>
      </c>
      <c r="B587">
        <v>1257</v>
      </c>
      <c r="C587" t="s">
        <v>386</v>
      </c>
      <c r="D587" t="s">
        <v>22</v>
      </c>
      <c r="E587">
        <v>27</v>
      </c>
      <c r="F587">
        <v>688</v>
      </c>
      <c r="G587" t="s">
        <v>387</v>
      </c>
      <c r="H587" t="s">
        <v>63</v>
      </c>
      <c r="I587" t="s">
        <v>300</v>
      </c>
      <c r="J587" t="s">
        <v>388</v>
      </c>
      <c r="K587" t="s">
        <v>55</v>
      </c>
      <c r="L587" t="s">
        <v>76</v>
      </c>
      <c r="M587" t="s">
        <v>160</v>
      </c>
      <c r="N587" t="s">
        <v>79</v>
      </c>
      <c r="O587" t="s">
        <v>161</v>
      </c>
      <c r="P587">
        <v>5</v>
      </c>
      <c r="Q587" t="b">
        <v>1</v>
      </c>
      <c r="R587" s="1">
        <v>44564.879861111112</v>
      </c>
      <c r="S587" s="1">
        <v>44571.404861111114</v>
      </c>
      <c r="T587" t="s">
        <v>60</v>
      </c>
      <c r="U587" t="b">
        <v>0</v>
      </c>
      <c r="V587" s="2">
        <v>44564.879861111112</v>
      </c>
      <c r="W587">
        <v>1</v>
      </c>
      <c r="X587">
        <v>2022</v>
      </c>
      <c r="Y587" t="s">
        <v>63</v>
      </c>
      <c r="Z587">
        <v>5</v>
      </c>
    </row>
    <row r="588" spans="1:26" x14ac:dyDescent="0.45">
      <c r="A588">
        <v>2615</v>
      </c>
      <c r="B588">
        <v>1065</v>
      </c>
      <c r="C588" t="s">
        <v>183</v>
      </c>
      <c r="D588" t="s">
        <v>42</v>
      </c>
      <c r="E588">
        <v>23</v>
      </c>
      <c r="F588">
        <v>639</v>
      </c>
      <c r="G588" t="s">
        <v>184</v>
      </c>
      <c r="H588" t="s">
        <v>24</v>
      </c>
      <c r="I588" t="s">
        <v>44</v>
      </c>
      <c r="J588" t="s">
        <v>45</v>
      </c>
      <c r="K588" t="s">
        <v>37</v>
      </c>
      <c r="L588" t="s">
        <v>56</v>
      </c>
      <c r="M588" t="s">
        <v>88</v>
      </c>
      <c r="N588" t="s">
        <v>89</v>
      </c>
      <c r="O588" t="s">
        <v>90</v>
      </c>
      <c r="P588">
        <v>4</v>
      </c>
      <c r="Q588" t="b">
        <v>0</v>
      </c>
      <c r="R588" s="1">
        <v>45282.723611111112</v>
      </c>
      <c r="V588" s="2">
        <v>45282.723611111112</v>
      </c>
      <c r="W588">
        <v>12</v>
      </c>
      <c r="X588">
        <v>2023</v>
      </c>
      <c r="Y588" t="s">
        <v>24</v>
      </c>
      <c r="Z588">
        <v>4</v>
      </c>
    </row>
    <row r="589" spans="1:26" x14ac:dyDescent="0.45">
      <c r="A589">
        <v>2616</v>
      </c>
      <c r="B589">
        <v>1130</v>
      </c>
      <c r="C589" t="s">
        <v>389</v>
      </c>
      <c r="D589" t="s">
        <v>22</v>
      </c>
      <c r="E589">
        <v>72</v>
      </c>
      <c r="F589">
        <v>757</v>
      </c>
      <c r="G589" t="s">
        <v>390</v>
      </c>
      <c r="H589" t="s">
        <v>93</v>
      </c>
      <c r="I589" t="s">
        <v>94</v>
      </c>
      <c r="J589" t="s">
        <v>364</v>
      </c>
      <c r="K589" t="s">
        <v>27</v>
      </c>
      <c r="L589" t="s">
        <v>96</v>
      </c>
      <c r="M589" t="s">
        <v>136</v>
      </c>
      <c r="N589" t="s">
        <v>30</v>
      </c>
      <c r="O589" t="s">
        <v>137</v>
      </c>
      <c r="P589">
        <v>3</v>
      </c>
      <c r="Q589" t="b">
        <v>1</v>
      </c>
      <c r="R589" s="1">
        <v>45221.761805555558</v>
      </c>
      <c r="S589" s="1">
        <v>45226.430555555555</v>
      </c>
      <c r="T589" t="s">
        <v>109</v>
      </c>
      <c r="U589" t="b">
        <v>0</v>
      </c>
      <c r="V589" s="2">
        <v>45221.761805555558</v>
      </c>
      <c r="W589">
        <v>10</v>
      </c>
      <c r="X589">
        <v>2023</v>
      </c>
      <c r="Y589" t="s">
        <v>93</v>
      </c>
      <c r="Z589">
        <v>3</v>
      </c>
    </row>
    <row r="590" spans="1:26" x14ac:dyDescent="0.45">
      <c r="A590">
        <v>2617</v>
      </c>
      <c r="B590">
        <v>1477</v>
      </c>
      <c r="C590" t="s">
        <v>391</v>
      </c>
      <c r="D590" t="s">
        <v>42</v>
      </c>
      <c r="E590">
        <v>45</v>
      </c>
      <c r="F590">
        <v>722</v>
      </c>
      <c r="G590" t="s">
        <v>392</v>
      </c>
      <c r="H590" t="s">
        <v>52</v>
      </c>
      <c r="I590" t="s">
        <v>53</v>
      </c>
      <c r="J590" t="s">
        <v>284</v>
      </c>
      <c r="K590" t="s">
        <v>27</v>
      </c>
      <c r="L590" t="s">
        <v>67</v>
      </c>
      <c r="M590" t="s">
        <v>108</v>
      </c>
      <c r="N590" t="s">
        <v>99</v>
      </c>
      <c r="O590" t="s">
        <v>30</v>
      </c>
      <c r="P590">
        <v>4</v>
      </c>
      <c r="Q590" t="b">
        <v>1</v>
      </c>
      <c r="R590" s="1">
        <v>45275.157638888886</v>
      </c>
      <c r="S590" s="1">
        <v>45275.854166666664</v>
      </c>
      <c r="T590" t="s">
        <v>60</v>
      </c>
      <c r="U590" t="b">
        <v>0</v>
      </c>
      <c r="V590" s="2">
        <v>45275.157638888886</v>
      </c>
      <c r="W590">
        <v>12</v>
      </c>
      <c r="X590">
        <v>2023</v>
      </c>
      <c r="Y590" t="s">
        <v>52</v>
      </c>
      <c r="Z590">
        <v>4</v>
      </c>
    </row>
    <row r="591" spans="1:26" x14ac:dyDescent="0.45">
      <c r="A591">
        <v>2618</v>
      </c>
      <c r="B591">
        <v>1258</v>
      </c>
      <c r="C591" t="s">
        <v>296</v>
      </c>
      <c r="D591" t="s">
        <v>22</v>
      </c>
      <c r="E591">
        <v>65</v>
      </c>
      <c r="F591">
        <v>751</v>
      </c>
      <c r="G591" t="s">
        <v>297</v>
      </c>
      <c r="H591" t="s">
        <v>93</v>
      </c>
      <c r="I591" t="s">
        <v>112</v>
      </c>
      <c r="J591" t="s">
        <v>242</v>
      </c>
      <c r="K591" t="s">
        <v>66</v>
      </c>
      <c r="L591" t="s">
        <v>56</v>
      </c>
      <c r="M591" t="s">
        <v>179</v>
      </c>
      <c r="N591" t="s">
        <v>79</v>
      </c>
      <c r="O591" t="s">
        <v>161</v>
      </c>
      <c r="P591">
        <v>5</v>
      </c>
      <c r="Q591" t="b">
        <v>0</v>
      </c>
      <c r="R591" s="1">
        <v>44873.707638888889</v>
      </c>
      <c r="V591" s="2">
        <v>44873.707638888889</v>
      </c>
      <c r="W591">
        <v>11</v>
      </c>
      <c r="X591">
        <v>2022</v>
      </c>
      <c r="Y591" t="s">
        <v>93</v>
      </c>
      <c r="Z591">
        <v>5</v>
      </c>
    </row>
    <row r="592" spans="1:26" x14ac:dyDescent="0.45">
      <c r="A592">
        <v>2620</v>
      </c>
      <c r="B592">
        <v>1295</v>
      </c>
      <c r="C592" t="s">
        <v>393</v>
      </c>
      <c r="D592" t="s">
        <v>22</v>
      </c>
      <c r="E592">
        <v>70</v>
      </c>
      <c r="F592">
        <v>755</v>
      </c>
      <c r="G592" t="s">
        <v>394</v>
      </c>
      <c r="H592" t="s">
        <v>73</v>
      </c>
      <c r="I592" t="s">
        <v>140</v>
      </c>
      <c r="J592" t="s">
        <v>141</v>
      </c>
      <c r="K592" t="s">
        <v>66</v>
      </c>
      <c r="L592" t="s">
        <v>76</v>
      </c>
      <c r="M592" t="s">
        <v>132</v>
      </c>
      <c r="N592" t="s">
        <v>59</v>
      </c>
      <c r="O592" t="s">
        <v>98</v>
      </c>
      <c r="P592">
        <v>4</v>
      </c>
      <c r="Q592" t="b">
        <v>1</v>
      </c>
      <c r="R592" s="1">
        <v>45230.710416666669</v>
      </c>
      <c r="S592" s="1">
        <v>45236.818055555559</v>
      </c>
      <c r="T592" t="s">
        <v>40</v>
      </c>
      <c r="U592" t="b">
        <v>0</v>
      </c>
      <c r="V592" s="2">
        <v>45230.710416666669</v>
      </c>
      <c r="W592">
        <v>10</v>
      </c>
      <c r="X592">
        <v>2023</v>
      </c>
      <c r="Y592" t="s">
        <v>73</v>
      </c>
      <c r="Z592">
        <v>4</v>
      </c>
    </row>
    <row r="593" spans="1:26" x14ac:dyDescent="0.45">
      <c r="A593">
        <v>2621</v>
      </c>
      <c r="B593">
        <v>1084</v>
      </c>
      <c r="C593" t="s">
        <v>312</v>
      </c>
      <c r="D593" t="s">
        <v>22</v>
      </c>
      <c r="E593">
        <v>46</v>
      </c>
      <c r="F593">
        <v>727</v>
      </c>
      <c r="G593" t="s">
        <v>313</v>
      </c>
      <c r="H593" t="s">
        <v>52</v>
      </c>
      <c r="I593" t="s">
        <v>53</v>
      </c>
      <c r="J593" t="s">
        <v>284</v>
      </c>
      <c r="K593" t="s">
        <v>66</v>
      </c>
      <c r="L593" t="s">
        <v>28</v>
      </c>
      <c r="M593" t="s">
        <v>47</v>
      </c>
      <c r="N593" t="s">
        <v>48</v>
      </c>
      <c r="O593" t="s">
        <v>49</v>
      </c>
      <c r="P593">
        <v>4</v>
      </c>
      <c r="Q593" t="b">
        <v>1</v>
      </c>
      <c r="R593" s="1">
        <v>44674.741666666669</v>
      </c>
      <c r="S593" s="1">
        <v>44679.652083333334</v>
      </c>
      <c r="T593" t="s">
        <v>109</v>
      </c>
      <c r="U593" t="b">
        <v>0</v>
      </c>
      <c r="V593" s="2">
        <v>44674.741666666669</v>
      </c>
      <c r="W593">
        <v>4</v>
      </c>
      <c r="X593">
        <v>2022</v>
      </c>
      <c r="Y593" t="s">
        <v>52</v>
      </c>
      <c r="Z593">
        <v>4</v>
      </c>
    </row>
    <row r="594" spans="1:26" x14ac:dyDescent="0.45">
      <c r="A594">
        <v>2622</v>
      </c>
      <c r="B594">
        <v>1205</v>
      </c>
      <c r="C594" t="s">
        <v>395</v>
      </c>
      <c r="D594" t="s">
        <v>42</v>
      </c>
      <c r="E594">
        <v>27</v>
      </c>
      <c r="F594">
        <v>693</v>
      </c>
      <c r="G594" t="s">
        <v>396</v>
      </c>
      <c r="H594" t="s">
        <v>172</v>
      </c>
      <c r="I594" t="s">
        <v>177</v>
      </c>
      <c r="J594" t="s">
        <v>178</v>
      </c>
      <c r="K594" t="s">
        <v>102</v>
      </c>
      <c r="L594" t="s">
        <v>56</v>
      </c>
      <c r="M594" t="s">
        <v>197</v>
      </c>
      <c r="N594" t="s">
        <v>198</v>
      </c>
      <c r="O594" t="s">
        <v>199</v>
      </c>
      <c r="P594">
        <v>1</v>
      </c>
      <c r="Q594" t="b">
        <v>1</v>
      </c>
      <c r="R594" s="1">
        <v>45182.055555555555</v>
      </c>
      <c r="S594" s="1">
        <v>45187.038194444445</v>
      </c>
      <c r="T594" t="s">
        <v>40</v>
      </c>
      <c r="U594" t="b">
        <v>0</v>
      </c>
      <c r="V594" s="2">
        <v>45182.055555555555</v>
      </c>
      <c r="W594">
        <v>9</v>
      </c>
      <c r="X594">
        <v>2023</v>
      </c>
      <c r="Y594" t="s">
        <v>172</v>
      </c>
      <c r="Z594">
        <v>1</v>
      </c>
    </row>
    <row r="595" spans="1:26" x14ac:dyDescent="0.45">
      <c r="A595">
        <v>2623</v>
      </c>
      <c r="B595">
        <v>1216</v>
      </c>
      <c r="C595" t="s">
        <v>120</v>
      </c>
      <c r="D595" t="s">
        <v>22</v>
      </c>
      <c r="E595">
        <v>68</v>
      </c>
      <c r="F595">
        <v>747</v>
      </c>
      <c r="G595" t="s">
        <v>121</v>
      </c>
      <c r="H595" t="s">
        <v>35</v>
      </c>
      <c r="I595" t="s">
        <v>122</v>
      </c>
      <c r="J595" t="s">
        <v>123</v>
      </c>
      <c r="K595" t="s">
        <v>27</v>
      </c>
      <c r="L595" t="s">
        <v>28</v>
      </c>
      <c r="M595" t="s">
        <v>142</v>
      </c>
      <c r="N595" t="s">
        <v>143</v>
      </c>
      <c r="O595" t="s">
        <v>144</v>
      </c>
      <c r="P595">
        <v>5</v>
      </c>
      <c r="Q595" t="b">
        <v>1</v>
      </c>
      <c r="R595" s="1">
        <v>44882.781944444447</v>
      </c>
      <c r="S595" s="1">
        <v>44884.980555555558</v>
      </c>
      <c r="T595" t="s">
        <v>60</v>
      </c>
      <c r="U595" t="b">
        <v>0</v>
      </c>
      <c r="V595" s="2">
        <v>44882.781944444447</v>
      </c>
      <c r="W595">
        <v>11</v>
      </c>
      <c r="X595">
        <v>2022</v>
      </c>
      <c r="Y595" t="s">
        <v>35</v>
      </c>
      <c r="Z595">
        <v>5</v>
      </c>
    </row>
    <row r="596" spans="1:26" x14ac:dyDescent="0.45">
      <c r="A596">
        <v>2624</v>
      </c>
      <c r="B596">
        <v>1166</v>
      </c>
      <c r="C596" t="s">
        <v>397</v>
      </c>
      <c r="D596" t="s">
        <v>22</v>
      </c>
      <c r="E596">
        <v>70</v>
      </c>
      <c r="F596">
        <v>754</v>
      </c>
      <c r="G596" t="s">
        <v>398</v>
      </c>
      <c r="H596" t="s">
        <v>172</v>
      </c>
      <c r="I596" t="s">
        <v>173</v>
      </c>
      <c r="J596" t="s">
        <v>399</v>
      </c>
      <c r="K596" t="s">
        <v>27</v>
      </c>
      <c r="L596" t="s">
        <v>67</v>
      </c>
      <c r="M596" t="s">
        <v>233</v>
      </c>
      <c r="N596" t="s">
        <v>89</v>
      </c>
      <c r="O596" t="s">
        <v>90</v>
      </c>
      <c r="P596">
        <v>1</v>
      </c>
      <c r="Q596" t="b">
        <v>1</v>
      </c>
      <c r="R596" s="1">
        <v>43853.436805555553</v>
      </c>
      <c r="S596" s="1">
        <v>43853.568749999999</v>
      </c>
      <c r="T596" t="s">
        <v>60</v>
      </c>
      <c r="U596" t="b">
        <v>0</v>
      </c>
      <c r="V596" s="2">
        <v>43853.436805555553</v>
      </c>
      <c r="W596">
        <v>1</v>
      </c>
      <c r="X596">
        <v>2020</v>
      </c>
      <c r="Y596" t="s">
        <v>172</v>
      </c>
      <c r="Z596">
        <v>1</v>
      </c>
    </row>
    <row r="597" spans="1:26" x14ac:dyDescent="0.45">
      <c r="A597">
        <v>2625</v>
      </c>
      <c r="B597">
        <v>1409</v>
      </c>
      <c r="C597" t="s">
        <v>400</v>
      </c>
      <c r="D597" t="s">
        <v>22</v>
      </c>
      <c r="E597">
        <v>59</v>
      </c>
      <c r="F597">
        <v>760</v>
      </c>
      <c r="G597" t="s">
        <v>401</v>
      </c>
      <c r="H597" t="s">
        <v>63</v>
      </c>
      <c r="I597" t="s">
        <v>64</v>
      </c>
      <c r="J597" t="s">
        <v>164</v>
      </c>
      <c r="K597" t="s">
        <v>55</v>
      </c>
      <c r="L597" t="s">
        <v>28</v>
      </c>
      <c r="M597" t="s">
        <v>142</v>
      </c>
      <c r="N597" t="s">
        <v>143</v>
      </c>
      <c r="O597" t="s">
        <v>144</v>
      </c>
      <c r="P597">
        <v>1</v>
      </c>
      <c r="Q597" t="b">
        <v>1</v>
      </c>
      <c r="R597" s="1">
        <v>43916.070138888892</v>
      </c>
      <c r="S597" s="1">
        <v>43918.537499999999</v>
      </c>
      <c r="T597" t="s">
        <v>40</v>
      </c>
      <c r="U597" t="b">
        <v>0</v>
      </c>
      <c r="V597" s="2">
        <v>43916.070138888892</v>
      </c>
      <c r="W597">
        <v>3</v>
      </c>
      <c r="X597">
        <v>2020</v>
      </c>
      <c r="Y597" t="s">
        <v>63</v>
      </c>
      <c r="Z597">
        <v>1</v>
      </c>
    </row>
    <row r="598" spans="1:26" x14ac:dyDescent="0.45">
      <c r="A598">
        <v>2626</v>
      </c>
      <c r="B598">
        <v>1094</v>
      </c>
      <c r="C598" t="s">
        <v>238</v>
      </c>
      <c r="D598" t="s">
        <v>42</v>
      </c>
      <c r="E598">
        <v>36</v>
      </c>
      <c r="F598">
        <v>683</v>
      </c>
      <c r="G598" t="s">
        <v>239</v>
      </c>
      <c r="H598" t="s">
        <v>172</v>
      </c>
      <c r="I598" t="s">
        <v>177</v>
      </c>
      <c r="J598" t="s">
        <v>178</v>
      </c>
      <c r="K598" t="s">
        <v>102</v>
      </c>
      <c r="L598" t="s">
        <v>28</v>
      </c>
      <c r="M598" t="s">
        <v>142</v>
      </c>
      <c r="N598" t="s">
        <v>143</v>
      </c>
      <c r="O598" t="s">
        <v>144</v>
      </c>
      <c r="P598">
        <v>4</v>
      </c>
      <c r="Q598" t="b">
        <v>1</v>
      </c>
      <c r="R598" s="1">
        <v>45185.113888888889</v>
      </c>
      <c r="S598" s="1">
        <v>45186.505555555559</v>
      </c>
      <c r="T598" t="s">
        <v>109</v>
      </c>
      <c r="U598" t="b">
        <v>0</v>
      </c>
      <c r="V598" s="2">
        <v>45185.113888888889</v>
      </c>
      <c r="W598">
        <v>9</v>
      </c>
      <c r="X598">
        <v>2023</v>
      </c>
      <c r="Y598" t="s">
        <v>172</v>
      </c>
      <c r="Z598">
        <v>4</v>
      </c>
    </row>
    <row r="599" spans="1:26" x14ac:dyDescent="0.45">
      <c r="A599">
        <v>2627</v>
      </c>
      <c r="B599">
        <v>1266</v>
      </c>
      <c r="C599" t="s">
        <v>402</v>
      </c>
      <c r="D599" t="s">
        <v>42</v>
      </c>
      <c r="E599">
        <v>45</v>
      </c>
      <c r="F599">
        <v>715</v>
      </c>
      <c r="G599" t="s">
        <v>403</v>
      </c>
      <c r="H599" t="s">
        <v>52</v>
      </c>
      <c r="I599" t="s">
        <v>150</v>
      </c>
      <c r="J599" t="s">
        <v>306</v>
      </c>
      <c r="K599" t="s">
        <v>55</v>
      </c>
      <c r="L599" t="s">
        <v>67</v>
      </c>
      <c r="M599" t="s">
        <v>233</v>
      </c>
      <c r="N599" t="s">
        <v>89</v>
      </c>
      <c r="O599" t="s">
        <v>90</v>
      </c>
      <c r="P599">
        <v>3</v>
      </c>
      <c r="Q599" t="b">
        <v>1</v>
      </c>
      <c r="R599" s="1">
        <v>43882.788888888892</v>
      </c>
      <c r="S599" s="1">
        <v>43887.675694444442</v>
      </c>
      <c r="T599" t="s">
        <v>40</v>
      </c>
      <c r="U599" t="b">
        <v>0</v>
      </c>
      <c r="V599" s="2">
        <v>43882.788888888892</v>
      </c>
      <c r="W599">
        <v>2</v>
      </c>
      <c r="X599">
        <v>2020</v>
      </c>
      <c r="Y599" t="s">
        <v>52</v>
      </c>
      <c r="Z599">
        <v>3</v>
      </c>
    </row>
    <row r="600" spans="1:26" x14ac:dyDescent="0.45">
      <c r="A600">
        <v>2628</v>
      </c>
      <c r="B600">
        <v>1428</v>
      </c>
      <c r="C600" t="s">
        <v>226</v>
      </c>
      <c r="D600" t="s">
        <v>22</v>
      </c>
      <c r="E600">
        <v>66</v>
      </c>
      <c r="F600">
        <v>757</v>
      </c>
      <c r="G600" t="s">
        <v>227</v>
      </c>
      <c r="H600" t="s">
        <v>73</v>
      </c>
      <c r="I600" t="s">
        <v>140</v>
      </c>
      <c r="J600" t="s">
        <v>228</v>
      </c>
      <c r="K600" t="s">
        <v>27</v>
      </c>
      <c r="L600" t="s">
        <v>76</v>
      </c>
      <c r="M600" t="s">
        <v>160</v>
      </c>
      <c r="N600" t="s">
        <v>79</v>
      </c>
      <c r="O600" t="s">
        <v>161</v>
      </c>
      <c r="P600">
        <v>5</v>
      </c>
      <c r="Q600" t="b">
        <v>0</v>
      </c>
      <c r="R600" s="1">
        <v>44439.215277777781</v>
      </c>
      <c r="V600" s="2">
        <v>44439.215277777781</v>
      </c>
      <c r="W600">
        <v>8</v>
      </c>
      <c r="X600">
        <v>2021</v>
      </c>
      <c r="Y600" t="s">
        <v>73</v>
      </c>
      <c r="Z600">
        <v>5</v>
      </c>
    </row>
    <row r="601" spans="1:26" x14ac:dyDescent="0.45">
      <c r="A601">
        <v>2629</v>
      </c>
      <c r="B601">
        <v>1453</v>
      </c>
      <c r="C601" t="s">
        <v>287</v>
      </c>
      <c r="D601" t="s">
        <v>22</v>
      </c>
      <c r="E601">
        <v>15</v>
      </c>
      <c r="H601" t="s">
        <v>52</v>
      </c>
      <c r="I601" t="s">
        <v>53</v>
      </c>
      <c r="J601" t="s">
        <v>54</v>
      </c>
      <c r="K601" t="s">
        <v>27</v>
      </c>
      <c r="L601" t="s">
        <v>56</v>
      </c>
      <c r="M601" t="s">
        <v>179</v>
      </c>
      <c r="N601" t="s">
        <v>79</v>
      </c>
      <c r="O601" t="s">
        <v>161</v>
      </c>
      <c r="P601">
        <v>5</v>
      </c>
      <c r="Q601" t="b">
        <v>1</v>
      </c>
      <c r="R601" s="1">
        <v>43860.711111111108</v>
      </c>
      <c r="S601" s="1">
        <v>43866.216666666667</v>
      </c>
      <c r="T601" t="s">
        <v>109</v>
      </c>
      <c r="U601" t="b">
        <v>0</v>
      </c>
      <c r="V601" s="2">
        <v>43860.711111111108</v>
      </c>
      <c r="W601">
        <v>1</v>
      </c>
      <c r="X601">
        <v>2020</v>
      </c>
      <c r="Y601" t="s">
        <v>52</v>
      </c>
      <c r="Z601">
        <v>5</v>
      </c>
    </row>
    <row r="602" spans="1:26" x14ac:dyDescent="0.45">
      <c r="A602">
        <v>2630</v>
      </c>
      <c r="B602">
        <v>1268</v>
      </c>
      <c r="C602" t="s">
        <v>404</v>
      </c>
      <c r="D602" t="s">
        <v>42</v>
      </c>
      <c r="E602">
        <v>69</v>
      </c>
      <c r="F602">
        <v>754</v>
      </c>
      <c r="G602" t="s">
        <v>405</v>
      </c>
      <c r="H602" t="s">
        <v>93</v>
      </c>
      <c r="I602" t="s">
        <v>112</v>
      </c>
      <c r="J602" t="s">
        <v>242</v>
      </c>
      <c r="K602" t="s">
        <v>27</v>
      </c>
      <c r="L602" t="s">
        <v>96</v>
      </c>
      <c r="M602" t="s">
        <v>118</v>
      </c>
      <c r="N602" t="s">
        <v>90</v>
      </c>
      <c r="O602" t="s">
        <v>119</v>
      </c>
      <c r="P602">
        <v>3</v>
      </c>
      <c r="Q602" t="b">
        <v>1</v>
      </c>
      <c r="R602" s="1">
        <v>44385.556250000001</v>
      </c>
      <c r="S602" s="1">
        <v>44390.081944444442</v>
      </c>
      <c r="T602" t="s">
        <v>109</v>
      </c>
      <c r="U602" t="b">
        <v>0</v>
      </c>
      <c r="V602" s="2">
        <v>44385.556250000001</v>
      </c>
      <c r="W602">
        <v>7</v>
      </c>
      <c r="X602">
        <v>2021</v>
      </c>
      <c r="Y602" t="s">
        <v>93</v>
      </c>
      <c r="Z602">
        <v>3</v>
      </c>
    </row>
    <row r="603" spans="1:26" x14ac:dyDescent="0.45">
      <c r="A603">
        <v>2631</v>
      </c>
      <c r="B603">
        <v>1332</v>
      </c>
      <c r="C603" t="s">
        <v>406</v>
      </c>
      <c r="D603" t="s">
        <v>22</v>
      </c>
      <c r="E603">
        <v>33</v>
      </c>
      <c r="F603">
        <v>699</v>
      </c>
      <c r="G603" t="s">
        <v>407</v>
      </c>
      <c r="H603" t="s">
        <v>129</v>
      </c>
      <c r="I603" t="s">
        <v>130</v>
      </c>
      <c r="J603" t="s">
        <v>131</v>
      </c>
      <c r="K603" t="s">
        <v>37</v>
      </c>
      <c r="L603" t="s">
        <v>67</v>
      </c>
      <c r="M603" t="s">
        <v>108</v>
      </c>
      <c r="N603" t="s">
        <v>99</v>
      </c>
      <c r="O603" t="s">
        <v>30</v>
      </c>
      <c r="P603">
        <v>4</v>
      </c>
      <c r="Q603" t="b">
        <v>1</v>
      </c>
      <c r="R603" s="1">
        <v>44137.013888888891</v>
      </c>
      <c r="S603" s="1">
        <v>44143.213194444441</v>
      </c>
      <c r="T603" t="s">
        <v>32</v>
      </c>
      <c r="U603" t="b">
        <v>0</v>
      </c>
      <c r="V603" s="2">
        <v>44137.013888888891</v>
      </c>
      <c r="W603">
        <v>11</v>
      </c>
      <c r="X603">
        <v>2020</v>
      </c>
      <c r="Y603" t="s">
        <v>129</v>
      </c>
      <c r="Z603">
        <v>4</v>
      </c>
    </row>
    <row r="604" spans="1:26" x14ac:dyDescent="0.45">
      <c r="A604">
        <v>2632</v>
      </c>
      <c r="B604">
        <v>1022</v>
      </c>
      <c r="C604" t="s">
        <v>408</v>
      </c>
      <c r="D604" t="s">
        <v>42</v>
      </c>
      <c r="E604">
        <v>61</v>
      </c>
      <c r="F604">
        <v>759</v>
      </c>
      <c r="G604" t="s">
        <v>409</v>
      </c>
      <c r="H604" t="s">
        <v>129</v>
      </c>
      <c r="I604" t="s">
        <v>263</v>
      </c>
      <c r="J604" t="s">
        <v>278</v>
      </c>
      <c r="K604" t="s">
        <v>55</v>
      </c>
      <c r="L604" t="s">
        <v>67</v>
      </c>
      <c r="M604" t="s">
        <v>233</v>
      </c>
      <c r="N604" t="s">
        <v>89</v>
      </c>
      <c r="O604" t="s">
        <v>90</v>
      </c>
      <c r="P604">
        <v>2</v>
      </c>
      <c r="Q604" t="b">
        <v>1</v>
      </c>
      <c r="R604" s="1">
        <v>44817.017361111109</v>
      </c>
      <c r="S604" s="1">
        <v>44820.832638888889</v>
      </c>
      <c r="T604" t="s">
        <v>60</v>
      </c>
      <c r="U604" t="b">
        <v>0</v>
      </c>
      <c r="V604" s="2">
        <v>44817.017361111109</v>
      </c>
      <c r="W604">
        <v>9</v>
      </c>
      <c r="X604">
        <v>2022</v>
      </c>
      <c r="Y604" t="s">
        <v>129</v>
      </c>
      <c r="Z604">
        <v>2</v>
      </c>
    </row>
    <row r="605" spans="1:26" x14ac:dyDescent="0.45">
      <c r="A605">
        <v>2633</v>
      </c>
      <c r="B605">
        <v>1472</v>
      </c>
      <c r="C605" t="s">
        <v>209</v>
      </c>
      <c r="D605" t="s">
        <v>42</v>
      </c>
      <c r="E605">
        <v>46</v>
      </c>
      <c r="F605">
        <v>733</v>
      </c>
      <c r="G605" t="s">
        <v>210</v>
      </c>
      <c r="H605" t="s">
        <v>63</v>
      </c>
      <c r="I605" t="s">
        <v>64</v>
      </c>
      <c r="J605" t="s">
        <v>164</v>
      </c>
      <c r="K605" t="s">
        <v>55</v>
      </c>
      <c r="L605" t="s">
        <v>28</v>
      </c>
      <c r="M605" t="s">
        <v>47</v>
      </c>
      <c r="N605" t="s">
        <v>48</v>
      </c>
      <c r="O605" t="s">
        <v>49</v>
      </c>
      <c r="P605">
        <v>1</v>
      </c>
      <c r="Q605" t="b">
        <v>1</v>
      </c>
      <c r="R605" s="1">
        <v>44288.015972222223</v>
      </c>
      <c r="S605" s="1">
        <v>44291.978472222225</v>
      </c>
      <c r="T605" t="s">
        <v>60</v>
      </c>
      <c r="U605" t="b">
        <v>0</v>
      </c>
      <c r="V605" s="2">
        <v>44288.015972222223</v>
      </c>
      <c r="W605">
        <v>4</v>
      </c>
      <c r="X605">
        <v>2021</v>
      </c>
      <c r="Y605" t="s">
        <v>63</v>
      </c>
      <c r="Z605">
        <v>1</v>
      </c>
    </row>
    <row r="606" spans="1:26" x14ac:dyDescent="0.45">
      <c r="A606">
        <v>2634</v>
      </c>
      <c r="B606">
        <v>1434</v>
      </c>
      <c r="C606" t="s">
        <v>410</v>
      </c>
      <c r="D606" t="s">
        <v>22</v>
      </c>
      <c r="E606">
        <v>75</v>
      </c>
      <c r="F606">
        <v>754</v>
      </c>
      <c r="G606" t="s">
        <v>411</v>
      </c>
      <c r="H606" t="s">
        <v>93</v>
      </c>
      <c r="I606" t="s">
        <v>112</v>
      </c>
      <c r="J606" t="s">
        <v>113</v>
      </c>
      <c r="K606" t="s">
        <v>102</v>
      </c>
      <c r="L606" t="s">
        <v>28</v>
      </c>
      <c r="M606" t="s">
        <v>29</v>
      </c>
      <c r="N606" t="s">
        <v>30</v>
      </c>
      <c r="O606" t="s">
        <v>31</v>
      </c>
      <c r="P606">
        <v>3</v>
      </c>
      <c r="Q606" t="b">
        <v>0</v>
      </c>
      <c r="R606" s="1">
        <v>44079.852083333331</v>
      </c>
      <c r="V606" s="2">
        <v>44079.852083333331</v>
      </c>
      <c r="W606">
        <v>9</v>
      </c>
      <c r="X606">
        <v>2020</v>
      </c>
      <c r="Y606" t="s">
        <v>93</v>
      </c>
      <c r="Z606">
        <v>3</v>
      </c>
    </row>
    <row r="607" spans="1:26" x14ac:dyDescent="0.45">
      <c r="A607">
        <v>2635</v>
      </c>
      <c r="B607">
        <v>1038</v>
      </c>
      <c r="C607" t="s">
        <v>412</v>
      </c>
      <c r="D607" t="s">
        <v>22</v>
      </c>
      <c r="E607">
        <v>63</v>
      </c>
      <c r="F607">
        <v>745</v>
      </c>
      <c r="G607" t="s">
        <v>413</v>
      </c>
      <c r="H607" t="s">
        <v>73</v>
      </c>
      <c r="I607" t="s">
        <v>74</v>
      </c>
      <c r="J607" t="s">
        <v>157</v>
      </c>
      <c r="K607" t="s">
        <v>102</v>
      </c>
      <c r="L607" t="s">
        <v>96</v>
      </c>
      <c r="M607" t="s">
        <v>97</v>
      </c>
      <c r="N607" t="s">
        <v>98</v>
      </c>
      <c r="O607" t="s">
        <v>99</v>
      </c>
      <c r="P607">
        <v>2</v>
      </c>
      <c r="Q607" t="b">
        <v>1</v>
      </c>
      <c r="R607" s="1">
        <v>44466.546527777777</v>
      </c>
      <c r="S607" s="1">
        <v>44469.49722222222</v>
      </c>
      <c r="T607" t="s">
        <v>40</v>
      </c>
      <c r="U607" t="b">
        <v>0</v>
      </c>
      <c r="V607" s="2">
        <v>44466.546527777777</v>
      </c>
      <c r="W607">
        <v>9</v>
      </c>
      <c r="X607">
        <v>2021</v>
      </c>
      <c r="Y607" t="s">
        <v>73</v>
      </c>
      <c r="Z607">
        <v>2</v>
      </c>
    </row>
    <row r="608" spans="1:26" x14ac:dyDescent="0.45">
      <c r="A608">
        <v>2636</v>
      </c>
      <c r="B608">
        <v>1121</v>
      </c>
      <c r="C608" t="s">
        <v>414</v>
      </c>
      <c r="D608" t="s">
        <v>42</v>
      </c>
      <c r="E608">
        <v>34</v>
      </c>
      <c r="F608">
        <v>698</v>
      </c>
      <c r="G608" t="s">
        <v>415</v>
      </c>
      <c r="H608" t="s">
        <v>93</v>
      </c>
      <c r="I608" t="s">
        <v>112</v>
      </c>
      <c r="J608" t="s">
        <v>242</v>
      </c>
      <c r="K608" t="s">
        <v>66</v>
      </c>
      <c r="L608" t="s">
        <v>67</v>
      </c>
      <c r="M608" t="s">
        <v>108</v>
      </c>
      <c r="N608" t="s">
        <v>99</v>
      </c>
      <c r="O608" t="s">
        <v>30</v>
      </c>
      <c r="P608">
        <v>2</v>
      </c>
      <c r="Q608" t="b">
        <v>1</v>
      </c>
      <c r="R608" s="1">
        <v>44265.195833333331</v>
      </c>
      <c r="S608" s="1">
        <v>44270.881249999999</v>
      </c>
      <c r="T608" t="s">
        <v>40</v>
      </c>
      <c r="U608" t="b">
        <v>0</v>
      </c>
      <c r="V608" s="2">
        <v>44265.195833333331</v>
      </c>
      <c r="W608">
        <v>3</v>
      </c>
      <c r="X608">
        <v>2021</v>
      </c>
      <c r="Y608" t="s">
        <v>93</v>
      </c>
      <c r="Z608">
        <v>2</v>
      </c>
    </row>
    <row r="609" spans="1:26" x14ac:dyDescent="0.45">
      <c r="A609">
        <v>2637</v>
      </c>
      <c r="B609">
        <v>1464</v>
      </c>
      <c r="C609" t="s">
        <v>416</v>
      </c>
      <c r="D609" t="s">
        <v>42</v>
      </c>
      <c r="E609">
        <v>46</v>
      </c>
      <c r="F609">
        <v>713</v>
      </c>
      <c r="G609" t="s">
        <v>417</v>
      </c>
      <c r="H609" t="s">
        <v>24</v>
      </c>
      <c r="I609" t="s">
        <v>25</v>
      </c>
      <c r="J609" t="s">
        <v>26</v>
      </c>
      <c r="K609" t="s">
        <v>46</v>
      </c>
      <c r="L609" t="s">
        <v>67</v>
      </c>
      <c r="M609" t="s">
        <v>233</v>
      </c>
      <c r="N609" t="s">
        <v>89</v>
      </c>
      <c r="O609" t="s">
        <v>90</v>
      </c>
      <c r="P609">
        <v>3</v>
      </c>
      <c r="Q609" t="b">
        <v>0</v>
      </c>
      <c r="R609" s="1">
        <v>44176.155555555553</v>
      </c>
      <c r="V609" s="2">
        <v>44176.155555555553</v>
      </c>
      <c r="W609">
        <v>12</v>
      </c>
      <c r="X609">
        <v>2020</v>
      </c>
      <c r="Y609" t="s">
        <v>24</v>
      </c>
      <c r="Z609">
        <v>3</v>
      </c>
    </row>
    <row r="610" spans="1:26" x14ac:dyDescent="0.45">
      <c r="A610">
        <v>2638</v>
      </c>
      <c r="B610">
        <v>1085</v>
      </c>
      <c r="C610" t="s">
        <v>418</v>
      </c>
      <c r="D610" t="s">
        <v>22</v>
      </c>
      <c r="E610">
        <v>45</v>
      </c>
      <c r="F610">
        <v>726</v>
      </c>
      <c r="G610" t="s">
        <v>419</v>
      </c>
      <c r="H610" t="s">
        <v>35</v>
      </c>
      <c r="I610" t="s">
        <v>36</v>
      </c>
      <c r="J610" t="s">
        <v>36</v>
      </c>
      <c r="K610" t="s">
        <v>37</v>
      </c>
      <c r="L610" t="s">
        <v>67</v>
      </c>
      <c r="M610" t="s">
        <v>233</v>
      </c>
      <c r="N610" t="s">
        <v>89</v>
      </c>
      <c r="O610" t="s">
        <v>90</v>
      </c>
      <c r="P610">
        <v>1</v>
      </c>
      <c r="Q610" t="b">
        <v>1</v>
      </c>
      <c r="R610" s="1">
        <v>45030.293749999997</v>
      </c>
      <c r="S610" s="1">
        <v>45032.647916666669</v>
      </c>
      <c r="T610" t="s">
        <v>60</v>
      </c>
      <c r="U610" t="b">
        <v>1</v>
      </c>
      <c r="V610" s="2">
        <v>45030.293749999997</v>
      </c>
      <c r="W610">
        <v>4</v>
      </c>
      <c r="X610">
        <v>2023</v>
      </c>
      <c r="Y610" t="s">
        <v>35</v>
      </c>
      <c r="Z610">
        <v>1</v>
      </c>
    </row>
    <row r="611" spans="1:26" x14ac:dyDescent="0.45">
      <c r="A611">
        <v>2639</v>
      </c>
      <c r="B611">
        <v>1115</v>
      </c>
      <c r="C611" t="s">
        <v>420</v>
      </c>
      <c r="D611" t="s">
        <v>42</v>
      </c>
      <c r="E611">
        <v>14</v>
      </c>
      <c r="H611" t="s">
        <v>35</v>
      </c>
      <c r="I611" t="s">
        <v>122</v>
      </c>
      <c r="J611" t="s">
        <v>82</v>
      </c>
      <c r="K611" t="s">
        <v>27</v>
      </c>
      <c r="L611" t="s">
        <v>56</v>
      </c>
      <c r="M611" t="s">
        <v>57</v>
      </c>
      <c r="N611" t="s">
        <v>58</v>
      </c>
      <c r="O611" t="s">
        <v>59</v>
      </c>
      <c r="P611">
        <v>1</v>
      </c>
      <c r="Q611" t="b">
        <v>1</v>
      </c>
      <c r="R611" s="1">
        <v>45124.22152777778</v>
      </c>
      <c r="S611" s="1">
        <v>45125.805555555555</v>
      </c>
      <c r="T611" t="s">
        <v>60</v>
      </c>
      <c r="U611" t="b">
        <v>0</v>
      </c>
      <c r="V611" s="2">
        <v>45124.22152777778</v>
      </c>
      <c r="W611">
        <v>7</v>
      </c>
      <c r="X611">
        <v>2023</v>
      </c>
      <c r="Y611" t="s">
        <v>35</v>
      </c>
      <c r="Z611">
        <v>1</v>
      </c>
    </row>
    <row r="612" spans="1:26" x14ac:dyDescent="0.45">
      <c r="A612">
        <v>2640</v>
      </c>
      <c r="B612">
        <v>1308</v>
      </c>
      <c r="C612" t="s">
        <v>421</v>
      </c>
      <c r="D612" t="s">
        <v>42</v>
      </c>
      <c r="E612">
        <v>58</v>
      </c>
      <c r="F612">
        <v>747</v>
      </c>
      <c r="G612" t="s">
        <v>422</v>
      </c>
      <c r="H612" t="s">
        <v>172</v>
      </c>
      <c r="I612" t="s">
        <v>173</v>
      </c>
      <c r="J612" t="s">
        <v>423</v>
      </c>
      <c r="K612" t="s">
        <v>27</v>
      </c>
      <c r="L612" t="s">
        <v>76</v>
      </c>
      <c r="M612" t="s">
        <v>132</v>
      </c>
      <c r="N612" t="s">
        <v>59</v>
      </c>
      <c r="O612" t="s">
        <v>98</v>
      </c>
      <c r="P612">
        <v>2</v>
      </c>
      <c r="Q612" t="b">
        <v>0</v>
      </c>
      <c r="R612" s="1">
        <v>45017.1875</v>
      </c>
      <c r="V612" s="2">
        <v>45017.1875</v>
      </c>
      <c r="W612">
        <v>4</v>
      </c>
      <c r="X612">
        <v>2023</v>
      </c>
      <c r="Y612" t="s">
        <v>172</v>
      </c>
      <c r="Z612">
        <v>2</v>
      </c>
    </row>
    <row r="613" spans="1:26" x14ac:dyDescent="0.45">
      <c r="A613">
        <v>2641</v>
      </c>
      <c r="B613">
        <v>1424</v>
      </c>
      <c r="C613" t="s">
        <v>216</v>
      </c>
      <c r="D613" t="s">
        <v>42</v>
      </c>
      <c r="E613">
        <v>31</v>
      </c>
      <c r="F613">
        <v>689</v>
      </c>
      <c r="G613" t="s">
        <v>217</v>
      </c>
      <c r="H613" t="s">
        <v>85</v>
      </c>
      <c r="I613" t="s">
        <v>86</v>
      </c>
      <c r="J613" t="s">
        <v>182</v>
      </c>
      <c r="K613" t="s">
        <v>27</v>
      </c>
      <c r="L613" t="s">
        <v>96</v>
      </c>
      <c r="M613" t="s">
        <v>118</v>
      </c>
      <c r="N613" t="s">
        <v>90</v>
      </c>
      <c r="O613" t="s">
        <v>119</v>
      </c>
      <c r="P613">
        <v>1</v>
      </c>
      <c r="Q613" t="b">
        <v>1</v>
      </c>
      <c r="R613" s="1">
        <v>44180.804166666669</v>
      </c>
      <c r="S613" s="1">
        <v>44187.750694444447</v>
      </c>
      <c r="T613" t="s">
        <v>40</v>
      </c>
      <c r="U613" t="b">
        <v>0</v>
      </c>
      <c r="V613" s="2">
        <v>44180.804166666669</v>
      </c>
      <c r="W613">
        <v>12</v>
      </c>
      <c r="X613">
        <v>2020</v>
      </c>
      <c r="Y613" t="s">
        <v>85</v>
      </c>
      <c r="Z613">
        <v>1</v>
      </c>
    </row>
    <row r="614" spans="1:26" x14ac:dyDescent="0.45">
      <c r="A614">
        <v>2642</v>
      </c>
      <c r="B614">
        <v>1473</v>
      </c>
      <c r="C614" t="s">
        <v>424</v>
      </c>
      <c r="D614" t="s">
        <v>22</v>
      </c>
      <c r="E614">
        <v>69</v>
      </c>
      <c r="F614">
        <v>759</v>
      </c>
      <c r="G614" t="s">
        <v>425</v>
      </c>
      <c r="H614" t="s">
        <v>35</v>
      </c>
      <c r="I614" t="s">
        <v>122</v>
      </c>
      <c r="J614" t="s">
        <v>82</v>
      </c>
      <c r="K614" t="s">
        <v>37</v>
      </c>
      <c r="L614" t="s">
        <v>67</v>
      </c>
      <c r="M614" t="s">
        <v>108</v>
      </c>
      <c r="N614" t="s">
        <v>99</v>
      </c>
      <c r="O614" t="s">
        <v>30</v>
      </c>
      <c r="P614">
        <v>1</v>
      </c>
      <c r="Q614" t="b">
        <v>1</v>
      </c>
      <c r="R614" s="1">
        <v>45021.948611111111</v>
      </c>
      <c r="S614" s="1">
        <v>45022.478472222225</v>
      </c>
      <c r="T614" t="s">
        <v>109</v>
      </c>
      <c r="U614" t="b">
        <v>1</v>
      </c>
      <c r="V614" s="2">
        <v>45021.948611111111</v>
      </c>
      <c r="W614">
        <v>4</v>
      </c>
      <c r="X614">
        <v>2023</v>
      </c>
      <c r="Y614" t="s">
        <v>35</v>
      </c>
      <c r="Z614">
        <v>1</v>
      </c>
    </row>
    <row r="615" spans="1:26" x14ac:dyDescent="0.45">
      <c r="A615">
        <v>2643</v>
      </c>
      <c r="B615">
        <v>1305</v>
      </c>
      <c r="C615" t="s">
        <v>426</v>
      </c>
      <c r="D615" t="s">
        <v>22</v>
      </c>
      <c r="E615">
        <v>34</v>
      </c>
      <c r="F615">
        <v>694</v>
      </c>
      <c r="G615" t="s">
        <v>427</v>
      </c>
      <c r="H615" t="s">
        <v>73</v>
      </c>
      <c r="I615" t="s">
        <v>140</v>
      </c>
      <c r="J615" t="s">
        <v>213</v>
      </c>
      <c r="K615" t="s">
        <v>66</v>
      </c>
      <c r="L615" t="s">
        <v>28</v>
      </c>
      <c r="M615" t="s">
        <v>47</v>
      </c>
      <c r="N615" t="s">
        <v>48</v>
      </c>
      <c r="O615" t="s">
        <v>49</v>
      </c>
      <c r="P615">
        <v>5</v>
      </c>
      <c r="Q615" t="b">
        <v>1</v>
      </c>
      <c r="R615" s="1">
        <v>44250.179861111108</v>
      </c>
      <c r="S615" s="1">
        <v>44256.552083333336</v>
      </c>
      <c r="T615" t="s">
        <v>60</v>
      </c>
      <c r="U615" t="b">
        <v>0</v>
      </c>
      <c r="V615" s="2">
        <v>44250.179861111108</v>
      </c>
      <c r="W615">
        <v>2</v>
      </c>
      <c r="X615">
        <v>2021</v>
      </c>
      <c r="Y615" t="s">
        <v>73</v>
      </c>
      <c r="Z615">
        <v>5</v>
      </c>
    </row>
    <row r="616" spans="1:26" x14ac:dyDescent="0.45">
      <c r="A616">
        <v>2644</v>
      </c>
      <c r="B616">
        <v>1391</v>
      </c>
      <c r="C616" t="s">
        <v>428</v>
      </c>
      <c r="D616" t="s">
        <v>42</v>
      </c>
      <c r="E616">
        <v>77</v>
      </c>
      <c r="F616">
        <v>760</v>
      </c>
      <c r="G616" t="s">
        <v>429</v>
      </c>
      <c r="H616" t="s">
        <v>172</v>
      </c>
      <c r="I616" t="s">
        <v>173</v>
      </c>
      <c r="J616" t="s">
        <v>174</v>
      </c>
      <c r="K616" t="s">
        <v>102</v>
      </c>
      <c r="L616" t="s">
        <v>67</v>
      </c>
      <c r="M616" t="s">
        <v>165</v>
      </c>
      <c r="N616" t="s">
        <v>166</v>
      </c>
      <c r="O616" t="s">
        <v>167</v>
      </c>
      <c r="P616">
        <v>4</v>
      </c>
      <c r="Q616" t="b">
        <v>1</v>
      </c>
      <c r="R616" s="1">
        <v>44615.65902777778</v>
      </c>
      <c r="S616" s="1">
        <v>44615.745833333334</v>
      </c>
      <c r="T616" t="s">
        <v>32</v>
      </c>
      <c r="U616" t="b">
        <v>0</v>
      </c>
      <c r="V616" s="2">
        <v>44615.65902777778</v>
      </c>
      <c r="W616">
        <v>2</v>
      </c>
      <c r="X616">
        <v>2022</v>
      </c>
      <c r="Y616" t="s">
        <v>172</v>
      </c>
      <c r="Z616">
        <v>4</v>
      </c>
    </row>
    <row r="617" spans="1:26" x14ac:dyDescent="0.45">
      <c r="A617">
        <v>2645</v>
      </c>
      <c r="B617">
        <v>1322</v>
      </c>
      <c r="C617" t="s">
        <v>430</v>
      </c>
      <c r="D617" t="s">
        <v>22</v>
      </c>
      <c r="E617">
        <v>49</v>
      </c>
      <c r="F617">
        <v>730</v>
      </c>
      <c r="G617" t="s">
        <v>431</v>
      </c>
      <c r="H617" t="s">
        <v>85</v>
      </c>
      <c r="I617" t="s">
        <v>86</v>
      </c>
      <c r="J617" t="s">
        <v>182</v>
      </c>
      <c r="K617" t="s">
        <v>46</v>
      </c>
      <c r="L617" t="s">
        <v>76</v>
      </c>
      <c r="M617" t="s">
        <v>126</v>
      </c>
      <c r="N617" t="s">
        <v>98</v>
      </c>
      <c r="O617" t="s">
        <v>99</v>
      </c>
      <c r="P617">
        <v>2</v>
      </c>
      <c r="Q617" t="b">
        <v>0</v>
      </c>
      <c r="R617" s="1">
        <v>45241.803472222222</v>
      </c>
      <c r="V617" s="2">
        <v>45241.803472222222</v>
      </c>
      <c r="W617">
        <v>11</v>
      </c>
      <c r="X617">
        <v>2023</v>
      </c>
      <c r="Y617" t="s">
        <v>85</v>
      </c>
      <c r="Z617">
        <v>2</v>
      </c>
    </row>
    <row r="618" spans="1:26" x14ac:dyDescent="0.45">
      <c r="A618">
        <v>2646</v>
      </c>
      <c r="B618">
        <v>1029</v>
      </c>
      <c r="C618" t="s">
        <v>155</v>
      </c>
      <c r="D618" t="s">
        <v>42</v>
      </c>
      <c r="E618">
        <v>60</v>
      </c>
      <c r="F618">
        <v>757</v>
      </c>
      <c r="G618" t="s">
        <v>156</v>
      </c>
      <c r="H618" t="s">
        <v>73</v>
      </c>
      <c r="I618" t="s">
        <v>74</v>
      </c>
      <c r="J618" t="s">
        <v>157</v>
      </c>
      <c r="K618" t="s">
        <v>66</v>
      </c>
      <c r="L618" t="s">
        <v>28</v>
      </c>
      <c r="M618" t="s">
        <v>142</v>
      </c>
      <c r="N618" t="s">
        <v>143</v>
      </c>
      <c r="O618" t="s">
        <v>144</v>
      </c>
      <c r="P618">
        <v>3</v>
      </c>
      <c r="Q618" t="b">
        <v>0</v>
      </c>
      <c r="R618" s="1">
        <v>44561.341666666667</v>
      </c>
      <c r="V618" s="2">
        <v>44561.341666666667</v>
      </c>
      <c r="W618">
        <v>12</v>
      </c>
      <c r="X618">
        <v>2021</v>
      </c>
      <c r="Y618" t="s">
        <v>73</v>
      </c>
      <c r="Z618">
        <v>3</v>
      </c>
    </row>
    <row r="619" spans="1:26" x14ac:dyDescent="0.45">
      <c r="A619">
        <v>2647</v>
      </c>
      <c r="B619">
        <v>1301</v>
      </c>
      <c r="C619" t="s">
        <v>432</v>
      </c>
      <c r="D619" t="s">
        <v>22</v>
      </c>
      <c r="E619">
        <v>20</v>
      </c>
      <c r="F619">
        <v>670</v>
      </c>
      <c r="G619" t="s">
        <v>433</v>
      </c>
      <c r="H619" t="s">
        <v>24</v>
      </c>
      <c r="I619" t="s">
        <v>44</v>
      </c>
      <c r="J619" t="s">
        <v>45</v>
      </c>
      <c r="K619" t="s">
        <v>27</v>
      </c>
      <c r="L619" t="s">
        <v>76</v>
      </c>
      <c r="M619" t="s">
        <v>126</v>
      </c>
      <c r="N619" t="s">
        <v>98</v>
      </c>
      <c r="O619" t="s">
        <v>99</v>
      </c>
      <c r="P619">
        <v>4</v>
      </c>
      <c r="Q619" t="b">
        <v>1</v>
      </c>
      <c r="R619" s="1">
        <v>44844.989583333336</v>
      </c>
      <c r="S619" s="1">
        <v>44845.46875</v>
      </c>
      <c r="T619" t="s">
        <v>109</v>
      </c>
      <c r="U619" t="b">
        <v>0</v>
      </c>
      <c r="V619" s="2">
        <v>44844.989583333336</v>
      </c>
      <c r="W619">
        <v>10</v>
      </c>
      <c r="X619">
        <v>2022</v>
      </c>
      <c r="Y619" t="s">
        <v>24</v>
      </c>
      <c r="Z619">
        <v>4</v>
      </c>
    </row>
    <row r="620" spans="1:26" x14ac:dyDescent="0.45">
      <c r="A620">
        <v>2648</v>
      </c>
      <c r="B620">
        <v>1204</v>
      </c>
      <c r="C620" t="s">
        <v>365</v>
      </c>
      <c r="D620" t="s">
        <v>42</v>
      </c>
      <c r="E620">
        <v>15</v>
      </c>
      <c r="H620" t="s">
        <v>129</v>
      </c>
      <c r="I620" t="s">
        <v>130</v>
      </c>
      <c r="J620" t="s">
        <v>272</v>
      </c>
      <c r="K620" t="s">
        <v>27</v>
      </c>
      <c r="L620" t="s">
        <v>28</v>
      </c>
      <c r="M620" t="s">
        <v>38</v>
      </c>
      <c r="N620" t="s">
        <v>31</v>
      </c>
      <c r="O620" t="s">
        <v>39</v>
      </c>
      <c r="P620">
        <v>3</v>
      </c>
      <c r="Q620" t="b">
        <v>1</v>
      </c>
      <c r="R620" s="1">
        <v>43949.223611111112</v>
      </c>
      <c r="S620" s="1">
        <v>43952.904861111114</v>
      </c>
      <c r="T620" t="s">
        <v>40</v>
      </c>
      <c r="U620" t="b">
        <v>0</v>
      </c>
      <c r="V620" s="2">
        <v>43949.223611111112</v>
      </c>
      <c r="W620">
        <v>4</v>
      </c>
      <c r="X620">
        <v>2020</v>
      </c>
      <c r="Y620" t="s">
        <v>129</v>
      </c>
      <c r="Z620">
        <v>3</v>
      </c>
    </row>
    <row r="621" spans="1:26" x14ac:dyDescent="0.45">
      <c r="A621">
        <v>2649</v>
      </c>
      <c r="B621">
        <v>1466</v>
      </c>
      <c r="C621" t="s">
        <v>191</v>
      </c>
      <c r="D621" t="s">
        <v>22</v>
      </c>
      <c r="E621">
        <v>73</v>
      </c>
      <c r="F621">
        <v>742</v>
      </c>
      <c r="G621" t="s">
        <v>192</v>
      </c>
      <c r="H621" t="s">
        <v>85</v>
      </c>
      <c r="I621" t="s">
        <v>116</v>
      </c>
      <c r="J621" t="s">
        <v>117</v>
      </c>
      <c r="K621" t="s">
        <v>55</v>
      </c>
      <c r="L621" t="s">
        <v>76</v>
      </c>
      <c r="M621" t="s">
        <v>126</v>
      </c>
      <c r="N621" t="s">
        <v>98</v>
      </c>
      <c r="O621" t="s">
        <v>99</v>
      </c>
      <c r="P621">
        <v>4</v>
      </c>
      <c r="Q621" t="b">
        <v>1</v>
      </c>
      <c r="R621" s="1">
        <v>44787.719444444447</v>
      </c>
      <c r="S621" s="1">
        <v>44790.481249999997</v>
      </c>
      <c r="T621" t="s">
        <v>32</v>
      </c>
      <c r="U621" t="b">
        <v>0</v>
      </c>
      <c r="V621" s="2">
        <v>44787.719444444447</v>
      </c>
      <c r="W621">
        <v>8</v>
      </c>
      <c r="X621">
        <v>2022</v>
      </c>
      <c r="Y621" t="s">
        <v>85</v>
      </c>
      <c r="Z621">
        <v>4</v>
      </c>
    </row>
    <row r="622" spans="1:26" x14ac:dyDescent="0.45">
      <c r="A622">
        <v>2650</v>
      </c>
      <c r="B622">
        <v>1072</v>
      </c>
      <c r="C622" t="s">
        <v>434</v>
      </c>
      <c r="D622" t="s">
        <v>22</v>
      </c>
      <c r="E622">
        <v>61</v>
      </c>
      <c r="F622">
        <v>758</v>
      </c>
      <c r="G622" t="s">
        <v>435</v>
      </c>
      <c r="H622" t="s">
        <v>93</v>
      </c>
      <c r="I622" t="s">
        <v>94</v>
      </c>
      <c r="J622" t="s">
        <v>95</v>
      </c>
      <c r="K622" t="s">
        <v>55</v>
      </c>
      <c r="L622" t="s">
        <v>56</v>
      </c>
      <c r="M622" t="s">
        <v>197</v>
      </c>
      <c r="N622" t="s">
        <v>198</v>
      </c>
      <c r="O622" t="s">
        <v>199</v>
      </c>
      <c r="P622">
        <v>1</v>
      </c>
      <c r="Q622" t="b">
        <v>0</v>
      </c>
      <c r="R622" s="1">
        <v>44104.84375</v>
      </c>
      <c r="V622" s="2">
        <v>44104.84375</v>
      </c>
      <c r="W622">
        <v>9</v>
      </c>
      <c r="X622">
        <v>2020</v>
      </c>
      <c r="Y622" t="s">
        <v>93</v>
      </c>
      <c r="Z622">
        <v>1</v>
      </c>
    </row>
    <row r="623" spans="1:26" x14ac:dyDescent="0.45">
      <c r="A623">
        <v>2651</v>
      </c>
      <c r="B623">
        <v>1031</v>
      </c>
      <c r="C623" t="s">
        <v>436</v>
      </c>
      <c r="D623" t="s">
        <v>42</v>
      </c>
      <c r="E623">
        <v>78</v>
      </c>
      <c r="F623">
        <v>759</v>
      </c>
      <c r="G623" t="s">
        <v>437</v>
      </c>
      <c r="H623" t="s">
        <v>129</v>
      </c>
      <c r="I623" t="s">
        <v>130</v>
      </c>
      <c r="J623" t="s">
        <v>272</v>
      </c>
      <c r="K623" t="s">
        <v>102</v>
      </c>
      <c r="L623" t="s">
        <v>56</v>
      </c>
      <c r="M623" t="s">
        <v>88</v>
      </c>
      <c r="N623" t="s">
        <v>89</v>
      </c>
      <c r="O623" t="s">
        <v>90</v>
      </c>
      <c r="P623">
        <v>4</v>
      </c>
      <c r="Q623" t="b">
        <v>0</v>
      </c>
      <c r="R623" s="1">
        <v>45057.746527777781</v>
      </c>
      <c r="V623" s="2">
        <v>45057.746527777781</v>
      </c>
      <c r="W623">
        <v>5</v>
      </c>
      <c r="X623">
        <v>2023</v>
      </c>
      <c r="Y623" t="s">
        <v>129</v>
      </c>
      <c r="Z623">
        <v>4</v>
      </c>
    </row>
    <row r="624" spans="1:26" x14ac:dyDescent="0.45">
      <c r="A624">
        <v>2652</v>
      </c>
      <c r="B624">
        <v>1134</v>
      </c>
      <c r="C624" t="s">
        <v>438</v>
      </c>
      <c r="D624" t="s">
        <v>22</v>
      </c>
      <c r="E624">
        <v>53</v>
      </c>
      <c r="F624">
        <v>711</v>
      </c>
      <c r="G624" t="s">
        <v>299</v>
      </c>
      <c r="H624" t="s">
        <v>85</v>
      </c>
      <c r="I624" t="s">
        <v>116</v>
      </c>
      <c r="J624" t="s">
        <v>117</v>
      </c>
      <c r="K624" t="s">
        <v>46</v>
      </c>
      <c r="L624" t="s">
        <v>56</v>
      </c>
      <c r="M624" t="s">
        <v>179</v>
      </c>
      <c r="N624" t="s">
        <v>79</v>
      </c>
      <c r="O624" t="s">
        <v>161</v>
      </c>
      <c r="P624">
        <v>5</v>
      </c>
      <c r="Q624" t="b">
        <v>0</v>
      </c>
      <c r="R624" s="1">
        <v>45024.830555555556</v>
      </c>
      <c r="V624" s="2">
        <v>45024.830555555556</v>
      </c>
      <c r="W624">
        <v>4</v>
      </c>
      <c r="X624">
        <v>2023</v>
      </c>
      <c r="Y624" t="s">
        <v>85</v>
      </c>
      <c r="Z624">
        <v>5</v>
      </c>
    </row>
    <row r="625" spans="1:26" x14ac:dyDescent="0.45">
      <c r="A625">
        <v>2653</v>
      </c>
      <c r="B625">
        <v>1303</v>
      </c>
      <c r="C625" t="s">
        <v>439</v>
      </c>
      <c r="D625" t="s">
        <v>22</v>
      </c>
      <c r="E625">
        <v>56</v>
      </c>
      <c r="F625">
        <v>721</v>
      </c>
      <c r="G625" t="s">
        <v>440</v>
      </c>
      <c r="H625" t="s">
        <v>73</v>
      </c>
      <c r="I625" t="s">
        <v>74</v>
      </c>
      <c r="J625" t="s">
        <v>75</v>
      </c>
      <c r="K625" t="s">
        <v>37</v>
      </c>
      <c r="L625" t="s">
        <v>67</v>
      </c>
      <c r="M625" t="s">
        <v>165</v>
      </c>
      <c r="N625" t="s">
        <v>166</v>
      </c>
      <c r="O625" t="s">
        <v>167</v>
      </c>
      <c r="P625">
        <v>2</v>
      </c>
      <c r="Q625" t="b">
        <v>1</v>
      </c>
      <c r="R625" s="1">
        <v>44748.986805555556</v>
      </c>
      <c r="S625" s="1">
        <v>44751.997916666667</v>
      </c>
      <c r="T625" t="s">
        <v>32</v>
      </c>
      <c r="U625" t="b">
        <v>0</v>
      </c>
      <c r="V625" s="2">
        <v>44748.986805555556</v>
      </c>
      <c r="W625">
        <v>7</v>
      </c>
      <c r="X625">
        <v>2022</v>
      </c>
      <c r="Y625" t="s">
        <v>73</v>
      </c>
      <c r="Z625">
        <v>2</v>
      </c>
    </row>
    <row r="626" spans="1:26" x14ac:dyDescent="0.45">
      <c r="A626">
        <v>2654</v>
      </c>
      <c r="B626">
        <v>1039</v>
      </c>
      <c r="C626" t="s">
        <v>441</v>
      </c>
      <c r="D626" t="s">
        <v>42</v>
      </c>
      <c r="E626">
        <v>73</v>
      </c>
      <c r="F626">
        <v>741</v>
      </c>
      <c r="G626" t="s">
        <v>442</v>
      </c>
      <c r="H626" t="s">
        <v>93</v>
      </c>
      <c r="I626" t="s">
        <v>112</v>
      </c>
      <c r="J626" t="s">
        <v>242</v>
      </c>
      <c r="K626" t="s">
        <v>27</v>
      </c>
      <c r="L626" t="s">
        <v>28</v>
      </c>
      <c r="M626" t="s">
        <v>38</v>
      </c>
      <c r="N626" t="s">
        <v>31</v>
      </c>
      <c r="O626" t="s">
        <v>39</v>
      </c>
      <c r="P626">
        <v>5</v>
      </c>
      <c r="Q626" t="b">
        <v>1</v>
      </c>
      <c r="R626" s="1">
        <v>45024.502083333333</v>
      </c>
      <c r="S626" s="1">
        <v>45025.578472222223</v>
      </c>
      <c r="T626" t="s">
        <v>60</v>
      </c>
      <c r="U626" t="b">
        <v>0</v>
      </c>
      <c r="V626" s="2">
        <v>45024.502083333333</v>
      </c>
      <c r="W626">
        <v>4</v>
      </c>
      <c r="X626">
        <v>2023</v>
      </c>
      <c r="Y626" t="s">
        <v>93</v>
      </c>
      <c r="Z626">
        <v>5</v>
      </c>
    </row>
    <row r="627" spans="1:26" x14ac:dyDescent="0.45">
      <c r="A627">
        <v>2655</v>
      </c>
      <c r="B627">
        <v>1347</v>
      </c>
      <c r="C627" t="s">
        <v>443</v>
      </c>
      <c r="D627" t="s">
        <v>22</v>
      </c>
      <c r="E627">
        <v>60</v>
      </c>
      <c r="F627">
        <v>746</v>
      </c>
      <c r="G627" t="s">
        <v>444</v>
      </c>
      <c r="H627" t="s">
        <v>35</v>
      </c>
      <c r="I627" t="s">
        <v>36</v>
      </c>
      <c r="J627" t="s">
        <v>36</v>
      </c>
      <c r="K627" t="s">
        <v>27</v>
      </c>
      <c r="L627" t="s">
        <v>96</v>
      </c>
      <c r="M627" t="s">
        <v>103</v>
      </c>
      <c r="N627" t="s">
        <v>31</v>
      </c>
      <c r="O627" t="s">
        <v>104</v>
      </c>
      <c r="P627">
        <v>2</v>
      </c>
      <c r="Q627" t="b">
        <v>1</v>
      </c>
      <c r="R627" s="1">
        <v>44866.47152777778</v>
      </c>
      <c r="S627" s="1">
        <v>44871.968055555553</v>
      </c>
      <c r="T627" t="s">
        <v>40</v>
      </c>
      <c r="U627" t="b">
        <v>1</v>
      </c>
      <c r="V627" s="2">
        <v>44866.47152777778</v>
      </c>
      <c r="W627">
        <v>11</v>
      </c>
      <c r="X627">
        <v>2022</v>
      </c>
      <c r="Y627" t="s">
        <v>35</v>
      </c>
      <c r="Z627">
        <v>2</v>
      </c>
    </row>
    <row r="628" spans="1:26" x14ac:dyDescent="0.45">
      <c r="A628">
        <v>2656</v>
      </c>
      <c r="B628">
        <v>1420</v>
      </c>
      <c r="C628" t="s">
        <v>445</v>
      </c>
      <c r="D628" t="s">
        <v>42</v>
      </c>
      <c r="E628">
        <v>23</v>
      </c>
      <c r="F628">
        <v>671</v>
      </c>
      <c r="G628" t="s">
        <v>446</v>
      </c>
      <c r="H628" t="s">
        <v>172</v>
      </c>
      <c r="I628" t="s">
        <v>173</v>
      </c>
      <c r="J628" t="s">
        <v>399</v>
      </c>
      <c r="K628" t="s">
        <v>46</v>
      </c>
      <c r="L628" t="s">
        <v>56</v>
      </c>
      <c r="M628" t="s">
        <v>179</v>
      </c>
      <c r="N628" t="s">
        <v>79</v>
      </c>
      <c r="O628" t="s">
        <v>161</v>
      </c>
      <c r="P628">
        <v>2</v>
      </c>
      <c r="Q628" t="b">
        <v>0</v>
      </c>
      <c r="R628" s="1">
        <v>45219.723611111112</v>
      </c>
      <c r="V628" s="2">
        <v>45219.723611111112</v>
      </c>
      <c r="W628">
        <v>10</v>
      </c>
      <c r="X628">
        <v>2023</v>
      </c>
      <c r="Y628" t="s">
        <v>172</v>
      </c>
      <c r="Z628">
        <v>2</v>
      </c>
    </row>
    <row r="629" spans="1:26" x14ac:dyDescent="0.45">
      <c r="A629">
        <v>2657</v>
      </c>
      <c r="B629">
        <v>1433</v>
      </c>
      <c r="C629" t="s">
        <v>447</v>
      </c>
      <c r="D629" t="s">
        <v>22</v>
      </c>
      <c r="E629">
        <v>68</v>
      </c>
      <c r="F629">
        <v>742</v>
      </c>
      <c r="G629" t="s">
        <v>448</v>
      </c>
      <c r="H629" t="s">
        <v>85</v>
      </c>
      <c r="I629" t="s">
        <v>86</v>
      </c>
      <c r="J629" t="s">
        <v>87</v>
      </c>
      <c r="K629" t="s">
        <v>55</v>
      </c>
      <c r="L629" t="s">
        <v>67</v>
      </c>
      <c r="M629" t="s">
        <v>165</v>
      </c>
      <c r="N629" t="s">
        <v>166</v>
      </c>
      <c r="O629" t="s">
        <v>167</v>
      </c>
      <c r="P629">
        <v>1</v>
      </c>
      <c r="Q629" t="b">
        <v>0</v>
      </c>
      <c r="R629" s="1">
        <v>44863.445833333331</v>
      </c>
      <c r="V629" s="2">
        <v>44863.445833333331</v>
      </c>
      <c r="W629">
        <v>10</v>
      </c>
      <c r="X629">
        <v>2022</v>
      </c>
      <c r="Y629" t="s">
        <v>85</v>
      </c>
      <c r="Z629">
        <v>1</v>
      </c>
    </row>
    <row r="630" spans="1:26" x14ac:dyDescent="0.45">
      <c r="A630">
        <v>2658</v>
      </c>
      <c r="B630">
        <v>1271</v>
      </c>
      <c r="C630" t="s">
        <v>352</v>
      </c>
      <c r="D630" t="s">
        <v>42</v>
      </c>
      <c r="E630">
        <v>54</v>
      </c>
      <c r="F630">
        <v>715</v>
      </c>
      <c r="G630" t="s">
        <v>353</v>
      </c>
      <c r="H630" t="s">
        <v>73</v>
      </c>
      <c r="I630" t="s">
        <v>74</v>
      </c>
      <c r="J630" t="s">
        <v>157</v>
      </c>
      <c r="K630" t="s">
        <v>55</v>
      </c>
      <c r="L630" t="s">
        <v>28</v>
      </c>
      <c r="M630" t="s">
        <v>142</v>
      </c>
      <c r="N630" t="s">
        <v>143</v>
      </c>
      <c r="O630" t="s">
        <v>144</v>
      </c>
      <c r="P630">
        <v>1</v>
      </c>
      <c r="Q630" t="b">
        <v>1</v>
      </c>
      <c r="R630" s="1">
        <v>44070.893750000003</v>
      </c>
      <c r="S630" s="1">
        <v>44076.183333333334</v>
      </c>
      <c r="T630" t="s">
        <v>60</v>
      </c>
      <c r="U630" t="b">
        <v>0</v>
      </c>
      <c r="V630" s="2">
        <v>44070.893750000003</v>
      </c>
      <c r="W630">
        <v>8</v>
      </c>
      <c r="X630">
        <v>2020</v>
      </c>
      <c r="Y630" t="s">
        <v>73</v>
      </c>
      <c r="Z630">
        <v>1</v>
      </c>
    </row>
    <row r="631" spans="1:26" x14ac:dyDescent="0.45">
      <c r="A631">
        <v>2659</v>
      </c>
      <c r="B631">
        <v>1300</v>
      </c>
      <c r="C631" t="s">
        <v>91</v>
      </c>
      <c r="D631" t="s">
        <v>22</v>
      </c>
      <c r="E631">
        <v>41</v>
      </c>
      <c r="F631">
        <v>682</v>
      </c>
      <c r="G631" t="s">
        <v>92</v>
      </c>
      <c r="H631" t="s">
        <v>93</v>
      </c>
      <c r="I631" t="s">
        <v>94</v>
      </c>
      <c r="J631" t="s">
        <v>95</v>
      </c>
      <c r="K631" t="s">
        <v>46</v>
      </c>
      <c r="L631" t="s">
        <v>56</v>
      </c>
      <c r="M631" t="s">
        <v>88</v>
      </c>
      <c r="N631" t="s">
        <v>89</v>
      </c>
      <c r="O631" t="s">
        <v>90</v>
      </c>
      <c r="P631">
        <v>3</v>
      </c>
      <c r="Q631" t="b">
        <v>1</v>
      </c>
      <c r="R631" s="1">
        <v>43904.65347222222</v>
      </c>
      <c r="S631" s="1">
        <v>43909.953472222223</v>
      </c>
      <c r="T631" t="s">
        <v>60</v>
      </c>
      <c r="U631" t="b">
        <v>0</v>
      </c>
      <c r="V631" s="2">
        <v>43904.65347222222</v>
      </c>
      <c r="W631">
        <v>3</v>
      </c>
      <c r="X631">
        <v>2020</v>
      </c>
      <c r="Y631" t="s">
        <v>93</v>
      </c>
      <c r="Z631">
        <v>3</v>
      </c>
    </row>
    <row r="632" spans="1:26" x14ac:dyDescent="0.45">
      <c r="A632">
        <v>2660</v>
      </c>
      <c r="B632">
        <v>1225</v>
      </c>
      <c r="C632" t="s">
        <v>449</v>
      </c>
      <c r="D632" t="s">
        <v>42</v>
      </c>
      <c r="E632">
        <v>15</v>
      </c>
      <c r="H632" t="s">
        <v>24</v>
      </c>
      <c r="I632" t="s">
        <v>44</v>
      </c>
      <c r="J632" t="s">
        <v>208</v>
      </c>
      <c r="K632" t="s">
        <v>46</v>
      </c>
      <c r="L632" t="s">
        <v>76</v>
      </c>
      <c r="M632" t="s">
        <v>160</v>
      </c>
      <c r="N632" t="s">
        <v>79</v>
      </c>
      <c r="O632" t="s">
        <v>161</v>
      </c>
      <c r="P632">
        <v>4</v>
      </c>
      <c r="Q632" t="b">
        <v>0</v>
      </c>
      <c r="R632" s="1">
        <v>44859.132638888892</v>
      </c>
      <c r="V632" s="2">
        <v>44859.132638888892</v>
      </c>
      <c r="W632">
        <v>10</v>
      </c>
      <c r="X632">
        <v>2022</v>
      </c>
      <c r="Y632" t="s">
        <v>24</v>
      </c>
      <c r="Z632">
        <v>4</v>
      </c>
    </row>
    <row r="633" spans="1:26" x14ac:dyDescent="0.45">
      <c r="A633">
        <v>2661</v>
      </c>
      <c r="B633">
        <v>1136</v>
      </c>
      <c r="C633" t="s">
        <v>450</v>
      </c>
      <c r="D633" t="s">
        <v>22</v>
      </c>
      <c r="E633">
        <v>55</v>
      </c>
      <c r="F633">
        <v>737</v>
      </c>
      <c r="G633" t="s">
        <v>451</v>
      </c>
      <c r="H633" t="s">
        <v>172</v>
      </c>
      <c r="I633" t="s">
        <v>173</v>
      </c>
      <c r="J633" t="s">
        <v>174</v>
      </c>
      <c r="K633" t="s">
        <v>27</v>
      </c>
      <c r="L633" t="s">
        <v>96</v>
      </c>
      <c r="M633" t="s">
        <v>103</v>
      </c>
      <c r="N633" t="s">
        <v>31</v>
      </c>
      <c r="O633" t="s">
        <v>104</v>
      </c>
      <c r="P633">
        <v>1</v>
      </c>
      <c r="Q633" t="b">
        <v>1</v>
      </c>
      <c r="R633" s="1">
        <v>44117.489583333336</v>
      </c>
      <c r="S633" s="1">
        <v>44121.011111111111</v>
      </c>
      <c r="T633" t="s">
        <v>32</v>
      </c>
      <c r="U633" t="b">
        <v>0</v>
      </c>
      <c r="V633" s="2">
        <v>44117.489583333336</v>
      </c>
      <c r="W633">
        <v>10</v>
      </c>
      <c r="X633">
        <v>2020</v>
      </c>
      <c r="Y633" t="s">
        <v>172</v>
      </c>
      <c r="Z633">
        <v>1</v>
      </c>
    </row>
    <row r="634" spans="1:26" x14ac:dyDescent="0.45">
      <c r="A634">
        <v>2662</v>
      </c>
      <c r="B634">
        <v>1171</v>
      </c>
      <c r="C634" t="s">
        <v>158</v>
      </c>
      <c r="D634" t="s">
        <v>42</v>
      </c>
      <c r="E634">
        <v>65</v>
      </c>
      <c r="F634">
        <v>746</v>
      </c>
      <c r="G634" t="s">
        <v>159</v>
      </c>
      <c r="H634" t="s">
        <v>52</v>
      </c>
      <c r="I634" t="s">
        <v>150</v>
      </c>
      <c r="J634" t="s">
        <v>151</v>
      </c>
      <c r="K634" t="s">
        <v>46</v>
      </c>
      <c r="L634" t="s">
        <v>96</v>
      </c>
      <c r="M634" t="s">
        <v>136</v>
      </c>
      <c r="N634" t="s">
        <v>30</v>
      </c>
      <c r="O634" t="s">
        <v>137</v>
      </c>
      <c r="P634">
        <v>3</v>
      </c>
      <c r="Q634" t="b">
        <v>0</v>
      </c>
      <c r="R634" s="1">
        <v>44616.548611111109</v>
      </c>
      <c r="V634" s="2">
        <v>44616.548611111109</v>
      </c>
      <c r="W634">
        <v>2</v>
      </c>
      <c r="X634">
        <v>2022</v>
      </c>
      <c r="Y634" t="s">
        <v>52</v>
      </c>
      <c r="Z634">
        <v>3</v>
      </c>
    </row>
    <row r="635" spans="1:26" x14ac:dyDescent="0.45">
      <c r="A635">
        <v>2663</v>
      </c>
      <c r="B635">
        <v>1482</v>
      </c>
      <c r="C635" t="s">
        <v>452</v>
      </c>
      <c r="D635" t="s">
        <v>22</v>
      </c>
      <c r="E635">
        <v>20</v>
      </c>
      <c r="F635">
        <v>679</v>
      </c>
      <c r="G635" t="s">
        <v>453</v>
      </c>
      <c r="H635" t="s">
        <v>73</v>
      </c>
      <c r="I635" t="s">
        <v>74</v>
      </c>
      <c r="J635" t="s">
        <v>75</v>
      </c>
      <c r="K635" t="s">
        <v>37</v>
      </c>
      <c r="L635" t="s">
        <v>56</v>
      </c>
      <c r="M635" t="s">
        <v>88</v>
      </c>
      <c r="N635" t="s">
        <v>89</v>
      </c>
      <c r="O635" t="s">
        <v>90</v>
      </c>
      <c r="P635">
        <v>3</v>
      </c>
      <c r="Q635" t="b">
        <v>1</v>
      </c>
      <c r="R635" s="1">
        <v>45280.371527777781</v>
      </c>
      <c r="S635" s="1">
        <v>45281.561111111114</v>
      </c>
      <c r="T635" t="s">
        <v>32</v>
      </c>
      <c r="U635" t="b">
        <v>1</v>
      </c>
      <c r="V635" s="2">
        <v>45280.371527777781</v>
      </c>
      <c r="W635">
        <v>12</v>
      </c>
      <c r="X635">
        <v>2023</v>
      </c>
      <c r="Y635" t="s">
        <v>73</v>
      </c>
      <c r="Z635">
        <v>3</v>
      </c>
    </row>
    <row r="636" spans="1:26" x14ac:dyDescent="0.45">
      <c r="A636">
        <v>2664</v>
      </c>
      <c r="B636">
        <v>1457</v>
      </c>
      <c r="C636" t="s">
        <v>454</v>
      </c>
      <c r="D636" t="s">
        <v>42</v>
      </c>
      <c r="E636">
        <v>33</v>
      </c>
      <c r="F636">
        <v>690</v>
      </c>
      <c r="G636" t="s">
        <v>377</v>
      </c>
      <c r="H636" t="s">
        <v>85</v>
      </c>
      <c r="I636" t="s">
        <v>116</v>
      </c>
      <c r="J636" t="s">
        <v>330</v>
      </c>
      <c r="K636" t="s">
        <v>102</v>
      </c>
      <c r="L636" t="s">
        <v>96</v>
      </c>
      <c r="M636" t="s">
        <v>103</v>
      </c>
      <c r="N636" t="s">
        <v>31</v>
      </c>
      <c r="O636" t="s">
        <v>104</v>
      </c>
      <c r="P636">
        <v>4</v>
      </c>
      <c r="Q636" t="b">
        <v>1</v>
      </c>
      <c r="R636" s="1">
        <v>44131.270833333336</v>
      </c>
      <c r="S636" s="1">
        <v>44132.599305555559</v>
      </c>
      <c r="T636" t="s">
        <v>60</v>
      </c>
      <c r="U636" t="b">
        <v>0</v>
      </c>
      <c r="V636" s="2">
        <v>44131.270833333336</v>
      </c>
      <c r="W636">
        <v>10</v>
      </c>
      <c r="X636">
        <v>2020</v>
      </c>
      <c r="Y636" t="s">
        <v>85</v>
      </c>
      <c r="Z636">
        <v>4</v>
      </c>
    </row>
    <row r="637" spans="1:26" x14ac:dyDescent="0.45">
      <c r="A637">
        <v>2665</v>
      </c>
      <c r="B637">
        <v>1134</v>
      </c>
      <c r="C637" t="s">
        <v>438</v>
      </c>
      <c r="D637" t="s">
        <v>22</v>
      </c>
      <c r="E637">
        <v>53</v>
      </c>
      <c r="F637">
        <v>711</v>
      </c>
      <c r="G637" t="s">
        <v>299</v>
      </c>
      <c r="H637" t="s">
        <v>85</v>
      </c>
      <c r="I637" t="s">
        <v>116</v>
      </c>
      <c r="J637" t="s">
        <v>117</v>
      </c>
      <c r="K637" t="s">
        <v>46</v>
      </c>
      <c r="L637" t="s">
        <v>76</v>
      </c>
      <c r="M637" t="s">
        <v>126</v>
      </c>
      <c r="N637" t="s">
        <v>98</v>
      </c>
      <c r="O637" t="s">
        <v>99</v>
      </c>
      <c r="P637">
        <v>2</v>
      </c>
      <c r="Q637" t="b">
        <v>1</v>
      </c>
      <c r="R637" s="1">
        <v>45199.356249999997</v>
      </c>
      <c r="S637" s="1">
        <v>45204.148611111108</v>
      </c>
      <c r="T637" t="s">
        <v>109</v>
      </c>
      <c r="U637" t="b">
        <v>0</v>
      </c>
      <c r="V637" s="2">
        <v>45199.356249999997</v>
      </c>
      <c r="W637">
        <v>9</v>
      </c>
      <c r="X637">
        <v>2023</v>
      </c>
      <c r="Y637" t="s">
        <v>85</v>
      </c>
      <c r="Z637">
        <v>2</v>
      </c>
    </row>
    <row r="638" spans="1:26" x14ac:dyDescent="0.45">
      <c r="A638">
        <v>2666</v>
      </c>
      <c r="B638">
        <v>1255</v>
      </c>
      <c r="C638" t="s">
        <v>455</v>
      </c>
      <c r="D638" t="s">
        <v>22</v>
      </c>
      <c r="E638">
        <v>32</v>
      </c>
      <c r="F638">
        <v>691</v>
      </c>
      <c r="G638" t="s">
        <v>456</v>
      </c>
      <c r="H638" t="s">
        <v>172</v>
      </c>
      <c r="I638" t="s">
        <v>173</v>
      </c>
      <c r="J638" t="s">
        <v>423</v>
      </c>
      <c r="K638" t="s">
        <v>37</v>
      </c>
      <c r="L638" t="s">
        <v>96</v>
      </c>
      <c r="M638" t="s">
        <v>118</v>
      </c>
      <c r="N638" t="s">
        <v>90</v>
      </c>
      <c r="O638" t="s">
        <v>119</v>
      </c>
      <c r="P638">
        <v>4</v>
      </c>
      <c r="Q638" t="b">
        <v>1</v>
      </c>
      <c r="R638" s="1">
        <v>44792.466666666667</v>
      </c>
      <c r="S638" s="1">
        <v>44792.738888888889</v>
      </c>
      <c r="T638" t="s">
        <v>60</v>
      </c>
      <c r="U638" t="b">
        <v>0</v>
      </c>
      <c r="V638" s="2">
        <v>44792.466666666667</v>
      </c>
      <c r="W638">
        <v>8</v>
      </c>
      <c r="X638">
        <v>2022</v>
      </c>
      <c r="Y638" t="s">
        <v>172</v>
      </c>
      <c r="Z638">
        <v>4</v>
      </c>
    </row>
    <row r="639" spans="1:26" x14ac:dyDescent="0.45">
      <c r="A639">
        <v>2667</v>
      </c>
      <c r="B639">
        <v>1209</v>
      </c>
      <c r="C639" t="s">
        <v>457</v>
      </c>
      <c r="D639" t="s">
        <v>42</v>
      </c>
      <c r="E639">
        <v>35</v>
      </c>
      <c r="F639">
        <v>698</v>
      </c>
      <c r="G639" t="s">
        <v>458</v>
      </c>
      <c r="H639" t="s">
        <v>85</v>
      </c>
      <c r="I639" t="s">
        <v>116</v>
      </c>
      <c r="J639" t="s">
        <v>117</v>
      </c>
      <c r="K639" t="s">
        <v>55</v>
      </c>
      <c r="L639" t="s">
        <v>56</v>
      </c>
      <c r="M639" t="s">
        <v>88</v>
      </c>
      <c r="N639" t="s">
        <v>89</v>
      </c>
      <c r="O639" t="s">
        <v>90</v>
      </c>
      <c r="P639">
        <v>3</v>
      </c>
      <c r="Q639" t="b">
        <v>1</v>
      </c>
      <c r="R639" s="1">
        <v>44863.320833333331</v>
      </c>
      <c r="S639" s="1">
        <v>44865.970833333333</v>
      </c>
      <c r="T639" t="s">
        <v>109</v>
      </c>
      <c r="U639" t="b">
        <v>0</v>
      </c>
      <c r="V639" s="2">
        <v>44863.320833333331</v>
      </c>
      <c r="W639">
        <v>10</v>
      </c>
      <c r="X639">
        <v>2022</v>
      </c>
      <c r="Y639" t="s">
        <v>85</v>
      </c>
      <c r="Z639">
        <v>3</v>
      </c>
    </row>
    <row r="640" spans="1:26" x14ac:dyDescent="0.45">
      <c r="A640">
        <v>2668</v>
      </c>
      <c r="B640">
        <v>1316</v>
      </c>
      <c r="C640" t="s">
        <v>459</v>
      </c>
      <c r="D640" t="s">
        <v>42</v>
      </c>
      <c r="E640">
        <v>65</v>
      </c>
      <c r="F640">
        <v>745</v>
      </c>
      <c r="G640" t="s">
        <v>460</v>
      </c>
      <c r="H640" t="s">
        <v>129</v>
      </c>
      <c r="I640" t="s">
        <v>263</v>
      </c>
      <c r="J640" t="s">
        <v>278</v>
      </c>
      <c r="K640" t="s">
        <v>102</v>
      </c>
      <c r="L640" t="s">
        <v>28</v>
      </c>
      <c r="M640" t="s">
        <v>142</v>
      </c>
      <c r="N640" t="s">
        <v>143</v>
      </c>
      <c r="O640" t="s">
        <v>144</v>
      </c>
      <c r="P640">
        <v>3</v>
      </c>
      <c r="Q640" t="b">
        <v>1</v>
      </c>
      <c r="R640" s="1">
        <v>45150.568055555559</v>
      </c>
      <c r="S640" s="1">
        <v>45155.992361111108</v>
      </c>
      <c r="T640" t="s">
        <v>60</v>
      </c>
      <c r="U640" t="b">
        <v>0</v>
      </c>
      <c r="V640" s="2">
        <v>45150.568055555559</v>
      </c>
      <c r="W640">
        <v>8</v>
      </c>
      <c r="X640">
        <v>2023</v>
      </c>
      <c r="Y640" t="s">
        <v>129</v>
      </c>
      <c r="Z640">
        <v>3</v>
      </c>
    </row>
    <row r="641" spans="1:26" x14ac:dyDescent="0.45">
      <c r="A641">
        <v>2669</v>
      </c>
      <c r="B641">
        <v>1263</v>
      </c>
      <c r="C641" t="s">
        <v>461</v>
      </c>
      <c r="D641" t="s">
        <v>22</v>
      </c>
      <c r="E641">
        <v>57</v>
      </c>
      <c r="F641">
        <v>736</v>
      </c>
      <c r="G641" t="s">
        <v>462</v>
      </c>
      <c r="H641" t="s">
        <v>73</v>
      </c>
      <c r="I641" t="s">
        <v>74</v>
      </c>
      <c r="J641" t="s">
        <v>245</v>
      </c>
      <c r="K641" t="s">
        <v>27</v>
      </c>
      <c r="L641" t="s">
        <v>76</v>
      </c>
      <c r="M641" t="s">
        <v>126</v>
      </c>
      <c r="N641" t="s">
        <v>98</v>
      </c>
      <c r="O641" t="s">
        <v>99</v>
      </c>
      <c r="P641">
        <v>1</v>
      </c>
      <c r="Q641" t="b">
        <v>1</v>
      </c>
      <c r="R641" s="1">
        <v>44724.784722222219</v>
      </c>
      <c r="S641" s="1">
        <v>44724.927777777775</v>
      </c>
      <c r="T641" t="s">
        <v>32</v>
      </c>
      <c r="U641" t="b">
        <v>0</v>
      </c>
      <c r="V641" s="2">
        <v>44724.784722222219</v>
      </c>
      <c r="W641">
        <v>6</v>
      </c>
      <c r="X641">
        <v>2022</v>
      </c>
      <c r="Y641" t="s">
        <v>73</v>
      </c>
      <c r="Z641">
        <v>1</v>
      </c>
    </row>
    <row r="642" spans="1:26" x14ac:dyDescent="0.45">
      <c r="A642">
        <v>2670</v>
      </c>
      <c r="B642">
        <v>1052</v>
      </c>
      <c r="C642" t="s">
        <v>463</v>
      </c>
      <c r="D642" t="s">
        <v>42</v>
      </c>
      <c r="E642">
        <v>60</v>
      </c>
      <c r="F642">
        <v>748</v>
      </c>
      <c r="G642" t="s">
        <v>464</v>
      </c>
      <c r="H642" t="s">
        <v>85</v>
      </c>
      <c r="I642" t="s">
        <v>86</v>
      </c>
      <c r="J642" t="s">
        <v>182</v>
      </c>
      <c r="K642" t="s">
        <v>37</v>
      </c>
      <c r="L642" t="s">
        <v>28</v>
      </c>
      <c r="M642" t="s">
        <v>29</v>
      </c>
      <c r="N642" t="s">
        <v>30</v>
      </c>
      <c r="O642" t="s">
        <v>31</v>
      </c>
      <c r="P642">
        <v>5</v>
      </c>
      <c r="Q642" t="b">
        <v>1</v>
      </c>
      <c r="R642" s="1">
        <v>45039.137499999997</v>
      </c>
      <c r="S642" s="1">
        <v>45041.065972222219</v>
      </c>
      <c r="T642" t="s">
        <v>109</v>
      </c>
      <c r="U642" t="b">
        <v>0</v>
      </c>
      <c r="V642" s="2">
        <v>45039.137499999997</v>
      </c>
      <c r="W642">
        <v>4</v>
      </c>
      <c r="X642">
        <v>2023</v>
      </c>
      <c r="Y642" t="s">
        <v>85</v>
      </c>
      <c r="Z642">
        <v>5</v>
      </c>
    </row>
    <row r="643" spans="1:26" x14ac:dyDescent="0.45">
      <c r="A643">
        <v>2671</v>
      </c>
      <c r="B643">
        <v>1217</v>
      </c>
      <c r="C643" t="s">
        <v>333</v>
      </c>
      <c r="D643" t="s">
        <v>42</v>
      </c>
      <c r="E643">
        <v>67</v>
      </c>
      <c r="F643">
        <v>743</v>
      </c>
      <c r="G643" t="s">
        <v>334</v>
      </c>
      <c r="H643" t="s">
        <v>35</v>
      </c>
      <c r="I643" t="s">
        <v>122</v>
      </c>
      <c r="J643" t="s">
        <v>82</v>
      </c>
      <c r="K643" t="s">
        <v>102</v>
      </c>
      <c r="L643" t="s">
        <v>56</v>
      </c>
      <c r="M643" t="s">
        <v>57</v>
      </c>
      <c r="N643" t="s">
        <v>58</v>
      </c>
      <c r="O643" t="s">
        <v>59</v>
      </c>
      <c r="P643">
        <v>1</v>
      </c>
      <c r="Q643" t="b">
        <v>1</v>
      </c>
      <c r="R643" s="1">
        <v>45200.7</v>
      </c>
      <c r="S643" s="1">
        <v>45202.578472222223</v>
      </c>
      <c r="T643" t="s">
        <v>60</v>
      </c>
      <c r="U643" t="b">
        <v>0</v>
      </c>
      <c r="V643" s="2">
        <v>45200.7</v>
      </c>
      <c r="W643">
        <v>10</v>
      </c>
      <c r="X643">
        <v>2023</v>
      </c>
      <c r="Y643" t="s">
        <v>35</v>
      </c>
      <c r="Z643">
        <v>1</v>
      </c>
    </row>
    <row r="644" spans="1:26" x14ac:dyDescent="0.45">
      <c r="A644">
        <v>2672</v>
      </c>
      <c r="B644">
        <v>1062</v>
      </c>
      <c r="C644" t="s">
        <v>465</v>
      </c>
      <c r="D644" t="s">
        <v>42</v>
      </c>
      <c r="E644">
        <v>16</v>
      </c>
      <c r="H644" t="s">
        <v>172</v>
      </c>
      <c r="I644" t="s">
        <v>177</v>
      </c>
      <c r="J644" t="s">
        <v>178</v>
      </c>
      <c r="K644" t="s">
        <v>102</v>
      </c>
      <c r="L644" t="s">
        <v>96</v>
      </c>
      <c r="M644" t="s">
        <v>118</v>
      </c>
      <c r="N644" t="s">
        <v>90</v>
      </c>
      <c r="O644" t="s">
        <v>119</v>
      </c>
      <c r="P644">
        <v>4</v>
      </c>
      <c r="Q644" t="b">
        <v>0</v>
      </c>
      <c r="R644" s="1">
        <v>45168.27847222222</v>
      </c>
      <c r="V644" s="2">
        <v>45168.27847222222</v>
      </c>
      <c r="W644">
        <v>8</v>
      </c>
      <c r="X644">
        <v>2023</v>
      </c>
      <c r="Y644" t="s">
        <v>172</v>
      </c>
      <c r="Z644">
        <v>4</v>
      </c>
    </row>
    <row r="645" spans="1:26" x14ac:dyDescent="0.45">
      <c r="A645">
        <v>2673</v>
      </c>
      <c r="B645">
        <v>1133</v>
      </c>
      <c r="C645" t="s">
        <v>384</v>
      </c>
      <c r="D645" t="s">
        <v>22</v>
      </c>
      <c r="E645">
        <v>18</v>
      </c>
      <c r="F645">
        <v>633</v>
      </c>
      <c r="G645" t="s">
        <v>385</v>
      </c>
      <c r="H645" t="s">
        <v>52</v>
      </c>
      <c r="I645" t="s">
        <v>150</v>
      </c>
      <c r="J645" t="s">
        <v>151</v>
      </c>
      <c r="K645" t="s">
        <v>66</v>
      </c>
      <c r="L645" t="s">
        <v>67</v>
      </c>
      <c r="M645" t="s">
        <v>165</v>
      </c>
      <c r="N645" t="s">
        <v>166</v>
      </c>
      <c r="O645" t="s">
        <v>167</v>
      </c>
      <c r="P645">
        <v>2</v>
      </c>
      <c r="Q645" t="b">
        <v>1</v>
      </c>
      <c r="R645" s="1">
        <v>44483.049305555556</v>
      </c>
      <c r="S645" s="1">
        <v>44485.638194444444</v>
      </c>
      <c r="T645" t="s">
        <v>109</v>
      </c>
      <c r="U645" t="b">
        <v>1</v>
      </c>
      <c r="V645" s="2">
        <v>44483.049305555556</v>
      </c>
      <c r="W645">
        <v>10</v>
      </c>
      <c r="X645">
        <v>2021</v>
      </c>
      <c r="Y645" t="s">
        <v>52</v>
      </c>
      <c r="Z645">
        <v>2</v>
      </c>
    </row>
    <row r="646" spans="1:26" x14ac:dyDescent="0.45">
      <c r="A646">
        <v>2674</v>
      </c>
      <c r="B646">
        <v>1256</v>
      </c>
      <c r="C646" t="s">
        <v>466</v>
      </c>
      <c r="D646" t="s">
        <v>42</v>
      </c>
      <c r="E646">
        <v>31</v>
      </c>
      <c r="F646">
        <v>693</v>
      </c>
      <c r="G646" t="s">
        <v>467</v>
      </c>
      <c r="H646" t="s">
        <v>52</v>
      </c>
      <c r="I646" t="s">
        <v>150</v>
      </c>
      <c r="J646" t="s">
        <v>306</v>
      </c>
      <c r="K646" t="s">
        <v>27</v>
      </c>
      <c r="L646" t="s">
        <v>28</v>
      </c>
      <c r="M646" t="s">
        <v>38</v>
      </c>
      <c r="N646" t="s">
        <v>31</v>
      </c>
      <c r="O646" t="s">
        <v>39</v>
      </c>
      <c r="P646">
        <v>4</v>
      </c>
      <c r="Q646" t="b">
        <v>1</v>
      </c>
      <c r="R646" s="1">
        <v>44290.660416666666</v>
      </c>
      <c r="S646" s="1">
        <v>44294.128472222219</v>
      </c>
      <c r="T646" t="s">
        <v>60</v>
      </c>
      <c r="U646" t="b">
        <v>0</v>
      </c>
      <c r="V646" s="2">
        <v>44290.660416666666</v>
      </c>
      <c r="W646">
        <v>4</v>
      </c>
      <c r="X646">
        <v>2021</v>
      </c>
      <c r="Y646" t="s">
        <v>52</v>
      </c>
      <c r="Z646">
        <v>4</v>
      </c>
    </row>
    <row r="647" spans="1:26" x14ac:dyDescent="0.45">
      <c r="A647">
        <v>2675</v>
      </c>
      <c r="B647">
        <v>1366</v>
      </c>
      <c r="C647" t="s">
        <v>468</v>
      </c>
      <c r="D647" t="s">
        <v>22</v>
      </c>
      <c r="E647">
        <v>68</v>
      </c>
      <c r="F647">
        <v>757</v>
      </c>
      <c r="G647" t="s">
        <v>469</v>
      </c>
      <c r="H647" t="s">
        <v>85</v>
      </c>
      <c r="I647" t="s">
        <v>116</v>
      </c>
      <c r="J647" t="s">
        <v>330</v>
      </c>
      <c r="K647" t="s">
        <v>66</v>
      </c>
      <c r="L647" t="s">
        <v>96</v>
      </c>
      <c r="M647" t="s">
        <v>118</v>
      </c>
      <c r="N647" t="s">
        <v>90</v>
      </c>
      <c r="O647" t="s">
        <v>119</v>
      </c>
      <c r="P647">
        <v>4</v>
      </c>
      <c r="Q647" t="b">
        <v>1</v>
      </c>
      <c r="R647" s="1">
        <v>44341.895833333336</v>
      </c>
      <c r="S647" s="1">
        <v>44343.840277777781</v>
      </c>
      <c r="T647" t="s">
        <v>40</v>
      </c>
      <c r="U647" t="b">
        <v>0</v>
      </c>
      <c r="V647" s="2">
        <v>44341.895833333336</v>
      </c>
      <c r="W647">
        <v>5</v>
      </c>
      <c r="X647">
        <v>2021</v>
      </c>
      <c r="Y647" t="s">
        <v>85</v>
      </c>
      <c r="Z647">
        <v>4</v>
      </c>
    </row>
    <row r="648" spans="1:26" x14ac:dyDescent="0.45">
      <c r="A648">
        <v>2676</v>
      </c>
      <c r="B648">
        <v>1455</v>
      </c>
      <c r="C648" t="s">
        <v>470</v>
      </c>
      <c r="D648" t="s">
        <v>22</v>
      </c>
      <c r="E648">
        <v>62</v>
      </c>
      <c r="F648">
        <v>755</v>
      </c>
      <c r="G648" t="s">
        <v>471</v>
      </c>
      <c r="H648" t="s">
        <v>85</v>
      </c>
      <c r="I648" t="s">
        <v>116</v>
      </c>
      <c r="J648" t="s">
        <v>330</v>
      </c>
      <c r="K648" t="s">
        <v>46</v>
      </c>
      <c r="L648" t="s">
        <v>67</v>
      </c>
      <c r="M648" t="s">
        <v>68</v>
      </c>
      <c r="N648" t="s">
        <v>69</v>
      </c>
      <c r="O648" t="s">
        <v>70</v>
      </c>
      <c r="P648">
        <v>4</v>
      </c>
      <c r="Q648" t="b">
        <v>1</v>
      </c>
      <c r="R648" s="1">
        <v>44773.541666666664</v>
      </c>
      <c r="S648" s="1">
        <v>44776.984027777777</v>
      </c>
      <c r="T648" t="s">
        <v>40</v>
      </c>
      <c r="U648" t="b">
        <v>0</v>
      </c>
      <c r="V648" s="2">
        <v>44773.541666666664</v>
      </c>
      <c r="W648">
        <v>7</v>
      </c>
      <c r="X648">
        <v>2022</v>
      </c>
      <c r="Y648" t="s">
        <v>85</v>
      </c>
      <c r="Z648">
        <v>4</v>
      </c>
    </row>
    <row r="649" spans="1:26" x14ac:dyDescent="0.45">
      <c r="A649">
        <v>2677</v>
      </c>
      <c r="B649">
        <v>1400</v>
      </c>
      <c r="C649" t="s">
        <v>472</v>
      </c>
      <c r="D649" t="s">
        <v>42</v>
      </c>
      <c r="E649">
        <v>53</v>
      </c>
      <c r="F649">
        <v>717</v>
      </c>
      <c r="G649" t="s">
        <v>473</v>
      </c>
      <c r="H649" t="s">
        <v>24</v>
      </c>
      <c r="I649" t="s">
        <v>44</v>
      </c>
      <c r="J649" t="s">
        <v>45</v>
      </c>
      <c r="K649" t="s">
        <v>46</v>
      </c>
      <c r="L649" t="s">
        <v>56</v>
      </c>
      <c r="M649" t="s">
        <v>197</v>
      </c>
      <c r="N649" t="s">
        <v>198</v>
      </c>
      <c r="O649" t="s">
        <v>199</v>
      </c>
      <c r="P649">
        <v>3</v>
      </c>
      <c r="Q649" t="b">
        <v>1</v>
      </c>
      <c r="R649" s="1">
        <v>43955.084027777775</v>
      </c>
      <c r="S649" s="1">
        <v>43957.615972222222</v>
      </c>
      <c r="T649" t="s">
        <v>109</v>
      </c>
      <c r="U649" t="b">
        <v>0</v>
      </c>
      <c r="V649" s="2">
        <v>43955.084027777775</v>
      </c>
      <c r="W649">
        <v>5</v>
      </c>
      <c r="X649">
        <v>2020</v>
      </c>
      <c r="Y649" t="s">
        <v>24</v>
      </c>
      <c r="Z649">
        <v>3</v>
      </c>
    </row>
    <row r="650" spans="1:26" x14ac:dyDescent="0.45">
      <c r="A650">
        <v>2678</v>
      </c>
      <c r="B650">
        <v>1026</v>
      </c>
      <c r="C650" t="s">
        <v>474</v>
      </c>
      <c r="D650" t="s">
        <v>22</v>
      </c>
      <c r="E650">
        <v>18</v>
      </c>
      <c r="F650">
        <v>663</v>
      </c>
      <c r="G650" t="s">
        <v>475</v>
      </c>
      <c r="H650" t="s">
        <v>73</v>
      </c>
      <c r="I650" t="s">
        <v>74</v>
      </c>
      <c r="J650" t="s">
        <v>157</v>
      </c>
      <c r="K650" t="s">
        <v>102</v>
      </c>
      <c r="L650" t="s">
        <v>67</v>
      </c>
      <c r="M650" t="s">
        <v>233</v>
      </c>
      <c r="N650" t="s">
        <v>89</v>
      </c>
      <c r="O650" t="s">
        <v>90</v>
      </c>
      <c r="P650">
        <v>2</v>
      </c>
      <c r="Q650" t="b">
        <v>0</v>
      </c>
      <c r="R650" s="1">
        <v>45287.732638888891</v>
      </c>
      <c r="V650" s="2">
        <v>45287.732638888891</v>
      </c>
      <c r="W650">
        <v>12</v>
      </c>
      <c r="X650">
        <v>2023</v>
      </c>
      <c r="Y650" t="s">
        <v>73</v>
      </c>
      <c r="Z650">
        <v>2</v>
      </c>
    </row>
    <row r="651" spans="1:26" x14ac:dyDescent="0.45">
      <c r="A651">
        <v>2679</v>
      </c>
      <c r="B651">
        <v>1211</v>
      </c>
      <c r="C651" t="s">
        <v>476</v>
      </c>
      <c r="D651" t="s">
        <v>42</v>
      </c>
      <c r="E651">
        <v>23</v>
      </c>
      <c r="F651">
        <v>641</v>
      </c>
      <c r="G651" t="s">
        <v>477</v>
      </c>
      <c r="H651" t="s">
        <v>35</v>
      </c>
      <c r="I651" t="s">
        <v>36</v>
      </c>
      <c r="J651" t="s">
        <v>123</v>
      </c>
      <c r="K651" t="s">
        <v>27</v>
      </c>
      <c r="L651" t="s">
        <v>28</v>
      </c>
      <c r="M651" t="s">
        <v>29</v>
      </c>
      <c r="N651" t="s">
        <v>30</v>
      </c>
      <c r="O651" t="s">
        <v>31</v>
      </c>
      <c r="P651">
        <v>2</v>
      </c>
      <c r="Q651" t="b">
        <v>1</v>
      </c>
      <c r="R651" s="1">
        <v>44489.597916666666</v>
      </c>
      <c r="S651" s="1">
        <v>44495.536111111112</v>
      </c>
      <c r="T651" t="s">
        <v>60</v>
      </c>
      <c r="U651" t="b">
        <v>0</v>
      </c>
      <c r="V651" s="2">
        <v>44489.597916666666</v>
      </c>
      <c r="W651">
        <v>10</v>
      </c>
      <c r="X651">
        <v>2021</v>
      </c>
      <c r="Y651" t="s">
        <v>35</v>
      </c>
      <c r="Z651">
        <v>2</v>
      </c>
    </row>
    <row r="652" spans="1:26" x14ac:dyDescent="0.45">
      <c r="A652">
        <v>2680</v>
      </c>
      <c r="B652">
        <v>1079</v>
      </c>
      <c r="C652" t="s">
        <v>478</v>
      </c>
      <c r="D652" t="s">
        <v>22</v>
      </c>
      <c r="E652">
        <v>38</v>
      </c>
      <c r="F652">
        <v>686</v>
      </c>
      <c r="G652" t="s">
        <v>479</v>
      </c>
      <c r="H652" t="s">
        <v>24</v>
      </c>
      <c r="I652" t="s">
        <v>44</v>
      </c>
      <c r="J652" t="s">
        <v>225</v>
      </c>
      <c r="K652" t="s">
        <v>102</v>
      </c>
      <c r="L652" t="s">
        <v>96</v>
      </c>
      <c r="M652" t="s">
        <v>118</v>
      </c>
      <c r="N652" t="s">
        <v>90</v>
      </c>
      <c r="O652" t="s">
        <v>119</v>
      </c>
      <c r="P652">
        <v>3</v>
      </c>
      <c r="Q652" t="b">
        <v>1</v>
      </c>
      <c r="R652" s="1">
        <v>44238.462500000001</v>
      </c>
      <c r="S652" s="1">
        <v>44242.731944444444</v>
      </c>
      <c r="T652" t="s">
        <v>40</v>
      </c>
      <c r="U652" t="b">
        <v>0</v>
      </c>
      <c r="V652" s="2">
        <v>44238.462500000001</v>
      </c>
      <c r="W652">
        <v>2</v>
      </c>
      <c r="X652">
        <v>2021</v>
      </c>
      <c r="Y652" t="s">
        <v>24</v>
      </c>
      <c r="Z652">
        <v>3</v>
      </c>
    </row>
    <row r="653" spans="1:26" x14ac:dyDescent="0.45">
      <c r="A653">
        <v>2682</v>
      </c>
      <c r="B653">
        <v>1341</v>
      </c>
      <c r="C653" t="s">
        <v>480</v>
      </c>
      <c r="D653" t="s">
        <v>42</v>
      </c>
      <c r="E653">
        <v>40</v>
      </c>
      <c r="F653">
        <v>696</v>
      </c>
      <c r="G653" t="s">
        <v>481</v>
      </c>
      <c r="H653" t="s">
        <v>85</v>
      </c>
      <c r="I653" t="s">
        <v>86</v>
      </c>
      <c r="J653" t="s">
        <v>87</v>
      </c>
      <c r="K653" t="s">
        <v>27</v>
      </c>
      <c r="L653" t="s">
        <v>76</v>
      </c>
      <c r="M653" t="s">
        <v>77</v>
      </c>
      <c r="N653" t="s">
        <v>78</v>
      </c>
      <c r="O653" t="s">
        <v>79</v>
      </c>
      <c r="P653">
        <v>4</v>
      </c>
      <c r="Q653" t="b">
        <v>1</v>
      </c>
      <c r="R653" s="1">
        <v>44667.040277777778</v>
      </c>
      <c r="S653" s="1">
        <v>44673.978472222225</v>
      </c>
      <c r="T653" t="s">
        <v>109</v>
      </c>
      <c r="U653" t="b">
        <v>1</v>
      </c>
      <c r="V653" s="2">
        <v>44667.040277777778</v>
      </c>
      <c r="W653">
        <v>4</v>
      </c>
      <c r="X653">
        <v>2022</v>
      </c>
      <c r="Y653" t="s">
        <v>85</v>
      </c>
      <c r="Z653">
        <v>4</v>
      </c>
    </row>
    <row r="654" spans="1:26" x14ac:dyDescent="0.45">
      <c r="A654">
        <v>2683</v>
      </c>
      <c r="B654">
        <v>1408</v>
      </c>
      <c r="C654" t="s">
        <v>482</v>
      </c>
      <c r="D654" t="s">
        <v>42</v>
      </c>
      <c r="E654">
        <v>62</v>
      </c>
      <c r="F654">
        <v>752</v>
      </c>
      <c r="G654" t="s">
        <v>483</v>
      </c>
      <c r="H654" t="s">
        <v>172</v>
      </c>
      <c r="I654" t="s">
        <v>173</v>
      </c>
      <c r="J654" t="s">
        <v>423</v>
      </c>
      <c r="K654" t="s">
        <v>46</v>
      </c>
      <c r="L654" t="s">
        <v>76</v>
      </c>
      <c r="M654" t="s">
        <v>160</v>
      </c>
      <c r="N654" t="s">
        <v>79</v>
      </c>
      <c r="O654" t="s">
        <v>161</v>
      </c>
      <c r="P654">
        <v>1</v>
      </c>
      <c r="Q654" t="b">
        <v>1</v>
      </c>
      <c r="R654" s="1">
        <v>44154.638194444444</v>
      </c>
      <c r="S654" s="1">
        <v>44159.831250000003</v>
      </c>
      <c r="T654" t="s">
        <v>32</v>
      </c>
      <c r="U654" t="b">
        <v>0</v>
      </c>
      <c r="V654" s="2">
        <v>44154.638194444444</v>
      </c>
      <c r="W654">
        <v>11</v>
      </c>
      <c r="X654">
        <v>2020</v>
      </c>
      <c r="Y654" t="s">
        <v>172</v>
      </c>
      <c r="Z654">
        <v>1</v>
      </c>
    </row>
    <row r="655" spans="1:26" x14ac:dyDescent="0.45">
      <c r="A655">
        <v>2684</v>
      </c>
      <c r="B655">
        <v>1345</v>
      </c>
      <c r="C655" t="s">
        <v>484</v>
      </c>
      <c r="D655" t="s">
        <v>42</v>
      </c>
      <c r="E655">
        <v>46</v>
      </c>
      <c r="F655">
        <v>709</v>
      </c>
      <c r="G655" t="s">
        <v>485</v>
      </c>
      <c r="H655" t="s">
        <v>73</v>
      </c>
      <c r="I655" t="s">
        <v>74</v>
      </c>
      <c r="J655" t="s">
        <v>245</v>
      </c>
      <c r="K655" t="s">
        <v>55</v>
      </c>
      <c r="L655" t="s">
        <v>96</v>
      </c>
      <c r="M655" t="s">
        <v>118</v>
      </c>
      <c r="N655" t="s">
        <v>90</v>
      </c>
      <c r="O655" t="s">
        <v>119</v>
      </c>
      <c r="P655">
        <v>1</v>
      </c>
      <c r="Q655" t="b">
        <v>0</v>
      </c>
      <c r="R655" s="1">
        <v>45255.808333333334</v>
      </c>
      <c r="V655" s="2">
        <v>45255.808333333334</v>
      </c>
      <c r="W655">
        <v>11</v>
      </c>
      <c r="X655">
        <v>2023</v>
      </c>
      <c r="Y655" t="s">
        <v>73</v>
      </c>
      <c r="Z655">
        <v>1</v>
      </c>
    </row>
    <row r="656" spans="1:26" x14ac:dyDescent="0.45">
      <c r="A656">
        <v>2685</v>
      </c>
      <c r="B656">
        <v>1003</v>
      </c>
      <c r="C656" t="s">
        <v>368</v>
      </c>
      <c r="D656" t="s">
        <v>42</v>
      </c>
      <c r="E656">
        <v>46</v>
      </c>
      <c r="F656">
        <v>708</v>
      </c>
      <c r="G656" t="s">
        <v>369</v>
      </c>
      <c r="H656" t="s">
        <v>35</v>
      </c>
      <c r="I656" t="s">
        <v>122</v>
      </c>
      <c r="J656" t="s">
        <v>123</v>
      </c>
      <c r="K656" t="s">
        <v>55</v>
      </c>
      <c r="L656" t="s">
        <v>96</v>
      </c>
      <c r="M656" t="s">
        <v>118</v>
      </c>
      <c r="N656" t="s">
        <v>90</v>
      </c>
      <c r="O656" t="s">
        <v>119</v>
      </c>
      <c r="P656">
        <v>5</v>
      </c>
      <c r="Q656" t="b">
        <v>1</v>
      </c>
      <c r="R656" s="1">
        <v>44532.779166666667</v>
      </c>
      <c r="S656" s="1">
        <v>44537.157638888886</v>
      </c>
      <c r="T656" t="s">
        <v>109</v>
      </c>
      <c r="U656" t="b">
        <v>0</v>
      </c>
      <c r="V656" s="2">
        <v>44532.779166666667</v>
      </c>
      <c r="W656">
        <v>12</v>
      </c>
      <c r="X656">
        <v>2021</v>
      </c>
      <c r="Y656" t="s">
        <v>35</v>
      </c>
      <c r="Z656">
        <v>5</v>
      </c>
    </row>
    <row r="657" spans="1:26" x14ac:dyDescent="0.45">
      <c r="A657">
        <v>2686</v>
      </c>
      <c r="B657">
        <v>1183</v>
      </c>
      <c r="C657" t="s">
        <v>486</v>
      </c>
      <c r="D657" t="s">
        <v>22</v>
      </c>
      <c r="E657">
        <v>25</v>
      </c>
      <c r="F657">
        <v>632</v>
      </c>
      <c r="G657" t="s">
        <v>487</v>
      </c>
      <c r="H657" t="s">
        <v>24</v>
      </c>
      <c r="I657" t="s">
        <v>44</v>
      </c>
      <c r="J657" t="s">
        <v>208</v>
      </c>
      <c r="K657" t="s">
        <v>46</v>
      </c>
      <c r="L657" t="s">
        <v>56</v>
      </c>
      <c r="M657" t="s">
        <v>179</v>
      </c>
      <c r="N657" t="s">
        <v>79</v>
      </c>
      <c r="O657" t="s">
        <v>161</v>
      </c>
      <c r="P657">
        <v>4</v>
      </c>
      <c r="Q657" t="b">
        <v>0</v>
      </c>
      <c r="R657" s="1">
        <v>45264.156944444447</v>
      </c>
      <c r="V657" s="2">
        <v>45264.156944444447</v>
      </c>
      <c r="W657">
        <v>12</v>
      </c>
      <c r="X657">
        <v>2023</v>
      </c>
      <c r="Y657" t="s">
        <v>24</v>
      </c>
      <c r="Z657">
        <v>4</v>
      </c>
    </row>
    <row r="658" spans="1:26" x14ac:dyDescent="0.45">
      <c r="A658">
        <v>2687</v>
      </c>
      <c r="B658">
        <v>1035</v>
      </c>
      <c r="C658" t="s">
        <v>488</v>
      </c>
      <c r="D658" t="s">
        <v>42</v>
      </c>
      <c r="E658">
        <v>66</v>
      </c>
      <c r="F658">
        <v>758</v>
      </c>
      <c r="G658" t="s">
        <v>489</v>
      </c>
      <c r="H658" t="s">
        <v>172</v>
      </c>
      <c r="I658" t="s">
        <v>173</v>
      </c>
      <c r="J658" t="s">
        <v>174</v>
      </c>
      <c r="K658" t="s">
        <v>46</v>
      </c>
      <c r="L658" t="s">
        <v>67</v>
      </c>
      <c r="M658" t="s">
        <v>108</v>
      </c>
      <c r="N658" t="s">
        <v>99</v>
      </c>
      <c r="O658" t="s">
        <v>30</v>
      </c>
      <c r="P658">
        <v>4</v>
      </c>
      <c r="Q658" t="b">
        <v>1</v>
      </c>
      <c r="R658" s="1">
        <v>44411.348611111112</v>
      </c>
      <c r="S658" s="1">
        <v>44415.987500000003</v>
      </c>
      <c r="T658" t="s">
        <v>60</v>
      </c>
      <c r="U658" t="b">
        <v>0</v>
      </c>
      <c r="V658" s="2">
        <v>44411.348611111112</v>
      </c>
      <c r="W658">
        <v>8</v>
      </c>
      <c r="X658">
        <v>2021</v>
      </c>
      <c r="Y658" t="s">
        <v>172</v>
      </c>
      <c r="Z658">
        <v>4</v>
      </c>
    </row>
    <row r="659" spans="1:26" x14ac:dyDescent="0.45">
      <c r="A659">
        <v>2690</v>
      </c>
      <c r="B659">
        <v>1365</v>
      </c>
      <c r="C659" t="s">
        <v>490</v>
      </c>
      <c r="D659" t="s">
        <v>42</v>
      </c>
      <c r="E659">
        <v>59</v>
      </c>
      <c r="F659">
        <v>741</v>
      </c>
      <c r="G659" t="s">
        <v>491</v>
      </c>
      <c r="H659" t="s">
        <v>93</v>
      </c>
      <c r="I659" t="s">
        <v>94</v>
      </c>
      <c r="J659" t="s">
        <v>107</v>
      </c>
      <c r="K659" t="s">
        <v>46</v>
      </c>
      <c r="L659" t="s">
        <v>67</v>
      </c>
      <c r="M659" t="s">
        <v>233</v>
      </c>
      <c r="N659" t="s">
        <v>89</v>
      </c>
      <c r="O659" t="s">
        <v>90</v>
      </c>
      <c r="P659">
        <v>2</v>
      </c>
      <c r="Q659" t="b">
        <v>1</v>
      </c>
      <c r="R659" s="1">
        <v>43939.984027777777</v>
      </c>
      <c r="S659" s="1">
        <v>43946.970833333333</v>
      </c>
      <c r="T659" t="s">
        <v>109</v>
      </c>
      <c r="U659" t="b">
        <v>0</v>
      </c>
      <c r="V659" s="2">
        <v>43939.984027777777</v>
      </c>
      <c r="W659">
        <v>4</v>
      </c>
      <c r="X659">
        <v>2020</v>
      </c>
      <c r="Y659" t="s">
        <v>93</v>
      </c>
      <c r="Z659">
        <v>2</v>
      </c>
    </row>
    <row r="660" spans="1:26" x14ac:dyDescent="0.45">
      <c r="A660">
        <v>2691</v>
      </c>
      <c r="B660">
        <v>1441</v>
      </c>
      <c r="C660" t="s">
        <v>492</v>
      </c>
      <c r="D660" t="s">
        <v>42</v>
      </c>
      <c r="E660">
        <v>42</v>
      </c>
      <c r="F660">
        <v>686</v>
      </c>
      <c r="G660" t="s">
        <v>493</v>
      </c>
      <c r="H660" t="s">
        <v>63</v>
      </c>
      <c r="I660" t="s">
        <v>64</v>
      </c>
      <c r="J660" t="s">
        <v>65</v>
      </c>
      <c r="K660" t="s">
        <v>102</v>
      </c>
      <c r="L660" t="s">
        <v>96</v>
      </c>
      <c r="M660" t="s">
        <v>136</v>
      </c>
      <c r="N660" t="s">
        <v>30</v>
      </c>
      <c r="O660" t="s">
        <v>137</v>
      </c>
      <c r="P660">
        <v>4</v>
      </c>
      <c r="Q660" t="b">
        <v>1</v>
      </c>
      <c r="R660" s="1">
        <v>44777.425000000003</v>
      </c>
      <c r="S660" s="1">
        <v>44778.892361111109</v>
      </c>
      <c r="T660" t="s">
        <v>109</v>
      </c>
      <c r="U660" t="b">
        <v>0</v>
      </c>
      <c r="V660" s="2">
        <v>44777.425000000003</v>
      </c>
      <c r="W660">
        <v>8</v>
      </c>
      <c r="X660">
        <v>2022</v>
      </c>
      <c r="Y660" t="s">
        <v>63</v>
      </c>
      <c r="Z660">
        <v>4</v>
      </c>
    </row>
    <row r="661" spans="1:26" x14ac:dyDescent="0.45">
      <c r="A661">
        <v>2693</v>
      </c>
      <c r="B661">
        <v>1159</v>
      </c>
      <c r="C661" t="s">
        <v>494</v>
      </c>
      <c r="D661" t="s">
        <v>42</v>
      </c>
      <c r="E661">
        <v>45</v>
      </c>
      <c r="F661">
        <v>713</v>
      </c>
      <c r="G661" t="s">
        <v>495</v>
      </c>
      <c r="H661" t="s">
        <v>35</v>
      </c>
      <c r="I661" t="s">
        <v>122</v>
      </c>
      <c r="J661" t="s">
        <v>123</v>
      </c>
      <c r="K661" t="s">
        <v>102</v>
      </c>
      <c r="L661" t="s">
        <v>67</v>
      </c>
      <c r="M661" t="s">
        <v>108</v>
      </c>
      <c r="N661" t="s">
        <v>99</v>
      </c>
      <c r="O661" t="s">
        <v>30</v>
      </c>
      <c r="P661">
        <v>3</v>
      </c>
      <c r="Q661" t="b">
        <v>0</v>
      </c>
      <c r="R661" s="1">
        <v>44339.659722222219</v>
      </c>
      <c r="V661" s="2">
        <v>44339.659722222219</v>
      </c>
      <c r="W661">
        <v>5</v>
      </c>
      <c r="X661">
        <v>2021</v>
      </c>
      <c r="Y661" t="s">
        <v>35</v>
      </c>
      <c r="Z661">
        <v>3</v>
      </c>
    </row>
    <row r="662" spans="1:26" x14ac:dyDescent="0.45">
      <c r="A662">
        <v>2694</v>
      </c>
      <c r="B662">
        <v>1176</v>
      </c>
      <c r="C662" t="s">
        <v>496</v>
      </c>
      <c r="D662" t="s">
        <v>22</v>
      </c>
      <c r="E662">
        <v>30</v>
      </c>
      <c r="F662">
        <v>690</v>
      </c>
      <c r="G662" t="s">
        <v>497</v>
      </c>
      <c r="H662" t="s">
        <v>73</v>
      </c>
      <c r="I662" t="s">
        <v>140</v>
      </c>
      <c r="J662" t="s">
        <v>141</v>
      </c>
      <c r="K662" t="s">
        <v>55</v>
      </c>
      <c r="L662" t="s">
        <v>96</v>
      </c>
      <c r="M662" t="s">
        <v>97</v>
      </c>
      <c r="N662" t="s">
        <v>98</v>
      </c>
      <c r="O662" t="s">
        <v>99</v>
      </c>
      <c r="P662">
        <v>2</v>
      </c>
      <c r="Q662" t="b">
        <v>1</v>
      </c>
      <c r="R662" s="1">
        <v>45211.955555555556</v>
      </c>
      <c r="S662" s="1">
        <v>45216.998611111114</v>
      </c>
      <c r="T662" t="s">
        <v>60</v>
      </c>
      <c r="U662" t="b">
        <v>0</v>
      </c>
      <c r="V662" s="2">
        <v>45211.955555555556</v>
      </c>
      <c r="W662">
        <v>10</v>
      </c>
      <c r="X662">
        <v>2023</v>
      </c>
      <c r="Y662" t="s">
        <v>73</v>
      </c>
      <c r="Z662">
        <v>2</v>
      </c>
    </row>
    <row r="663" spans="1:26" x14ac:dyDescent="0.45">
      <c r="A663">
        <v>2695</v>
      </c>
      <c r="B663">
        <v>1205</v>
      </c>
      <c r="C663" t="s">
        <v>395</v>
      </c>
      <c r="D663" t="s">
        <v>42</v>
      </c>
      <c r="E663">
        <v>27</v>
      </c>
      <c r="F663">
        <v>693</v>
      </c>
      <c r="G663" t="s">
        <v>396</v>
      </c>
      <c r="H663" t="s">
        <v>172</v>
      </c>
      <c r="I663" t="s">
        <v>177</v>
      </c>
      <c r="J663" t="s">
        <v>178</v>
      </c>
      <c r="K663" t="s">
        <v>55</v>
      </c>
      <c r="L663" t="s">
        <v>76</v>
      </c>
      <c r="M663" t="s">
        <v>132</v>
      </c>
      <c r="N663" t="s">
        <v>59</v>
      </c>
      <c r="O663" t="s">
        <v>98</v>
      </c>
      <c r="P663">
        <v>3</v>
      </c>
      <c r="Q663" t="b">
        <v>1</v>
      </c>
      <c r="R663" s="1">
        <v>44706.97152777778</v>
      </c>
      <c r="S663" s="1">
        <v>44711.963194444441</v>
      </c>
      <c r="T663" t="s">
        <v>60</v>
      </c>
      <c r="U663" t="b">
        <v>0</v>
      </c>
      <c r="V663" s="2">
        <v>44706.97152777778</v>
      </c>
      <c r="W663">
        <v>5</v>
      </c>
      <c r="X663">
        <v>2022</v>
      </c>
      <c r="Y663" t="s">
        <v>172</v>
      </c>
      <c r="Z663">
        <v>3</v>
      </c>
    </row>
    <row r="664" spans="1:26" x14ac:dyDescent="0.45">
      <c r="A664">
        <v>2696</v>
      </c>
      <c r="B664">
        <v>1396</v>
      </c>
      <c r="C664" t="s">
        <v>498</v>
      </c>
      <c r="D664" t="s">
        <v>42</v>
      </c>
      <c r="E664">
        <v>63</v>
      </c>
      <c r="F664">
        <v>754</v>
      </c>
      <c r="G664" t="s">
        <v>499</v>
      </c>
      <c r="H664" t="s">
        <v>63</v>
      </c>
      <c r="I664" t="s">
        <v>64</v>
      </c>
      <c r="J664" t="s">
        <v>281</v>
      </c>
      <c r="K664" t="s">
        <v>46</v>
      </c>
      <c r="L664" t="s">
        <v>76</v>
      </c>
      <c r="M664" t="s">
        <v>160</v>
      </c>
      <c r="N664" t="s">
        <v>79</v>
      </c>
      <c r="O664" t="s">
        <v>161</v>
      </c>
      <c r="P664">
        <v>2</v>
      </c>
      <c r="Q664" t="b">
        <v>1</v>
      </c>
      <c r="R664" s="1">
        <v>45136.205555555556</v>
      </c>
      <c r="S664" s="1">
        <v>45137.725694444445</v>
      </c>
      <c r="T664" t="s">
        <v>60</v>
      </c>
      <c r="U664" t="b">
        <v>0</v>
      </c>
      <c r="V664" s="2">
        <v>45136.205555555556</v>
      </c>
      <c r="W664">
        <v>7</v>
      </c>
      <c r="X664">
        <v>2023</v>
      </c>
      <c r="Y664" t="s">
        <v>63</v>
      </c>
      <c r="Z664">
        <v>2</v>
      </c>
    </row>
    <row r="665" spans="1:26" x14ac:dyDescent="0.45">
      <c r="A665">
        <v>2697</v>
      </c>
      <c r="B665">
        <v>1046</v>
      </c>
      <c r="C665" t="s">
        <v>500</v>
      </c>
      <c r="D665" t="s">
        <v>22</v>
      </c>
      <c r="E665">
        <v>43</v>
      </c>
      <c r="F665">
        <v>710</v>
      </c>
      <c r="G665" t="s">
        <v>501</v>
      </c>
      <c r="H665" t="s">
        <v>52</v>
      </c>
      <c r="I665" t="s">
        <v>53</v>
      </c>
      <c r="J665" t="s">
        <v>54</v>
      </c>
      <c r="K665" t="s">
        <v>46</v>
      </c>
      <c r="L665" t="s">
        <v>67</v>
      </c>
      <c r="M665" t="s">
        <v>233</v>
      </c>
      <c r="N665" t="s">
        <v>89</v>
      </c>
      <c r="O665" t="s">
        <v>90</v>
      </c>
      <c r="P665">
        <v>5</v>
      </c>
      <c r="Q665" t="b">
        <v>1</v>
      </c>
      <c r="R665" s="1">
        <v>45168.09652777778</v>
      </c>
      <c r="S665" s="1">
        <v>45174.28402777778</v>
      </c>
      <c r="T665" t="s">
        <v>60</v>
      </c>
      <c r="U665" t="b">
        <v>0</v>
      </c>
      <c r="V665" s="2">
        <v>45168.09652777778</v>
      </c>
      <c r="W665">
        <v>8</v>
      </c>
      <c r="X665">
        <v>2023</v>
      </c>
      <c r="Y665" t="s">
        <v>52</v>
      </c>
      <c r="Z665">
        <v>5</v>
      </c>
    </row>
    <row r="666" spans="1:26" x14ac:dyDescent="0.45">
      <c r="A666">
        <v>2698</v>
      </c>
      <c r="B666">
        <v>1254</v>
      </c>
      <c r="C666" t="s">
        <v>502</v>
      </c>
      <c r="D666" t="s">
        <v>42</v>
      </c>
      <c r="E666">
        <v>29</v>
      </c>
      <c r="F666">
        <v>690</v>
      </c>
      <c r="G666" t="s">
        <v>503</v>
      </c>
      <c r="H666" t="s">
        <v>24</v>
      </c>
      <c r="I666" t="s">
        <v>44</v>
      </c>
      <c r="J666" t="s">
        <v>208</v>
      </c>
      <c r="K666" t="s">
        <v>27</v>
      </c>
      <c r="L666" t="s">
        <v>56</v>
      </c>
      <c r="M666" t="s">
        <v>88</v>
      </c>
      <c r="N666" t="s">
        <v>89</v>
      </c>
      <c r="O666" t="s">
        <v>90</v>
      </c>
      <c r="P666">
        <v>3</v>
      </c>
      <c r="Q666" t="b">
        <v>1</v>
      </c>
      <c r="R666" s="1">
        <v>44554.927777777775</v>
      </c>
      <c r="S666" s="1">
        <v>44558.056944444441</v>
      </c>
      <c r="T666" t="s">
        <v>40</v>
      </c>
      <c r="U666" t="b">
        <v>0</v>
      </c>
      <c r="V666" s="2">
        <v>44554.927777777775</v>
      </c>
      <c r="W666">
        <v>12</v>
      </c>
      <c r="X666">
        <v>2021</v>
      </c>
      <c r="Y666" t="s">
        <v>24</v>
      </c>
      <c r="Z666">
        <v>3</v>
      </c>
    </row>
    <row r="667" spans="1:26" x14ac:dyDescent="0.45">
      <c r="A667">
        <v>2699</v>
      </c>
      <c r="B667">
        <v>1418</v>
      </c>
      <c r="C667" t="s">
        <v>285</v>
      </c>
      <c r="D667" t="s">
        <v>22</v>
      </c>
      <c r="E667">
        <v>28</v>
      </c>
      <c r="F667">
        <v>682</v>
      </c>
      <c r="G667" t="s">
        <v>286</v>
      </c>
      <c r="H667" t="s">
        <v>35</v>
      </c>
      <c r="I667" t="s">
        <v>122</v>
      </c>
      <c r="J667" t="s">
        <v>135</v>
      </c>
      <c r="K667" t="s">
        <v>55</v>
      </c>
      <c r="L667" t="s">
        <v>76</v>
      </c>
      <c r="M667" t="s">
        <v>77</v>
      </c>
      <c r="N667" t="s">
        <v>78</v>
      </c>
      <c r="O667" t="s">
        <v>79</v>
      </c>
      <c r="P667">
        <v>5</v>
      </c>
      <c r="Q667" t="b">
        <v>1</v>
      </c>
      <c r="R667" s="1">
        <v>44520.323611111111</v>
      </c>
      <c r="S667" s="1">
        <v>44521.587500000001</v>
      </c>
      <c r="T667" t="s">
        <v>32</v>
      </c>
      <c r="U667" t="b">
        <v>0</v>
      </c>
      <c r="V667" s="2">
        <v>44520.323611111111</v>
      </c>
      <c r="W667">
        <v>11</v>
      </c>
      <c r="X667">
        <v>2021</v>
      </c>
      <c r="Y667" t="s">
        <v>35</v>
      </c>
      <c r="Z667">
        <v>5</v>
      </c>
    </row>
    <row r="668" spans="1:26" x14ac:dyDescent="0.45">
      <c r="A668">
        <v>2700</v>
      </c>
      <c r="B668">
        <v>1117</v>
      </c>
      <c r="C668" t="s">
        <v>243</v>
      </c>
      <c r="D668" t="s">
        <v>22</v>
      </c>
      <c r="E668">
        <v>53</v>
      </c>
      <c r="F668">
        <v>727</v>
      </c>
      <c r="G668" t="s">
        <v>244</v>
      </c>
      <c r="H668" t="s">
        <v>73</v>
      </c>
      <c r="I668" t="s">
        <v>74</v>
      </c>
      <c r="J668" t="s">
        <v>245</v>
      </c>
      <c r="K668" t="s">
        <v>37</v>
      </c>
      <c r="L668" t="s">
        <v>67</v>
      </c>
      <c r="M668" t="s">
        <v>233</v>
      </c>
      <c r="N668" t="s">
        <v>89</v>
      </c>
      <c r="O668" t="s">
        <v>90</v>
      </c>
      <c r="P668">
        <v>1</v>
      </c>
      <c r="Q668" t="b">
        <v>1</v>
      </c>
      <c r="R668" s="1">
        <v>43989.536805555559</v>
      </c>
      <c r="S668" s="1">
        <v>43990.605555555558</v>
      </c>
      <c r="T668" t="s">
        <v>60</v>
      </c>
      <c r="U668" t="b">
        <v>0</v>
      </c>
      <c r="V668" s="2">
        <v>43989.536805555559</v>
      </c>
      <c r="W668">
        <v>6</v>
      </c>
      <c r="X668">
        <v>2020</v>
      </c>
      <c r="Y668" t="s">
        <v>73</v>
      </c>
      <c r="Z668">
        <v>1</v>
      </c>
    </row>
    <row r="669" spans="1:26" x14ac:dyDescent="0.45">
      <c r="A669">
        <v>2701</v>
      </c>
      <c r="B669">
        <v>1278</v>
      </c>
      <c r="C669" t="s">
        <v>61</v>
      </c>
      <c r="D669" t="s">
        <v>42</v>
      </c>
      <c r="E669">
        <v>18</v>
      </c>
      <c r="F669">
        <v>607</v>
      </c>
      <c r="G669" t="s">
        <v>62</v>
      </c>
      <c r="H669" t="s">
        <v>63</v>
      </c>
      <c r="I669" t="s">
        <v>64</v>
      </c>
      <c r="J669" t="s">
        <v>65</v>
      </c>
      <c r="K669" t="s">
        <v>66</v>
      </c>
      <c r="L669" t="s">
        <v>76</v>
      </c>
      <c r="M669" t="s">
        <v>77</v>
      </c>
      <c r="N669" t="s">
        <v>78</v>
      </c>
      <c r="O669" t="s">
        <v>79</v>
      </c>
      <c r="P669">
        <v>2</v>
      </c>
      <c r="Q669" t="b">
        <v>1</v>
      </c>
      <c r="R669" s="1">
        <v>44872.89166666667</v>
      </c>
      <c r="S669" s="1">
        <v>44879.156944444447</v>
      </c>
      <c r="T669" t="s">
        <v>32</v>
      </c>
      <c r="U669" t="b">
        <v>0</v>
      </c>
      <c r="V669" s="2">
        <v>44872.89166666667</v>
      </c>
      <c r="W669">
        <v>11</v>
      </c>
      <c r="X669">
        <v>2022</v>
      </c>
      <c r="Y669" t="s">
        <v>63</v>
      </c>
      <c r="Z669">
        <v>2</v>
      </c>
    </row>
    <row r="670" spans="1:26" x14ac:dyDescent="0.45">
      <c r="A670">
        <v>2702</v>
      </c>
      <c r="B670">
        <v>1166</v>
      </c>
      <c r="C670" t="s">
        <v>397</v>
      </c>
      <c r="D670" t="s">
        <v>22</v>
      </c>
      <c r="E670">
        <v>70</v>
      </c>
      <c r="F670">
        <v>754</v>
      </c>
      <c r="G670" t="s">
        <v>398</v>
      </c>
      <c r="H670" t="s">
        <v>172</v>
      </c>
      <c r="I670" t="s">
        <v>173</v>
      </c>
      <c r="J670" t="s">
        <v>399</v>
      </c>
      <c r="K670" t="s">
        <v>37</v>
      </c>
      <c r="L670" t="s">
        <v>28</v>
      </c>
      <c r="M670" t="s">
        <v>47</v>
      </c>
      <c r="N670" t="s">
        <v>48</v>
      </c>
      <c r="O670" t="s">
        <v>49</v>
      </c>
      <c r="P670">
        <v>5</v>
      </c>
      <c r="Q670" t="b">
        <v>1</v>
      </c>
      <c r="R670" s="1">
        <v>44667.57708333333</v>
      </c>
      <c r="S670" s="1">
        <v>44671.886111111111</v>
      </c>
      <c r="T670" t="s">
        <v>32</v>
      </c>
      <c r="U670" t="b">
        <v>0</v>
      </c>
      <c r="V670" s="2">
        <v>44667.57708333333</v>
      </c>
      <c r="W670">
        <v>4</v>
      </c>
      <c r="X670">
        <v>2022</v>
      </c>
      <c r="Y670" t="s">
        <v>172</v>
      </c>
      <c r="Z670">
        <v>5</v>
      </c>
    </row>
    <row r="671" spans="1:26" x14ac:dyDescent="0.45">
      <c r="A671">
        <v>2704</v>
      </c>
      <c r="B671">
        <v>1358</v>
      </c>
      <c r="C671" t="s">
        <v>504</v>
      </c>
      <c r="D671" t="s">
        <v>42</v>
      </c>
      <c r="E671">
        <v>40</v>
      </c>
      <c r="F671">
        <v>697</v>
      </c>
      <c r="G671" t="s">
        <v>505</v>
      </c>
      <c r="H671" t="s">
        <v>52</v>
      </c>
      <c r="I671" t="s">
        <v>150</v>
      </c>
      <c r="J671" t="s">
        <v>151</v>
      </c>
      <c r="K671" t="s">
        <v>55</v>
      </c>
      <c r="L671" t="s">
        <v>96</v>
      </c>
      <c r="M671" t="s">
        <v>97</v>
      </c>
      <c r="N671" t="s">
        <v>98</v>
      </c>
      <c r="O671" t="s">
        <v>99</v>
      </c>
      <c r="P671">
        <v>2</v>
      </c>
      <c r="Q671" t="b">
        <v>1</v>
      </c>
      <c r="R671" s="1">
        <v>45021.165277777778</v>
      </c>
      <c r="S671" s="1">
        <v>45025.650694444441</v>
      </c>
      <c r="T671" t="s">
        <v>40</v>
      </c>
      <c r="U671" t="b">
        <v>0</v>
      </c>
      <c r="V671" s="2">
        <v>45021.165277777778</v>
      </c>
      <c r="W671">
        <v>4</v>
      </c>
      <c r="X671">
        <v>2023</v>
      </c>
      <c r="Y671" t="s">
        <v>52</v>
      </c>
      <c r="Z671">
        <v>2</v>
      </c>
    </row>
    <row r="672" spans="1:26" x14ac:dyDescent="0.45">
      <c r="A672">
        <v>2705</v>
      </c>
      <c r="B672">
        <v>1435</v>
      </c>
      <c r="C672" t="s">
        <v>273</v>
      </c>
      <c r="D672" t="s">
        <v>22</v>
      </c>
      <c r="E672">
        <v>52</v>
      </c>
      <c r="F672">
        <v>715</v>
      </c>
      <c r="G672" t="s">
        <v>274</v>
      </c>
      <c r="H672" t="s">
        <v>172</v>
      </c>
      <c r="I672" t="s">
        <v>177</v>
      </c>
      <c r="J672" t="s">
        <v>178</v>
      </c>
      <c r="K672" t="s">
        <v>55</v>
      </c>
      <c r="L672" t="s">
        <v>56</v>
      </c>
      <c r="M672" t="s">
        <v>88</v>
      </c>
      <c r="N672" t="s">
        <v>89</v>
      </c>
      <c r="O672" t="s">
        <v>90</v>
      </c>
      <c r="P672">
        <v>5</v>
      </c>
      <c r="Q672" t="b">
        <v>0</v>
      </c>
      <c r="R672" s="1">
        <v>44383.848611111112</v>
      </c>
      <c r="V672" s="2">
        <v>44383.848611111112</v>
      </c>
      <c r="W672">
        <v>7</v>
      </c>
      <c r="X672">
        <v>2021</v>
      </c>
      <c r="Y672" t="s">
        <v>172</v>
      </c>
      <c r="Z672">
        <v>5</v>
      </c>
    </row>
    <row r="673" spans="1:26" x14ac:dyDescent="0.45">
      <c r="A673">
        <v>2706</v>
      </c>
      <c r="B673">
        <v>1314</v>
      </c>
      <c r="C673" t="s">
        <v>506</v>
      </c>
      <c r="D673" t="s">
        <v>42</v>
      </c>
      <c r="E673">
        <v>54</v>
      </c>
      <c r="F673">
        <v>738</v>
      </c>
      <c r="G673" t="s">
        <v>507</v>
      </c>
      <c r="H673" t="s">
        <v>93</v>
      </c>
      <c r="I673" t="s">
        <v>94</v>
      </c>
      <c r="J673" t="s">
        <v>107</v>
      </c>
      <c r="K673" t="s">
        <v>102</v>
      </c>
      <c r="L673" t="s">
        <v>96</v>
      </c>
      <c r="M673" t="s">
        <v>103</v>
      </c>
      <c r="N673" t="s">
        <v>31</v>
      </c>
      <c r="O673" t="s">
        <v>104</v>
      </c>
      <c r="P673">
        <v>1</v>
      </c>
      <c r="Q673" t="b">
        <v>1</v>
      </c>
      <c r="R673" s="1">
        <v>45248.768750000003</v>
      </c>
      <c r="S673" s="1">
        <v>45254.815972222219</v>
      </c>
      <c r="T673" t="s">
        <v>40</v>
      </c>
      <c r="U673" t="b">
        <v>0</v>
      </c>
      <c r="V673" s="2">
        <v>45248.768750000003</v>
      </c>
      <c r="W673">
        <v>11</v>
      </c>
      <c r="X673">
        <v>2023</v>
      </c>
      <c r="Y673" t="s">
        <v>93</v>
      </c>
      <c r="Z673">
        <v>1</v>
      </c>
    </row>
    <row r="674" spans="1:26" x14ac:dyDescent="0.45">
      <c r="A674">
        <v>2707</v>
      </c>
      <c r="B674">
        <v>1161</v>
      </c>
      <c r="C674" t="s">
        <v>508</v>
      </c>
      <c r="D674" t="s">
        <v>22</v>
      </c>
      <c r="E674">
        <v>72</v>
      </c>
      <c r="F674">
        <v>759</v>
      </c>
      <c r="G674" t="s">
        <v>509</v>
      </c>
      <c r="H674" t="s">
        <v>85</v>
      </c>
      <c r="I674" t="s">
        <v>116</v>
      </c>
      <c r="J674" t="s">
        <v>154</v>
      </c>
      <c r="K674" t="s">
        <v>37</v>
      </c>
      <c r="L674" t="s">
        <v>96</v>
      </c>
      <c r="M674" t="s">
        <v>103</v>
      </c>
      <c r="N674" t="s">
        <v>31</v>
      </c>
      <c r="O674" t="s">
        <v>104</v>
      </c>
      <c r="P674">
        <v>1</v>
      </c>
      <c r="Q674" t="b">
        <v>1</v>
      </c>
      <c r="R674" s="1">
        <v>44550.518750000003</v>
      </c>
      <c r="S674" s="1">
        <v>44555.415277777778</v>
      </c>
      <c r="T674" t="s">
        <v>109</v>
      </c>
      <c r="U674" t="b">
        <v>0</v>
      </c>
      <c r="V674" s="2">
        <v>44550.518750000003</v>
      </c>
      <c r="W674">
        <v>12</v>
      </c>
      <c r="X674">
        <v>2021</v>
      </c>
      <c r="Y674" t="s">
        <v>85</v>
      </c>
      <c r="Z674">
        <v>1</v>
      </c>
    </row>
    <row r="675" spans="1:26" x14ac:dyDescent="0.45">
      <c r="A675">
        <v>2708</v>
      </c>
      <c r="B675">
        <v>1100</v>
      </c>
      <c r="C675" t="s">
        <v>510</v>
      </c>
      <c r="D675" t="s">
        <v>42</v>
      </c>
      <c r="E675">
        <v>48</v>
      </c>
      <c r="F675">
        <v>734</v>
      </c>
      <c r="G675" t="s">
        <v>511</v>
      </c>
      <c r="H675" t="s">
        <v>93</v>
      </c>
      <c r="I675" t="s">
        <v>112</v>
      </c>
      <c r="J675" t="s">
        <v>147</v>
      </c>
      <c r="K675" t="s">
        <v>27</v>
      </c>
      <c r="L675" t="s">
        <v>56</v>
      </c>
      <c r="M675" t="s">
        <v>197</v>
      </c>
      <c r="N675" t="s">
        <v>198</v>
      </c>
      <c r="O675" t="s">
        <v>199</v>
      </c>
      <c r="P675">
        <v>3</v>
      </c>
      <c r="Q675" t="b">
        <v>1</v>
      </c>
      <c r="R675" s="1">
        <v>44482.527777777781</v>
      </c>
      <c r="S675" s="1">
        <v>44486.137499999997</v>
      </c>
      <c r="T675" t="s">
        <v>40</v>
      </c>
      <c r="U675" t="b">
        <v>0</v>
      </c>
      <c r="V675" s="2">
        <v>44482.527777777781</v>
      </c>
      <c r="W675">
        <v>10</v>
      </c>
      <c r="X675">
        <v>2021</v>
      </c>
      <c r="Y675" t="s">
        <v>93</v>
      </c>
      <c r="Z675">
        <v>3</v>
      </c>
    </row>
    <row r="676" spans="1:26" x14ac:dyDescent="0.45">
      <c r="A676">
        <v>2709</v>
      </c>
      <c r="B676">
        <v>1255</v>
      </c>
      <c r="C676" t="s">
        <v>455</v>
      </c>
      <c r="D676" t="s">
        <v>22</v>
      </c>
      <c r="E676">
        <v>32</v>
      </c>
      <c r="F676">
        <v>691</v>
      </c>
      <c r="G676" t="s">
        <v>456</v>
      </c>
      <c r="H676" t="s">
        <v>172</v>
      </c>
      <c r="I676" t="s">
        <v>173</v>
      </c>
      <c r="J676" t="s">
        <v>423</v>
      </c>
      <c r="K676" t="s">
        <v>55</v>
      </c>
      <c r="L676" t="s">
        <v>96</v>
      </c>
      <c r="M676" t="s">
        <v>118</v>
      </c>
      <c r="N676" t="s">
        <v>90</v>
      </c>
      <c r="O676" t="s">
        <v>119</v>
      </c>
      <c r="P676">
        <v>4</v>
      </c>
      <c r="Q676" t="b">
        <v>1</v>
      </c>
      <c r="R676" s="1">
        <v>44466.60833333333</v>
      </c>
      <c r="S676" s="1">
        <v>44467.684027777781</v>
      </c>
      <c r="T676" t="s">
        <v>40</v>
      </c>
      <c r="U676" t="b">
        <v>0</v>
      </c>
      <c r="V676" s="2">
        <v>44466.60833333333</v>
      </c>
      <c r="W676">
        <v>9</v>
      </c>
      <c r="X676">
        <v>2021</v>
      </c>
      <c r="Y676" t="s">
        <v>172</v>
      </c>
      <c r="Z676">
        <v>4</v>
      </c>
    </row>
    <row r="677" spans="1:26" x14ac:dyDescent="0.45">
      <c r="A677">
        <v>2710</v>
      </c>
      <c r="B677">
        <v>1272</v>
      </c>
      <c r="C677" t="s">
        <v>512</v>
      </c>
      <c r="D677" t="s">
        <v>42</v>
      </c>
      <c r="E677">
        <v>49</v>
      </c>
      <c r="F677">
        <v>734</v>
      </c>
      <c r="G677" t="s">
        <v>513</v>
      </c>
      <c r="H677" t="s">
        <v>63</v>
      </c>
      <c r="I677" t="s">
        <v>300</v>
      </c>
      <c r="J677" t="s">
        <v>514</v>
      </c>
      <c r="K677" t="s">
        <v>37</v>
      </c>
      <c r="L677" t="s">
        <v>56</v>
      </c>
      <c r="M677" t="s">
        <v>197</v>
      </c>
      <c r="N677" t="s">
        <v>198</v>
      </c>
      <c r="O677" t="s">
        <v>199</v>
      </c>
      <c r="P677">
        <v>2</v>
      </c>
      <c r="Q677" t="b">
        <v>1</v>
      </c>
      <c r="R677" s="1">
        <v>44521.086805555555</v>
      </c>
      <c r="S677" s="1">
        <v>44522.973611111112</v>
      </c>
      <c r="T677" t="s">
        <v>40</v>
      </c>
      <c r="U677" t="b">
        <v>0</v>
      </c>
      <c r="V677" s="2">
        <v>44521.086805555555</v>
      </c>
      <c r="W677">
        <v>11</v>
      </c>
      <c r="X677">
        <v>2021</v>
      </c>
      <c r="Y677" t="s">
        <v>63</v>
      </c>
      <c r="Z677">
        <v>2</v>
      </c>
    </row>
    <row r="678" spans="1:26" x14ac:dyDescent="0.45">
      <c r="A678">
        <v>2711</v>
      </c>
      <c r="B678">
        <v>1483</v>
      </c>
      <c r="C678" t="s">
        <v>515</v>
      </c>
      <c r="D678" t="s">
        <v>22</v>
      </c>
      <c r="E678">
        <v>61</v>
      </c>
      <c r="F678">
        <v>751</v>
      </c>
      <c r="G678" t="s">
        <v>516</v>
      </c>
      <c r="H678" t="s">
        <v>24</v>
      </c>
      <c r="I678" t="s">
        <v>25</v>
      </c>
      <c r="J678" t="s">
        <v>188</v>
      </c>
      <c r="K678" t="s">
        <v>66</v>
      </c>
      <c r="L678" t="s">
        <v>28</v>
      </c>
      <c r="M678" t="s">
        <v>38</v>
      </c>
      <c r="N678" t="s">
        <v>31</v>
      </c>
      <c r="O678" t="s">
        <v>39</v>
      </c>
      <c r="P678">
        <v>4</v>
      </c>
      <c r="Q678" t="b">
        <v>1</v>
      </c>
      <c r="R678" s="1">
        <v>44364.116666666669</v>
      </c>
      <c r="S678" s="1">
        <v>44370.988888888889</v>
      </c>
      <c r="T678" t="s">
        <v>32</v>
      </c>
      <c r="U678" t="b">
        <v>0</v>
      </c>
      <c r="V678" s="2">
        <v>44364.116666666669</v>
      </c>
      <c r="W678">
        <v>6</v>
      </c>
      <c r="X678">
        <v>2021</v>
      </c>
      <c r="Y678" t="s">
        <v>24</v>
      </c>
      <c r="Z678">
        <v>4</v>
      </c>
    </row>
    <row r="679" spans="1:26" x14ac:dyDescent="0.45">
      <c r="A679">
        <v>2712</v>
      </c>
      <c r="B679">
        <v>1421</v>
      </c>
      <c r="C679" t="s">
        <v>517</v>
      </c>
      <c r="D679" t="s">
        <v>22</v>
      </c>
      <c r="E679">
        <v>74</v>
      </c>
      <c r="F679">
        <v>760</v>
      </c>
      <c r="G679" t="s">
        <v>518</v>
      </c>
      <c r="H679" t="s">
        <v>63</v>
      </c>
      <c r="I679" t="s">
        <v>64</v>
      </c>
      <c r="J679" t="s">
        <v>164</v>
      </c>
      <c r="K679" t="s">
        <v>102</v>
      </c>
      <c r="L679" t="s">
        <v>96</v>
      </c>
      <c r="M679" t="s">
        <v>118</v>
      </c>
      <c r="N679" t="s">
        <v>90</v>
      </c>
      <c r="O679" t="s">
        <v>119</v>
      </c>
      <c r="P679">
        <v>4</v>
      </c>
      <c r="Q679" t="b">
        <v>1</v>
      </c>
      <c r="R679" s="1">
        <v>45268.921527777777</v>
      </c>
      <c r="S679" s="1">
        <v>45269.87222222222</v>
      </c>
      <c r="T679" t="s">
        <v>32</v>
      </c>
      <c r="U679" t="b">
        <v>0</v>
      </c>
      <c r="V679" s="2">
        <v>45268.921527777777</v>
      </c>
      <c r="W679">
        <v>12</v>
      </c>
      <c r="X679">
        <v>2023</v>
      </c>
      <c r="Y679" t="s">
        <v>63</v>
      </c>
      <c r="Z679">
        <v>4</v>
      </c>
    </row>
    <row r="680" spans="1:26" x14ac:dyDescent="0.45">
      <c r="A680">
        <v>2713</v>
      </c>
      <c r="B680">
        <v>1332</v>
      </c>
      <c r="C680" t="s">
        <v>406</v>
      </c>
      <c r="D680" t="s">
        <v>22</v>
      </c>
      <c r="E680">
        <v>33</v>
      </c>
      <c r="F680">
        <v>699</v>
      </c>
      <c r="G680" t="s">
        <v>407</v>
      </c>
      <c r="H680" t="s">
        <v>129</v>
      </c>
      <c r="I680" t="s">
        <v>130</v>
      </c>
      <c r="J680" t="s">
        <v>131</v>
      </c>
      <c r="K680" t="s">
        <v>102</v>
      </c>
      <c r="L680" t="s">
        <v>56</v>
      </c>
      <c r="M680" t="s">
        <v>179</v>
      </c>
      <c r="N680" t="s">
        <v>79</v>
      </c>
      <c r="O680" t="s">
        <v>161</v>
      </c>
      <c r="P680">
        <v>4</v>
      </c>
      <c r="Q680" t="b">
        <v>1</v>
      </c>
      <c r="R680" s="1">
        <v>44122.742361111108</v>
      </c>
      <c r="S680" s="1">
        <v>44123.909722222219</v>
      </c>
      <c r="T680" t="s">
        <v>109</v>
      </c>
      <c r="U680" t="b">
        <v>0</v>
      </c>
      <c r="V680" s="2">
        <v>44122.742361111108</v>
      </c>
      <c r="W680">
        <v>10</v>
      </c>
      <c r="X680">
        <v>2020</v>
      </c>
      <c r="Y680" t="s">
        <v>129</v>
      </c>
      <c r="Z680">
        <v>4</v>
      </c>
    </row>
    <row r="681" spans="1:26" x14ac:dyDescent="0.45">
      <c r="A681">
        <v>2714</v>
      </c>
      <c r="B681">
        <v>1074</v>
      </c>
      <c r="C681" t="s">
        <v>519</v>
      </c>
      <c r="D681" t="s">
        <v>22</v>
      </c>
      <c r="E681">
        <v>46</v>
      </c>
      <c r="F681">
        <v>732</v>
      </c>
      <c r="G681" t="s">
        <v>520</v>
      </c>
      <c r="H681" t="s">
        <v>172</v>
      </c>
      <c r="I681" t="s">
        <v>177</v>
      </c>
      <c r="J681" t="s">
        <v>356</v>
      </c>
      <c r="K681" t="s">
        <v>66</v>
      </c>
      <c r="L681" t="s">
        <v>96</v>
      </c>
      <c r="M681" t="s">
        <v>103</v>
      </c>
      <c r="N681" t="s">
        <v>31</v>
      </c>
      <c r="O681" t="s">
        <v>104</v>
      </c>
      <c r="P681">
        <v>4</v>
      </c>
      <c r="Q681" t="b">
        <v>1</v>
      </c>
      <c r="R681" s="1">
        <v>44865.378472222219</v>
      </c>
      <c r="S681" s="1">
        <v>44867.36041666667</v>
      </c>
      <c r="T681" t="s">
        <v>109</v>
      </c>
      <c r="U681" t="b">
        <v>0</v>
      </c>
      <c r="V681" s="2">
        <v>44865.378472222219</v>
      </c>
      <c r="W681">
        <v>10</v>
      </c>
      <c r="X681">
        <v>2022</v>
      </c>
      <c r="Y681" t="s">
        <v>172</v>
      </c>
      <c r="Z681">
        <v>4</v>
      </c>
    </row>
    <row r="682" spans="1:26" x14ac:dyDescent="0.45">
      <c r="A682">
        <v>2715</v>
      </c>
      <c r="B682">
        <v>1185</v>
      </c>
      <c r="C682" t="s">
        <v>248</v>
      </c>
      <c r="D682" t="s">
        <v>22</v>
      </c>
      <c r="E682">
        <v>49</v>
      </c>
      <c r="F682">
        <v>701</v>
      </c>
      <c r="G682" t="s">
        <v>249</v>
      </c>
      <c r="H682" t="s">
        <v>35</v>
      </c>
      <c r="I682" t="s">
        <v>36</v>
      </c>
      <c r="J682" t="s">
        <v>36</v>
      </c>
      <c r="K682" t="s">
        <v>27</v>
      </c>
      <c r="L682" t="s">
        <v>96</v>
      </c>
      <c r="M682" t="s">
        <v>136</v>
      </c>
      <c r="N682" t="s">
        <v>30</v>
      </c>
      <c r="O682" t="s">
        <v>137</v>
      </c>
      <c r="P682">
        <v>4</v>
      </c>
      <c r="Q682" t="b">
        <v>0</v>
      </c>
      <c r="R682" s="1">
        <v>44823.059027777781</v>
      </c>
      <c r="V682" s="2">
        <v>44823.059027777781</v>
      </c>
      <c r="W682">
        <v>9</v>
      </c>
      <c r="X682">
        <v>2022</v>
      </c>
      <c r="Y682" t="s">
        <v>35</v>
      </c>
      <c r="Z682">
        <v>4</v>
      </c>
    </row>
    <row r="683" spans="1:26" x14ac:dyDescent="0.45">
      <c r="A683">
        <v>2716</v>
      </c>
      <c r="B683">
        <v>1167</v>
      </c>
      <c r="C683" t="s">
        <v>521</v>
      </c>
      <c r="D683" t="s">
        <v>22</v>
      </c>
      <c r="E683">
        <v>45</v>
      </c>
      <c r="F683">
        <v>736</v>
      </c>
      <c r="G683" t="s">
        <v>522</v>
      </c>
      <c r="H683" t="s">
        <v>129</v>
      </c>
      <c r="I683" t="s">
        <v>130</v>
      </c>
      <c r="J683" t="s">
        <v>131</v>
      </c>
      <c r="K683" t="s">
        <v>27</v>
      </c>
      <c r="L683" t="s">
        <v>96</v>
      </c>
      <c r="M683" t="s">
        <v>118</v>
      </c>
      <c r="N683" t="s">
        <v>90</v>
      </c>
      <c r="O683" t="s">
        <v>119</v>
      </c>
      <c r="P683">
        <v>1</v>
      </c>
      <c r="Q683" t="b">
        <v>1</v>
      </c>
      <c r="R683" s="1">
        <v>44118.573611111111</v>
      </c>
      <c r="S683" s="1">
        <v>44119.311111111114</v>
      </c>
      <c r="T683" t="s">
        <v>109</v>
      </c>
      <c r="U683" t="b">
        <v>0</v>
      </c>
      <c r="V683" s="2">
        <v>44118.573611111111</v>
      </c>
      <c r="W683">
        <v>10</v>
      </c>
      <c r="X683">
        <v>2020</v>
      </c>
      <c r="Y683" t="s">
        <v>129</v>
      </c>
      <c r="Z683">
        <v>1</v>
      </c>
    </row>
    <row r="684" spans="1:26" x14ac:dyDescent="0.45">
      <c r="A684">
        <v>2717</v>
      </c>
      <c r="B684">
        <v>1335</v>
      </c>
      <c r="C684" t="s">
        <v>523</v>
      </c>
      <c r="D684" t="s">
        <v>42</v>
      </c>
      <c r="E684">
        <v>51</v>
      </c>
      <c r="F684">
        <v>736</v>
      </c>
      <c r="G684" t="s">
        <v>524</v>
      </c>
      <c r="H684" t="s">
        <v>85</v>
      </c>
      <c r="I684" t="s">
        <v>116</v>
      </c>
      <c r="J684" t="s">
        <v>154</v>
      </c>
      <c r="K684" t="s">
        <v>46</v>
      </c>
      <c r="L684" t="s">
        <v>76</v>
      </c>
      <c r="M684" t="s">
        <v>126</v>
      </c>
      <c r="N684" t="s">
        <v>98</v>
      </c>
      <c r="O684" t="s">
        <v>99</v>
      </c>
      <c r="P684">
        <v>3</v>
      </c>
      <c r="Q684" t="b">
        <v>1</v>
      </c>
      <c r="R684" s="1">
        <v>45234.368750000001</v>
      </c>
      <c r="S684" s="1">
        <v>45237.636805555558</v>
      </c>
      <c r="T684" t="s">
        <v>109</v>
      </c>
      <c r="U684" t="b">
        <v>0</v>
      </c>
      <c r="V684" s="2">
        <v>45234.368750000001</v>
      </c>
      <c r="W684">
        <v>11</v>
      </c>
      <c r="X684">
        <v>2023</v>
      </c>
      <c r="Y684" t="s">
        <v>85</v>
      </c>
      <c r="Z684">
        <v>3</v>
      </c>
    </row>
    <row r="685" spans="1:26" x14ac:dyDescent="0.45">
      <c r="A685">
        <v>2718</v>
      </c>
      <c r="B685">
        <v>1448</v>
      </c>
      <c r="C685" t="s">
        <v>525</v>
      </c>
      <c r="D685" t="s">
        <v>22</v>
      </c>
      <c r="E685">
        <v>43</v>
      </c>
      <c r="F685">
        <v>732</v>
      </c>
      <c r="G685" t="s">
        <v>526</v>
      </c>
      <c r="H685" t="s">
        <v>24</v>
      </c>
      <c r="I685" t="s">
        <v>44</v>
      </c>
      <c r="J685" t="s">
        <v>208</v>
      </c>
      <c r="K685" t="s">
        <v>46</v>
      </c>
      <c r="L685" t="s">
        <v>28</v>
      </c>
      <c r="M685" t="s">
        <v>142</v>
      </c>
      <c r="N685" t="s">
        <v>143</v>
      </c>
      <c r="O685" t="s">
        <v>144</v>
      </c>
      <c r="P685">
        <v>3</v>
      </c>
      <c r="Q685" t="b">
        <v>1</v>
      </c>
      <c r="R685" s="1">
        <v>44495.713194444441</v>
      </c>
      <c r="S685" s="1">
        <v>44498.466666666667</v>
      </c>
      <c r="T685" t="s">
        <v>40</v>
      </c>
      <c r="U685" t="b">
        <v>1</v>
      </c>
      <c r="V685" s="2">
        <v>44495.713194444441</v>
      </c>
      <c r="W685">
        <v>10</v>
      </c>
      <c r="X685">
        <v>2021</v>
      </c>
      <c r="Y685" t="s">
        <v>24</v>
      </c>
      <c r="Z685">
        <v>3</v>
      </c>
    </row>
    <row r="686" spans="1:26" x14ac:dyDescent="0.45">
      <c r="A686">
        <v>2719</v>
      </c>
      <c r="B686">
        <v>1388</v>
      </c>
      <c r="C686" t="s">
        <v>527</v>
      </c>
      <c r="D686" t="s">
        <v>22</v>
      </c>
      <c r="E686">
        <v>18</v>
      </c>
      <c r="F686">
        <v>627</v>
      </c>
      <c r="G686" t="s">
        <v>528</v>
      </c>
      <c r="H686" t="s">
        <v>52</v>
      </c>
      <c r="I686" t="s">
        <v>53</v>
      </c>
      <c r="J686" t="s">
        <v>196</v>
      </c>
      <c r="K686" t="s">
        <v>55</v>
      </c>
      <c r="L686" t="s">
        <v>67</v>
      </c>
      <c r="M686" t="s">
        <v>108</v>
      </c>
      <c r="N686" t="s">
        <v>99</v>
      </c>
      <c r="O686" t="s">
        <v>30</v>
      </c>
      <c r="P686">
        <v>2</v>
      </c>
      <c r="Q686" t="b">
        <v>0</v>
      </c>
      <c r="R686" s="1">
        <v>45224.615972222222</v>
      </c>
      <c r="V686" s="2">
        <v>45224.615972222222</v>
      </c>
      <c r="W686">
        <v>10</v>
      </c>
      <c r="X686">
        <v>2023</v>
      </c>
      <c r="Y686" t="s">
        <v>52</v>
      </c>
      <c r="Z686">
        <v>2</v>
      </c>
    </row>
    <row r="687" spans="1:26" x14ac:dyDescent="0.45">
      <c r="A687">
        <v>2721</v>
      </c>
      <c r="B687">
        <v>1149</v>
      </c>
      <c r="C687" t="s">
        <v>529</v>
      </c>
      <c r="D687" t="s">
        <v>22</v>
      </c>
      <c r="E687">
        <v>20</v>
      </c>
      <c r="F687">
        <v>633</v>
      </c>
      <c r="G687" t="s">
        <v>530</v>
      </c>
      <c r="H687" t="s">
        <v>93</v>
      </c>
      <c r="I687" t="s">
        <v>112</v>
      </c>
      <c r="J687" t="s">
        <v>113</v>
      </c>
      <c r="K687" t="s">
        <v>37</v>
      </c>
      <c r="L687" t="s">
        <v>67</v>
      </c>
      <c r="M687" t="s">
        <v>233</v>
      </c>
      <c r="N687" t="s">
        <v>89</v>
      </c>
      <c r="O687" t="s">
        <v>90</v>
      </c>
      <c r="P687">
        <v>2</v>
      </c>
      <c r="Q687" t="b">
        <v>0</v>
      </c>
      <c r="R687" s="1">
        <v>44380.345833333333</v>
      </c>
      <c r="V687" s="2">
        <v>44380.345833333333</v>
      </c>
      <c r="W687">
        <v>7</v>
      </c>
      <c r="X687">
        <v>2021</v>
      </c>
      <c r="Y687" t="s">
        <v>93</v>
      </c>
      <c r="Z687">
        <v>2</v>
      </c>
    </row>
    <row r="688" spans="1:26" x14ac:dyDescent="0.45">
      <c r="A688">
        <v>2722</v>
      </c>
      <c r="B688">
        <v>1071</v>
      </c>
      <c r="C688" t="s">
        <v>531</v>
      </c>
      <c r="D688" t="s">
        <v>42</v>
      </c>
      <c r="E688">
        <v>54</v>
      </c>
      <c r="F688">
        <v>729</v>
      </c>
      <c r="G688" t="s">
        <v>532</v>
      </c>
      <c r="H688" t="s">
        <v>63</v>
      </c>
      <c r="I688" t="s">
        <v>64</v>
      </c>
      <c r="J688" t="s">
        <v>281</v>
      </c>
      <c r="K688" t="s">
        <v>66</v>
      </c>
      <c r="L688" t="s">
        <v>67</v>
      </c>
      <c r="M688" t="s">
        <v>108</v>
      </c>
      <c r="N688" t="s">
        <v>99</v>
      </c>
      <c r="O688" t="s">
        <v>30</v>
      </c>
      <c r="P688">
        <v>5</v>
      </c>
      <c r="Q688" t="b">
        <v>1</v>
      </c>
      <c r="R688" s="1">
        <v>44111.844444444447</v>
      </c>
      <c r="S688" s="1">
        <v>44115.52847222222</v>
      </c>
      <c r="T688" t="s">
        <v>109</v>
      </c>
      <c r="U688" t="b">
        <v>0</v>
      </c>
      <c r="V688" s="2">
        <v>44111.844444444447</v>
      </c>
      <c r="W688">
        <v>10</v>
      </c>
      <c r="X688">
        <v>2020</v>
      </c>
      <c r="Y688" t="s">
        <v>63</v>
      </c>
      <c r="Z688">
        <v>5</v>
      </c>
    </row>
    <row r="689" spans="1:26" x14ac:dyDescent="0.45">
      <c r="A689">
        <v>2723</v>
      </c>
      <c r="B689">
        <v>1472</v>
      </c>
      <c r="C689" t="s">
        <v>209</v>
      </c>
      <c r="D689" t="s">
        <v>42</v>
      </c>
      <c r="E689">
        <v>46</v>
      </c>
      <c r="F689">
        <v>733</v>
      </c>
      <c r="G689" t="s">
        <v>210</v>
      </c>
      <c r="H689" t="s">
        <v>63</v>
      </c>
      <c r="I689" t="s">
        <v>64</v>
      </c>
      <c r="J689" t="s">
        <v>164</v>
      </c>
      <c r="K689" t="s">
        <v>37</v>
      </c>
      <c r="L689" t="s">
        <v>67</v>
      </c>
      <c r="M689" t="s">
        <v>108</v>
      </c>
      <c r="N689" t="s">
        <v>99</v>
      </c>
      <c r="O689" t="s">
        <v>30</v>
      </c>
      <c r="P689">
        <v>1</v>
      </c>
      <c r="Q689" t="b">
        <v>1</v>
      </c>
      <c r="R689" s="1">
        <v>44716.470833333333</v>
      </c>
      <c r="S689" s="1">
        <v>44719.8125</v>
      </c>
      <c r="T689" t="s">
        <v>109</v>
      </c>
      <c r="U689" t="b">
        <v>0</v>
      </c>
      <c r="V689" s="2">
        <v>44716.470833333333</v>
      </c>
      <c r="W689">
        <v>6</v>
      </c>
      <c r="X689">
        <v>2022</v>
      </c>
      <c r="Y689" t="s">
        <v>63</v>
      </c>
      <c r="Z689">
        <v>1</v>
      </c>
    </row>
    <row r="690" spans="1:26" x14ac:dyDescent="0.45">
      <c r="A690">
        <v>2725</v>
      </c>
      <c r="B690">
        <v>1497</v>
      </c>
      <c r="C690" t="s">
        <v>533</v>
      </c>
      <c r="D690" t="s">
        <v>22</v>
      </c>
      <c r="E690">
        <v>23</v>
      </c>
      <c r="F690">
        <v>625</v>
      </c>
      <c r="G690" t="s">
        <v>534</v>
      </c>
      <c r="H690" t="s">
        <v>85</v>
      </c>
      <c r="I690" t="s">
        <v>86</v>
      </c>
      <c r="J690" t="s">
        <v>182</v>
      </c>
      <c r="K690" t="s">
        <v>102</v>
      </c>
      <c r="L690" t="s">
        <v>28</v>
      </c>
      <c r="M690" t="s">
        <v>29</v>
      </c>
      <c r="N690" t="s">
        <v>30</v>
      </c>
      <c r="O690" t="s">
        <v>31</v>
      </c>
      <c r="P690">
        <v>5</v>
      </c>
      <c r="Q690" t="b">
        <v>0</v>
      </c>
      <c r="R690" s="1">
        <v>44632.685416666667</v>
      </c>
      <c r="V690" s="2">
        <v>44632.685416666667</v>
      </c>
      <c r="W690">
        <v>3</v>
      </c>
      <c r="X690">
        <v>2022</v>
      </c>
      <c r="Y690" t="s">
        <v>85</v>
      </c>
      <c r="Z690">
        <v>5</v>
      </c>
    </row>
    <row r="691" spans="1:26" x14ac:dyDescent="0.45">
      <c r="A691">
        <v>2726</v>
      </c>
      <c r="B691">
        <v>1345</v>
      </c>
      <c r="C691" t="s">
        <v>484</v>
      </c>
      <c r="D691" t="s">
        <v>42</v>
      </c>
      <c r="E691">
        <v>46</v>
      </c>
      <c r="F691">
        <v>709</v>
      </c>
      <c r="G691" t="s">
        <v>485</v>
      </c>
      <c r="H691" t="s">
        <v>73</v>
      </c>
      <c r="I691" t="s">
        <v>74</v>
      </c>
      <c r="J691" t="s">
        <v>245</v>
      </c>
      <c r="K691" t="s">
        <v>27</v>
      </c>
      <c r="L691" t="s">
        <v>76</v>
      </c>
      <c r="M691" t="s">
        <v>132</v>
      </c>
      <c r="N691" t="s">
        <v>59</v>
      </c>
      <c r="O691" t="s">
        <v>98</v>
      </c>
      <c r="P691">
        <v>1</v>
      </c>
      <c r="Q691" t="b">
        <v>1</v>
      </c>
      <c r="R691" s="1">
        <v>44786.843055555553</v>
      </c>
      <c r="S691" s="1">
        <v>44789.643055555556</v>
      </c>
      <c r="T691" t="s">
        <v>40</v>
      </c>
      <c r="U691" t="b">
        <v>0</v>
      </c>
      <c r="V691" s="2">
        <v>44786.843055555553</v>
      </c>
      <c r="W691">
        <v>8</v>
      </c>
      <c r="X691">
        <v>2022</v>
      </c>
      <c r="Y691" t="s">
        <v>73</v>
      </c>
      <c r="Z691">
        <v>1</v>
      </c>
    </row>
    <row r="692" spans="1:26" x14ac:dyDescent="0.45">
      <c r="A692">
        <v>2727</v>
      </c>
      <c r="B692">
        <v>1061</v>
      </c>
      <c r="C692" t="s">
        <v>535</v>
      </c>
      <c r="D692" t="s">
        <v>22</v>
      </c>
      <c r="E692">
        <v>28</v>
      </c>
      <c r="F692">
        <v>688</v>
      </c>
      <c r="G692" t="s">
        <v>536</v>
      </c>
      <c r="H692" t="s">
        <v>129</v>
      </c>
      <c r="I692" t="s">
        <v>263</v>
      </c>
      <c r="J692" t="s">
        <v>278</v>
      </c>
      <c r="K692" t="s">
        <v>46</v>
      </c>
      <c r="L692" t="s">
        <v>96</v>
      </c>
      <c r="M692" t="s">
        <v>103</v>
      </c>
      <c r="N692" t="s">
        <v>31</v>
      </c>
      <c r="O692" t="s">
        <v>104</v>
      </c>
      <c r="P692">
        <v>3</v>
      </c>
      <c r="Q692" t="b">
        <v>1</v>
      </c>
      <c r="R692" s="1">
        <v>45231.404861111114</v>
      </c>
      <c r="S692" s="1">
        <v>45236.814583333333</v>
      </c>
      <c r="T692" t="s">
        <v>60</v>
      </c>
      <c r="U692" t="b">
        <v>0</v>
      </c>
      <c r="V692" s="2">
        <v>45231.404861111114</v>
      </c>
      <c r="W692">
        <v>11</v>
      </c>
      <c r="X692">
        <v>2023</v>
      </c>
      <c r="Y692" t="s">
        <v>129</v>
      </c>
      <c r="Z692">
        <v>3</v>
      </c>
    </row>
    <row r="693" spans="1:26" x14ac:dyDescent="0.45">
      <c r="A693">
        <v>2728</v>
      </c>
      <c r="B693">
        <v>1298</v>
      </c>
      <c r="C693" t="s">
        <v>537</v>
      </c>
      <c r="D693" t="s">
        <v>42</v>
      </c>
      <c r="E693">
        <v>71</v>
      </c>
      <c r="F693">
        <v>757</v>
      </c>
      <c r="G693" t="s">
        <v>538</v>
      </c>
      <c r="H693" t="s">
        <v>172</v>
      </c>
      <c r="I693" t="s">
        <v>173</v>
      </c>
      <c r="J693" t="s">
        <v>174</v>
      </c>
      <c r="K693" t="s">
        <v>55</v>
      </c>
      <c r="L693" t="s">
        <v>56</v>
      </c>
      <c r="M693" t="s">
        <v>88</v>
      </c>
      <c r="N693" t="s">
        <v>89</v>
      </c>
      <c r="O693" t="s">
        <v>90</v>
      </c>
      <c r="P693">
        <v>3</v>
      </c>
      <c r="Q693" t="b">
        <v>1</v>
      </c>
      <c r="R693" s="1">
        <v>45067.795138888891</v>
      </c>
      <c r="S693" s="1">
        <v>45072.395833333336</v>
      </c>
      <c r="T693" t="s">
        <v>60</v>
      </c>
      <c r="U693" t="b">
        <v>0</v>
      </c>
      <c r="V693" s="2">
        <v>45067.795138888891</v>
      </c>
      <c r="W693">
        <v>5</v>
      </c>
      <c r="X693">
        <v>2023</v>
      </c>
      <c r="Y693" t="s">
        <v>172</v>
      </c>
      <c r="Z693">
        <v>3</v>
      </c>
    </row>
    <row r="694" spans="1:26" x14ac:dyDescent="0.45">
      <c r="A694">
        <v>2729</v>
      </c>
      <c r="B694">
        <v>1178</v>
      </c>
      <c r="C694" t="s">
        <v>539</v>
      </c>
      <c r="D694" t="s">
        <v>22</v>
      </c>
      <c r="E694">
        <v>16</v>
      </c>
      <c r="H694" t="s">
        <v>93</v>
      </c>
      <c r="I694" t="s">
        <v>112</v>
      </c>
      <c r="J694" t="s">
        <v>242</v>
      </c>
      <c r="K694" t="s">
        <v>102</v>
      </c>
      <c r="L694" t="s">
        <v>96</v>
      </c>
      <c r="M694" t="s">
        <v>103</v>
      </c>
      <c r="N694" t="s">
        <v>31</v>
      </c>
      <c r="O694" t="s">
        <v>104</v>
      </c>
      <c r="P694">
        <v>3</v>
      </c>
      <c r="Q694" t="b">
        <v>1</v>
      </c>
      <c r="R694" s="1">
        <v>44840.866666666669</v>
      </c>
      <c r="S694" s="1">
        <v>44846.831944444442</v>
      </c>
      <c r="T694" t="s">
        <v>60</v>
      </c>
      <c r="U694" t="b">
        <v>0</v>
      </c>
      <c r="V694" s="2">
        <v>44840.866666666669</v>
      </c>
      <c r="W694">
        <v>10</v>
      </c>
      <c r="X694">
        <v>2022</v>
      </c>
      <c r="Y694" t="s">
        <v>93</v>
      </c>
      <c r="Z694">
        <v>3</v>
      </c>
    </row>
    <row r="695" spans="1:26" x14ac:dyDescent="0.45">
      <c r="A695">
        <v>2730</v>
      </c>
      <c r="B695">
        <v>1481</v>
      </c>
      <c r="C695" t="s">
        <v>288</v>
      </c>
      <c r="D695" t="s">
        <v>42</v>
      </c>
      <c r="E695">
        <v>34</v>
      </c>
      <c r="F695">
        <v>697</v>
      </c>
      <c r="G695" t="s">
        <v>289</v>
      </c>
      <c r="H695" t="s">
        <v>35</v>
      </c>
      <c r="I695" t="s">
        <v>36</v>
      </c>
      <c r="J695" t="s">
        <v>123</v>
      </c>
      <c r="K695" t="s">
        <v>55</v>
      </c>
      <c r="L695" t="s">
        <v>28</v>
      </c>
      <c r="M695" t="s">
        <v>29</v>
      </c>
      <c r="N695" t="s">
        <v>30</v>
      </c>
      <c r="O695" t="s">
        <v>31</v>
      </c>
      <c r="P695">
        <v>3</v>
      </c>
      <c r="Q695" t="b">
        <v>1</v>
      </c>
      <c r="R695" s="1">
        <v>44466.540277777778</v>
      </c>
      <c r="S695" s="1">
        <v>44470.650694444441</v>
      </c>
      <c r="T695" t="s">
        <v>32</v>
      </c>
      <c r="U695" t="b">
        <v>0</v>
      </c>
      <c r="V695" s="2">
        <v>44466.540277777778</v>
      </c>
      <c r="W695">
        <v>9</v>
      </c>
      <c r="X695">
        <v>2021</v>
      </c>
      <c r="Y695" t="s">
        <v>35</v>
      </c>
      <c r="Z695">
        <v>3</v>
      </c>
    </row>
    <row r="696" spans="1:26" x14ac:dyDescent="0.45">
      <c r="A696">
        <v>2731</v>
      </c>
      <c r="B696">
        <v>1317</v>
      </c>
      <c r="C696" t="s">
        <v>540</v>
      </c>
      <c r="D696" t="s">
        <v>22</v>
      </c>
      <c r="E696">
        <v>53</v>
      </c>
      <c r="F696">
        <v>709</v>
      </c>
      <c r="G696" t="s">
        <v>541</v>
      </c>
      <c r="H696" t="s">
        <v>172</v>
      </c>
      <c r="I696" t="s">
        <v>173</v>
      </c>
      <c r="J696" t="s">
        <v>399</v>
      </c>
      <c r="K696" t="s">
        <v>37</v>
      </c>
      <c r="L696" t="s">
        <v>96</v>
      </c>
      <c r="M696" t="s">
        <v>97</v>
      </c>
      <c r="N696" t="s">
        <v>98</v>
      </c>
      <c r="O696" t="s">
        <v>99</v>
      </c>
      <c r="P696">
        <v>1</v>
      </c>
      <c r="Q696" t="b">
        <v>0</v>
      </c>
      <c r="R696" s="1">
        <v>43867.680555555555</v>
      </c>
      <c r="V696" s="2">
        <v>43867.680555555555</v>
      </c>
      <c r="W696">
        <v>2</v>
      </c>
      <c r="X696">
        <v>2020</v>
      </c>
      <c r="Y696" t="s">
        <v>172</v>
      </c>
      <c r="Z696">
        <v>1</v>
      </c>
    </row>
    <row r="697" spans="1:26" x14ac:dyDescent="0.45">
      <c r="A697">
        <v>2732</v>
      </c>
      <c r="B697">
        <v>1208</v>
      </c>
      <c r="C697" t="s">
        <v>542</v>
      </c>
      <c r="D697" t="s">
        <v>22</v>
      </c>
      <c r="E697">
        <v>24</v>
      </c>
      <c r="F697">
        <v>620</v>
      </c>
      <c r="G697" t="s">
        <v>543</v>
      </c>
      <c r="H697" t="s">
        <v>35</v>
      </c>
      <c r="I697" t="s">
        <v>36</v>
      </c>
      <c r="J697" t="s">
        <v>82</v>
      </c>
      <c r="K697" t="s">
        <v>102</v>
      </c>
      <c r="L697" t="s">
        <v>56</v>
      </c>
      <c r="M697" t="s">
        <v>179</v>
      </c>
      <c r="N697" t="s">
        <v>79</v>
      </c>
      <c r="O697" t="s">
        <v>161</v>
      </c>
      <c r="P697">
        <v>3</v>
      </c>
      <c r="Q697" t="b">
        <v>1</v>
      </c>
      <c r="R697" s="1">
        <v>44754.82916666667</v>
      </c>
      <c r="S697" s="1">
        <v>44757.994444444441</v>
      </c>
      <c r="T697" t="s">
        <v>60</v>
      </c>
      <c r="U697" t="b">
        <v>0</v>
      </c>
      <c r="V697" s="2">
        <v>44754.82916666667</v>
      </c>
      <c r="W697">
        <v>7</v>
      </c>
      <c r="X697">
        <v>2022</v>
      </c>
      <c r="Y697" t="s">
        <v>35</v>
      </c>
      <c r="Z697">
        <v>3</v>
      </c>
    </row>
    <row r="698" spans="1:26" x14ac:dyDescent="0.45">
      <c r="A698">
        <v>2733</v>
      </c>
      <c r="B698">
        <v>1172</v>
      </c>
      <c r="C698" t="s">
        <v>200</v>
      </c>
      <c r="D698" t="s">
        <v>22</v>
      </c>
      <c r="E698">
        <v>18</v>
      </c>
      <c r="F698">
        <v>653</v>
      </c>
      <c r="G698" t="s">
        <v>201</v>
      </c>
      <c r="H698" t="s">
        <v>172</v>
      </c>
      <c r="I698" t="s">
        <v>177</v>
      </c>
      <c r="J698" t="s">
        <v>202</v>
      </c>
      <c r="K698" t="s">
        <v>46</v>
      </c>
      <c r="L698" t="s">
        <v>28</v>
      </c>
      <c r="M698" t="s">
        <v>38</v>
      </c>
      <c r="N698" t="s">
        <v>31</v>
      </c>
      <c r="O698" t="s">
        <v>39</v>
      </c>
      <c r="P698">
        <v>2</v>
      </c>
      <c r="Q698" t="b">
        <v>1</v>
      </c>
      <c r="R698" s="1">
        <v>44084.308333333334</v>
      </c>
      <c r="S698" s="1">
        <v>44084.857638888891</v>
      </c>
      <c r="T698" t="s">
        <v>40</v>
      </c>
      <c r="U698" t="b">
        <v>0</v>
      </c>
      <c r="V698" s="2">
        <v>44084.308333333334</v>
      </c>
      <c r="W698">
        <v>9</v>
      </c>
      <c r="X698">
        <v>2020</v>
      </c>
      <c r="Y698" t="s">
        <v>172</v>
      </c>
      <c r="Z698">
        <v>2</v>
      </c>
    </row>
    <row r="699" spans="1:26" x14ac:dyDescent="0.45">
      <c r="A699">
        <v>2734</v>
      </c>
      <c r="B699">
        <v>1118</v>
      </c>
      <c r="C699" t="s">
        <v>544</v>
      </c>
      <c r="D699" t="s">
        <v>42</v>
      </c>
      <c r="E699">
        <v>48</v>
      </c>
      <c r="F699">
        <v>711</v>
      </c>
      <c r="G699" t="s">
        <v>545</v>
      </c>
      <c r="H699" t="s">
        <v>63</v>
      </c>
      <c r="I699" t="s">
        <v>300</v>
      </c>
      <c r="J699" t="s">
        <v>301</v>
      </c>
      <c r="K699" t="s">
        <v>102</v>
      </c>
      <c r="L699" t="s">
        <v>67</v>
      </c>
      <c r="M699" t="s">
        <v>233</v>
      </c>
      <c r="N699" t="s">
        <v>89</v>
      </c>
      <c r="O699" t="s">
        <v>90</v>
      </c>
      <c r="P699">
        <v>4</v>
      </c>
      <c r="Q699" t="b">
        <v>1</v>
      </c>
      <c r="R699" s="1">
        <v>44088.018750000003</v>
      </c>
      <c r="S699" s="1">
        <v>44094.927777777775</v>
      </c>
      <c r="T699" t="s">
        <v>40</v>
      </c>
      <c r="U699" t="b">
        <v>0</v>
      </c>
      <c r="V699" s="2">
        <v>44088.018750000003</v>
      </c>
      <c r="W699">
        <v>9</v>
      </c>
      <c r="X699">
        <v>2020</v>
      </c>
      <c r="Y699" t="s">
        <v>63</v>
      </c>
      <c r="Z699">
        <v>4</v>
      </c>
    </row>
    <row r="700" spans="1:26" x14ac:dyDescent="0.45">
      <c r="A700">
        <v>2735</v>
      </c>
      <c r="B700">
        <v>1051</v>
      </c>
      <c r="C700" t="s">
        <v>279</v>
      </c>
      <c r="D700" t="s">
        <v>42</v>
      </c>
      <c r="E700">
        <v>41</v>
      </c>
      <c r="F700">
        <v>697</v>
      </c>
      <c r="G700" t="s">
        <v>280</v>
      </c>
      <c r="H700" t="s">
        <v>63</v>
      </c>
      <c r="I700" t="s">
        <v>64</v>
      </c>
      <c r="J700" t="s">
        <v>281</v>
      </c>
      <c r="K700" t="s">
        <v>37</v>
      </c>
      <c r="L700" t="s">
        <v>96</v>
      </c>
      <c r="M700" t="s">
        <v>97</v>
      </c>
      <c r="N700" t="s">
        <v>98</v>
      </c>
      <c r="O700" t="s">
        <v>99</v>
      </c>
      <c r="P700">
        <v>5</v>
      </c>
      <c r="Q700" t="b">
        <v>1</v>
      </c>
      <c r="R700" s="1">
        <v>45238.459722222222</v>
      </c>
      <c r="S700" s="1">
        <v>45244.385416666664</v>
      </c>
      <c r="T700" t="s">
        <v>32</v>
      </c>
      <c r="U700" t="b">
        <v>0</v>
      </c>
      <c r="V700" s="2">
        <v>45238.459722222222</v>
      </c>
      <c r="W700">
        <v>11</v>
      </c>
      <c r="X700">
        <v>2023</v>
      </c>
      <c r="Y700" t="s">
        <v>63</v>
      </c>
      <c r="Z700">
        <v>5</v>
      </c>
    </row>
    <row r="701" spans="1:26" x14ac:dyDescent="0.45">
      <c r="A701">
        <v>2737</v>
      </c>
      <c r="B701">
        <v>1077</v>
      </c>
      <c r="C701" t="s">
        <v>546</v>
      </c>
      <c r="D701" t="s">
        <v>42</v>
      </c>
      <c r="E701">
        <v>28</v>
      </c>
      <c r="F701">
        <v>694</v>
      </c>
      <c r="G701" t="s">
        <v>547</v>
      </c>
      <c r="H701" t="s">
        <v>85</v>
      </c>
      <c r="I701" t="s">
        <v>86</v>
      </c>
      <c r="J701" t="s">
        <v>87</v>
      </c>
      <c r="K701" t="s">
        <v>46</v>
      </c>
      <c r="L701" t="s">
        <v>28</v>
      </c>
      <c r="M701" t="s">
        <v>142</v>
      </c>
      <c r="N701" t="s">
        <v>143</v>
      </c>
      <c r="O701" t="s">
        <v>144</v>
      </c>
      <c r="P701">
        <v>5</v>
      </c>
      <c r="Q701" t="b">
        <v>1</v>
      </c>
      <c r="R701" s="1">
        <v>43886.290277777778</v>
      </c>
      <c r="S701" s="1">
        <v>43889.74722222222</v>
      </c>
      <c r="T701" t="s">
        <v>32</v>
      </c>
      <c r="U701" t="b">
        <v>0</v>
      </c>
      <c r="V701" s="2">
        <v>43886.290277777778</v>
      </c>
      <c r="W701">
        <v>2</v>
      </c>
      <c r="X701">
        <v>2020</v>
      </c>
      <c r="Y701" t="s">
        <v>85</v>
      </c>
      <c r="Z701">
        <v>5</v>
      </c>
    </row>
    <row r="702" spans="1:26" x14ac:dyDescent="0.45">
      <c r="A702">
        <v>2738</v>
      </c>
      <c r="B702">
        <v>1064</v>
      </c>
      <c r="C702" t="s">
        <v>331</v>
      </c>
      <c r="D702" t="s">
        <v>42</v>
      </c>
      <c r="E702">
        <v>76</v>
      </c>
      <c r="F702">
        <v>750</v>
      </c>
      <c r="G702" t="s">
        <v>332</v>
      </c>
      <c r="H702" t="s">
        <v>24</v>
      </c>
      <c r="I702" t="s">
        <v>44</v>
      </c>
      <c r="J702" t="s">
        <v>45</v>
      </c>
      <c r="K702" t="s">
        <v>102</v>
      </c>
      <c r="L702" t="s">
        <v>96</v>
      </c>
      <c r="M702" t="s">
        <v>136</v>
      </c>
      <c r="N702" t="s">
        <v>30</v>
      </c>
      <c r="O702" t="s">
        <v>137</v>
      </c>
      <c r="P702">
        <v>5</v>
      </c>
      <c r="Q702" t="b">
        <v>1</v>
      </c>
      <c r="R702" s="1">
        <v>44607.381249999999</v>
      </c>
      <c r="S702" s="1">
        <v>44611.911805555559</v>
      </c>
      <c r="T702" t="s">
        <v>32</v>
      </c>
      <c r="U702" t="b">
        <v>0</v>
      </c>
      <c r="V702" s="2">
        <v>44607.381249999999</v>
      </c>
      <c r="W702">
        <v>2</v>
      </c>
      <c r="X702">
        <v>2022</v>
      </c>
      <c r="Y702" t="s">
        <v>24</v>
      </c>
      <c r="Z702">
        <v>5</v>
      </c>
    </row>
    <row r="703" spans="1:26" x14ac:dyDescent="0.45">
      <c r="A703">
        <v>2739</v>
      </c>
      <c r="B703">
        <v>1217</v>
      </c>
      <c r="C703" t="s">
        <v>333</v>
      </c>
      <c r="D703" t="s">
        <v>42</v>
      </c>
      <c r="E703">
        <v>67</v>
      </c>
      <c r="F703">
        <v>743</v>
      </c>
      <c r="G703" t="s">
        <v>334</v>
      </c>
      <c r="H703" t="s">
        <v>35</v>
      </c>
      <c r="I703" t="s">
        <v>122</v>
      </c>
      <c r="J703" t="s">
        <v>82</v>
      </c>
      <c r="K703" t="s">
        <v>37</v>
      </c>
      <c r="L703" t="s">
        <v>56</v>
      </c>
      <c r="M703" t="s">
        <v>57</v>
      </c>
      <c r="N703" t="s">
        <v>58</v>
      </c>
      <c r="O703" t="s">
        <v>59</v>
      </c>
      <c r="P703">
        <v>1</v>
      </c>
      <c r="Q703" t="b">
        <v>0</v>
      </c>
      <c r="R703" s="1">
        <v>44447.759722222225</v>
      </c>
      <c r="V703" s="2">
        <v>44447.759722222225</v>
      </c>
      <c r="W703">
        <v>9</v>
      </c>
      <c r="X703">
        <v>2021</v>
      </c>
      <c r="Y703" t="s">
        <v>35</v>
      </c>
      <c r="Z703">
        <v>1</v>
      </c>
    </row>
    <row r="704" spans="1:26" x14ac:dyDescent="0.45">
      <c r="A704">
        <v>2740</v>
      </c>
      <c r="B704">
        <v>1024</v>
      </c>
      <c r="C704" t="s">
        <v>275</v>
      </c>
      <c r="D704" t="s">
        <v>42</v>
      </c>
      <c r="E704">
        <v>53</v>
      </c>
      <c r="F704">
        <v>730</v>
      </c>
      <c r="G704" t="s">
        <v>207</v>
      </c>
      <c r="H704" t="s">
        <v>129</v>
      </c>
      <c r="I704" t="s">
        <v>130</v>
      </c>
      <c r="J704" t="s">
        <v>252</v>
      </c>
      <c r="K704" t="s">
        <v>55</v>
      </c>
      <c r="L704" t="s">
        <v>56</v>
      </c>
      <c r="M704" t="s">
        <v>197</v>
      </c>
      <c r="N704" t="s">
        <v>198</v>
      </c>
      <c r="O704" t="s">
        <v>199</v>
      </c>
      <c r="P704">
        <v>4</v>
      </c>
      <c r="Q704" t="b">
        <v>1</v>
      </c>
      <c r="R704" s="1">
        <v>44446.634722222225</v>
      </c>
      <c r="S704" s="1">
        <v>44448.178472222222</v>
      </c>
      <c r="T704" t="s">
        <v>40</v>
      </c>
      <c r="U704" t="b">
        <v>0</v>
      </c>
      <c r="V704" s="2">
        <v>44446.634722222225</v>
      </c>
      <c r="W704">
        <v>9</v>
      </c>
      <c r="X704">
        <v>2021</v>
      </c>
      <c r="Y704" t="s">
        <v>129</v>
      </c>
      <c r="Z704">
        <v>4</v>
      </c>
    </row>
    <row r="705" spans="1:26" x14ac:dyDescent="0.45">
      <c r="A705">
        <v>2741</v>
      </c>
      <c r="B705">
        <v>1113</v>
      </c>
      <c r="C705" t="s">
        <v>186</v>
      </c>
      <c r="D705" t="s">
        <v>22</v>
      </c>
      <c r="E705">
        <v>73</v>
      </c>
      <c r="F705">
        <v>743</v>
      </c>
      <c r="G705" t="s">
        <v>187</v>
      </c>
      <c r="H705" t="s">
        <v>24</v>
      </c>
      <c r="I705" t="s">
        <v>25</v>
      </c>
      <c r="J705" t="s">
        <v>188</v>
      </c>
      <c r="K705" t="s">
        <v>37</v>
      </c>
      <c r="L705" t="s">
        <v>67</v>
      </c>
      <c r="M705" t="s">
        <v>165</v>
      </c>
      <c r="N705" t="s">
        <v>166</v>
      </c>
      <c r="O705" t="s">
        <v>167</v>
      </c>
      <c r="P705">
        <v>3</v>
      </c>
      <c r="Q705" t="b">
        <v>1</v>
      </c>
      <c r="R705" s="1">
        <v>44353.845138888886</v>
      </c>
      <c r="S705" s="1">
        <v>44356.212500000001</v>
      </c>
      <c r="T705" t="s">
        <v>109</v>
      </c>
      <c r="U705" t="b">
        <v>0</v>
      </c>
      <c r="V705" s="2">
        <v>44353.845138888886</v>
      </c>
      <c r="W705">
        <v>6</v>
      </c>
      <c r="X705">
        <v>2021</v>
      </c>
      <c r="Y705" t="s">
        <v>24</v>
      </c>
      <c r="Z705">
        <v>3</v>
      </c>
    </row>
    <row r="706" spans="1:26" x14ac:dyDescent="0.45">
      <c r="A706">
        <v>2742</v>
      </c>
      <c r="B706">
        <v>1174</v>
      </c>
      <c r="C706" t="s">
        <v>335</v>
      </c>
      <c r="D706" t="s">
        <v>42</v>
      </c>
      <c r="E706">
        <v>17</v>
      </c>
      <c r="H706" t="s">
        <v>172</v>
      </c>
      <c r="I706" t="s">
        <v>177</v>
      </c>
      <c r="J706" t="s">
        <v>178</v>
      </c>
      <c r="K706" t="s">
        <v>66</v>
      </c>
      <c r="L706" t="s">
        <v>56</v>
      </c>
      <c r="M706" t="s">
        <v>197</v>
      </c>
      <c r="N706" t="s">
        <v>198</v>
      </c>
      <c r="O706" t="s">
        <v>199</v>
      </c>
      <c r="P706">
        <v>5</v>
      </c>
      <c r="Q706" t="b">
        <v>1</v>
      </c>
      <c r="R706" s="1">
        <v>44906.724305555559</v>
      </c>
      <c r="S706" s="1">
        <v>44912.523611111108</v>
      </c>
      <c r="T706" t="s">
        <v>40</v>
      </c>
      <c r="U706" t="b">
        <v>0</v>
      </c>
      <c r="V706" s="2">
        <v>44906.724305555559</v>
      </c>
      <c r="W706">
        <v>12</v>
      </c>
      <c r="X706">
        <v>2022</v>
      </c>
      <c r="Y706" t="s">
        <v>172</v>
      </c>
      <c r="Z706">
        <v>5</v>
      </c>
    </row>
    <row r="707" spans="1:26" x14ac:dyDescent="0.45">
      <c r="A707">
        <v>2743</v>
      </c>
      <c r="B707">
        <v>1007</v>
      </c>
      <c r="C707" t="s">
        <v>336</v>
      </c>
      <c r="D707" t="s">
        <v>42</v>
      </c>
      <c r="E707">
        <v>28</v>
      </c>
      <c r="F707">
        <v>689</v>
      </c>
      <c r="G707" t="s">
        <v>337</v>
      </c>
      <c r="H707" t="s">
        <v>73</v>
      </c>
      <c r="I707" t="s">
        <v>140</v>
      </c>
      <c r="J707" t="s">
        <v>141</v>
      </c>
      <c r="K707" t="s">
        <v>46</v>
      </c>
      <c r="L707" t="s">
        <v>56</v>
      </c>
      <c r="M707" t="s">
        <v>197</v>
      </c>
      <c r="N707" t="s">
        <v>198</v>
      </c>
      <c r="O707" t="s">
        <v>199</v>
      </c>
      <c r="P707">
        <v>2</v>
      </c>
      <c r="Q707" t="b">
        <v>1</v>
      </c>
      <c r="R707" s="1">
        <v>44543.799305555556</v>
      </c>
      <c r="S707" s="1">
        <v>44544.719444444447</v>
      </c>
      <c r="T707" t="s">
        <v>32</v>
      </c>
      <c r="U707" t="b">
        <v>0</v>
      </c>
      <c r="V707" s="2">
        <v>44543.799305555556</v>
      </c>
      <c r="W707">
        <v>12</v>
      </c>
      <c r="X707">
        <v>2021</v>
      </c>
      <c r="Y707" t="s">
        <v>73</v>
      </c>
      <c r="Z707">
        <v>2</v>
      </c>
    </row>
    <row r="708" spans="1:26" x14ac:dyDescent="0.45">
      <c r="A708">
        <v>2744</v>
      </c>
      <c r="B708">
        <v>1229</v>
      </c>
      <c r="C708" t="s">
        <v>338</v>
      </c>
      <c r="D708" t="s">
        <v>42</v>
      </c>
      <c r="E708">
        <v>77</v>
      </c>
      <c r="F708">
        <v>748</v>
      </c>
      <c r="G708" t="s">
        <v>339</v>
      </c>
      <c r="H708" t="s">
        <v>24</v>
      </c>
      <c r="I708" t="s">
        <v>44</v>
      </c>
      <c r="J708" t="s">
        <v>225</v>
      </c>
      <c r="K708" t="s">
        <v>46</v>
      </c>
      <c r="L708" t="s">
        <v>67</v>
      </c>
      <c r="M708" t="s">
        <v>68</v>
      </c>
      <c r="N708" t="s">
        <v>69</v>
      </c>
      <c r="O708" t="s">
        <v>70</v>
      </c>
      <c r="P708">
        <v>2</v>
      </c>
      <c r="Q708" t="b">
        <v>1</v>
      </c>
      <c r="R708" s="1">
        <v>43987.227777777778</v>
      </c>
      <c r="S708" s="1">
        <v>43992.977083333331</v>
      </c>
      <c r="T708" t="s">
        <v>109</v>
      </c>
      <c r="U708" t="b">
        <v>0</v>
      </c>
      <c r="V708" s="2">
        <v>43987.227777777778</v>
      </c>
      <c r="W708">
        <v>6</v>
      </c>
      <c r="X708">
        <v>2020</v>
      </c>
      <c r="Y708" t="s">
        <v>24</v>
      </c>
      <c r="Z708">
        <v>2</v>
      </c>
    </row>
    <row r="709" spans="1:26" x14ac:dyDescent="0.45">
      <c r="A709">
        <v>2745</v>
      </c>
      <c r="B709">
        <v>1152</v>
      </c>
      <c r="C709" t="s">
        <v>124</v>
      </c>
      <c r="D709" t="s">
        <v>22</v>
      </c>
      <c r="E709">
        <v>38</v>
      </c>
      <c r="F709">
        <v>698</v>
      </c>
      <c r="G709" t="s">
        <v>125</v>
      </c>
      <c r="H709" t="s">
        <v>85</v>
      </c>
      <c r="I709" t="s">
        <v>86</v>
      </c>
      <c r="J709" t="s">
        <v>87</v>
      </c>
      <c r="K709" t="s">
        <v>66</v>
      </c>
      <c r="L709" t="s">
        <v>56</v>
      </c>
      <c r="M709" t="s">
        <v>197</v>
      </c>
      <c r="N709" t="s">
        <v>198</v>
      </c>
      <c r="O709" t="s">
        <v>199</v>
      </c>
      <c r="P709">
        <v>2</v>
      </c>
      <c r="Q709" t="b">
        <v>0</v>
      </c>
      <c r="R709" s="1">
        <v>45126.30972222222</v>
      </c>
      <c r="V709" s="2">
        <v>45126.30972222222</v>
      </c>
      <c r="W709">
        <v>7</v>
      </c>
      <c r="X709">
        <v>2023</v>
      </c>
      <c r="Y709" t="s">
        <v>85</v>
      </c>
      <c r="Z709">
        <v>2</v>
      </c>
    </row>
    <row r="710" spans="1:26" x14ac:dyDescent="0.45">
      <c r="A710">
        <v>2746</v>
      </c>
      <c r="B710">
        <v>1086</v>
      </c>
      <c r="C710" t="s">
        <v>340</v>
      </c>
      <c r="D710" t="s">
        <v>22</v>
      </c>
      <c r="E710">
        <v>72</v>
      </c>
      <c r="F710">
        <v>757</v>
      </c>
      <c r="G710" t="s">
        <v>341</v>
      </c>
      <c r="H710" t="s">
        <v>172</v>
      </c>
      <c r="I710" t="s">
        <v>177</v>
      </c>
      <c r="J710" t="s">
        <v>178</v>
      </c>
      <c r="K710" t="s">
        <v>102</v>
      </c>
      <c r="L710" t="s">
        <v>56</v>
      </c>
      <c r="M710" t="s">
        <v>179</v>
      </c>
      <c r="N710" t="s">
        <v>79</v>
      </c>
      <c r="O710" t="s">
        <v>161</v>
      </c>
      <c r="P710">
        <v>2</v>
      </c>
      <c r="Q710" t="b">
        <v>1</v>
      </c>
      <c r="R710" s="1">
        <v>44353.913194444445</v>
      </c>
      <c r="S710" s="1">
        <v>44358.570138888892</v>
      </c>
      <c r="T710" t="s">
        <v>60</v>
      </c>
      <c r="U710" t="b">
        <v>0</v>
      </c>
      <c r="V710" s="2">
        <v>44353.913194444445</v>
      </c>
      <c r="W710">
        <v>6</v>
      </c>
      <c r="X710">
        <v>2021</v>
      </c>
      <c r="Y710" t="s">
        <v>172</v>
      </c>
      <c r="Z710">
        <v>2</v>
      </c>
    </row>
    <row r="711" spans="1:26" x14ac:dyDescent="0.45">
      <c r="A711">
        <v>2747</v>
      </c>
      <c r="B711">
        <v>1362</v>
      </c>
      <c r="C711" t="s">
        <v>250</v>
      </c>
      <c r="D711" t="s">
        <v>22</v>
      </c>
      <c r="E711">
        <v>62</v>
      </c>
      <c r="F711">
        <v>753</v>
      </c>
      <c r="G711" t="s">
        <v>251</v>
      </c>
      <c r="H711" t="s">
        <v>129</v>
      </c>
      <c r="I711" t="s">
        <v>130</v>
      </c>
      <c r="J711" t="s">
        <v>252</v>
      </c>
      <c r="K711" t="s">
        <v>102</v>
      </c>
      <c r="L711" t="s">
        <v>67</v>
      </c>
      <c r="M711" t="s">
        <v>108</v>
      </c>
      <c r="N711" t="s">
        <v>99</v>
      </c>
      <c r="O711" t="s">
        <v>30</v>
      </c>
      <c r="P711">
        <v>1</v>
      </c>
      <c r="Q711" t="b">
        <v>1</v>
      </c>
      <c r="R711" s="1">
        <v>44166.377083333333</v>
      </c>
      <c r="S711" s="1">
        <v>44168.032638888886</v>
      </c>
      <c r="T711" t="s">
        <v>60</v>
      </c>
      <c r="U711" t="b">
        <v>0</v>
      </c>
      <c r="V711" s="2">
        <v>44166.377083333333</v>
      </c>
      <c r="W711">
        <v>12</v>
      </c>
      <c r="X711">
        <v>2020</v>
      </c>
      <c r="Y711" t="s">
        <v>129</v>
      </c>
      <c r="Z711">
        <v>1</v>
      </c>
    </row>
    <row r="712" spans="1:26" x14ac:dyDescent="0.45">
      <c r="A712">
        <v>2748</v>
      </c>
      <c r="B712">
        <v>1049</v>
      </c>
      <c r="C712" t="s">
        <v>342</v>
      </c>
      <c r="D712" t="s">
        <v>42</v>
      </c>
      <c r="E712">
        <v>56</v>
      </c>
      <c r="F712">
        <v>724</v>
      </c>
      <c r="G712" t="s">
        <v>343</v>
      </c>
      <c r="H712" t="s">
        <v>63</v>
      </c>
      <c r="I712" t="s">
        <v>64</v>
      </c>
      <c r="J712" t="s">
        <v>281</v>
      </c>
      <c r="K712" t="s">
        <v>37</v>
      </c>
      <c r="L712" t="s">
        <v>67</v>
      </c>
      <c r="M712" t="s">
        <v>68</v>
      </c>
      <c r="N712" t="s">
        <v>69</v>
      </c>
      <c r="O712" t="s">
        <v>70</v>
      </c>
      <c r="P712">
        <v>3</v>
      </c>
      <c r="Q712" t="b">
        <v>1</v>
      </c>
      <c r="R712" s="1">
        <v>44660.277777777781</v>
      </c>
      <c r="S712" s="1">
        <v>44664.074999999997</v>
      </c>
      <c r="T712" t="s">
        <v>40</v>
      </c>
      <c r="U712" t="b">
        <v>0</v>
      </c>
      <c r="V712" s="2">
        <v>44660.277777777781</v>
      </c>
      <c r="W712">
        <v>4</v>
      </c>
      <c r="X712">
        <v>2022</v>
      </c>
      <c r="Y712" t="s">
        <v>63</v>
      </c>
      <c r="Z712">
        <v>3</v>
      </c>
    </row>
    <row r="713" spans="1:26" x14ac:dyDescent="0.45">
      <c r="A713">
        <v>2749</v>
      </c>
      <c r="B713">
        <v>1331</v>
      </c>
      <c r="C713" t="s">
        <v>105</v>
      </c>
      <c r="D713" t="s">
        <v>22</v>
      </c>
      <c r="E713">
        <v>18</v>
      </c>
      <c r="F713">
        <v>623</v>
      </c>
      <c r="G713" t="s">
        <v>106</v>
      </c>
      <c r="H713" t="s">
        <v>93</v>
      </c>
      <c r="I713" t="s">
        <v>94</v>
      </c>
      <c r="J713" t="s">
        <v>107</v>
      </c>
      <c r="K713" t="s">
        <v>27</v>
      </c>
      <c r="L713" t="s">
        <v>28</v>
      </c>
      <c r="M713" t="s">
        <v>47</v>
      </c>
      <c r="N713" t="s">
        <v>48</v>
      </c>
      <c r="O713" t="s">
        <v>49</v>
      </c>
      <c r="P713">
        <v>5</v>
      </c>
      <c r="Q713" t="b">
        <v>0</v>
      </c>
      <c r="R713" s="1">
        <v>44446.520833333336</v>
      </c>
      <c r="V713" s="2">
        <v>44446.520833333336</v>
      </c>
      <c r="W713">
        <v>9</v>
      </c>
      <c r="X713">
        <v>2021</v>
      </c>
      <c r="Y713" t="s">
        <v>93</v>
      </c>
      <c r="Z713">
        <v>5</v>
      </c>
    </row>
    <row r="714" spans="1:26" x14ac:dyDescent="0.45">
      <c r="A714">
        <v>2750</v>
      </c>
      <c r="B714">
        <v>1081</v>
      </c>
      <c r="C714" t="s">
        <v>344</v>
      </c>
      <c r="D714" t="s">
        <v>22</v>
      </c>
      <c r="E714">
        <v>36</v>
      </c>
      <c r="F714">
        <v>686</v>
      </c>
      <c r="G714" t="s">
        <v>345</v>
      </c>
      <c r="H714" t="s">
        <v>73</v>
      </c>
      <c r="I714" t="s">
        <v>140</v>
      </c>
      <c r="J714" t="s">
        <v>141</v>
      </c>
      <c r="K714" t="s">
        <v>55</v>
      </c>
      <c r="L714" t="s">
        <v>96</v>
      </c>
      <c r="M714" t="s">
        <v>118</v>
      </c>
      <c r="N714" t="s">
        <v>90</v>
      </c>
      <c r="O714" t="s">
        <v>119</v>
      </c>
      <c r="P714">
        <v>1</v>
      </c>
      <c r="Q714" t="b">
        <v>0</v>
      </c>
      <c r="R714" s="1">
        <v>44000.880555555559</v>
      </c>
      <c r="V714" s="2">
        <v>44000.880555555559</v>
      </c>
      <c r="W714">
        <v>6</v>
      </c>
      <c r="X714">
        <v>2020</v>
      </c>
      <c r="Y714" t="s">
        <v>73</v>
      </c>
      <c r="Z714">
        <v>1</v>
      </c>
    </row>
    <row r="715" spans="1:26" x14ac:dyDescent="0.45">
      <c r="A715">
        <v>2751</v>
      </c>
      <c r="B715">
        <v>1117</v>
      </c>
      <c r="C715" t="s">
        <v>243</v>
      </c>
      <c r="D715" t="s">
        <v>22</v>
      </c>
      <c r="E715">
        <v>53</v>
      </c>
      <c r="F715">
        <v>727</v>
      </c>
      <c r="G715" t="s">
        <v>244</v>
      </c>
      <c r="H715" t="s">
        <v>73</v>
      </c>
      <c r="I715" t="s">
        <v>74</v>
      </c>
      <c r="J715" t="s">
        <v>245</v>
      </c>
      <c r="K715" t="s">
        <v>27</v>
      </c>
      <c r="L715" t="s">
        <v>67</v>
      </c>
      <c r="M715" t="s">
        <v>68</v>
      </c>
      <c r="N715" t="s">
        <v>69</v>
      </c>
      <c r="O715" t="s">
        <v>70</v>
      </c>
      <c r="P715">
        <v>5</v>
      </c>
      <c r="Q715" t="b">
        <v>1</v>
      </c>
      <c r="R715" s="1">
        <v>44183.944444444445</v>
      </c>
      <c r="S715" s="1">
        <v>44185.318055555559</v>
      </c>
      <c r="T715" t="s">
        <v>109</v>
      </c>
      <c r="U715" t="b">
        <v>0</v>
      </c>
      <c r="V715" s="2">
        <v>44183.944444444445</v>
      </c>
      <c r="W715">
        <v>12</v>
      </c>
      <c r="X715">
        <v>2020</v>
      </c>
      <c r="Y715" t="s">
        <v>73</v>
      </c>
      <c r="Z715">
        <v>5</v>
      </c>
    </row>
    <row r="716" spans="1:26" x14ac:dyDescent="0.45">
      <c r="A716">
        <v>2752</v>
      </c>
      <c r="B716">
        <v>1354</v>
      </c>
      <c r="C716" t="s">
        <v>346</v>
      </c>
      <c r="D716" t="s">
        <v>42</v>
      </c>
      <c r="E716">
        <v>26</v>
      </c>
      <c r="F716">
        <v>646</v>
      </c>
      <c r="G716" t="s">
        <v>347</v>
      </c>
      <c r="H716" t="s">
        <v>129</v>
      </c>
      <c r="I716" t="s">
        <v>130</v>
      </c>
      <c r="J716" t="s">
        <v>131</v>
      </c>
      <c r="K716" t="s">
        <v>66</v>
      </c>
      <c r="L716" t="s">
        <v>96</v>
      </c>
      <c r="M716" t="s">
        <v>136</v>
      </c>
      <c r="N716" t="s">
        <v>30</v>
      </c>
      <c r="O716" t="s">
        <v>137</v>
      </c>
      <c r="P716">
        <v>1</v>
      </c>
      <c r="Q716" t="b">
        <v>1</v>
      </c>
      <c r="R716" s="1">
        <v>44931.928472222222</v>
      </c>
      <c r="S716" s="1">
        <v>44935.413194444445</v>
      </c>
      <c r="T716" t="s">
        <v>60</v>
      </c>
      <c r="U716" t="b">
        <v>0</v>
      </c>
      <c r="V716" s="2">
        <v>44931.928472222222</v>
      </c>
      <c r="W716">
        <v>1</v>
      </c>
      <c r="X716">
        <v>2023</v>
      </c>
      <c r="Y716" t="s">
        <v>129</v>
      </c>
      <c r="Z716">
        <v>1</v>
      </c>
    </row>
    <row r="717" spans="1:26" x14ac:dyDescent="0.45">
      <c r="A717">
        <v>2753</v>
      </c>
      <c r="B717">
        <v>1422</v>
      </c>
      <c r="C717" t="s">
        <v>348</v>
      </c>
      <c r="D717" t="s">
        <v>42</v>
      </c>
      <c r="E717">
        <v>40</v>
      </c>
      <c r="F717">
        <v>681</v>
      </c>
      <c r="G717" t="s">
        <v>349</v>
      </c>
      <c r="H717" t="s">
        <v>52</v>
      </c>
      <c r="I717" t="s">
        <v>150</v>
      </c>
      <c r="J717" t="s">
        <v>205</v>
      </c>
      <c r="K717" t="s">
        <v>55</v>
      </c>
      <c r="L717" t="s">
        <v>28</v>
      </c>
      <c r="M717" t="s">
        <v>38</v>
      </c>
      <c r="N717" t="s">
        <v>31</v>
      </c>
      <c r="O717" t="s">
        <v>39</v>
      </c>
      <c r="P717">
        <v>5</v>
      </c>
      <c r="Q717" t="b">
        <v>1</v>
      </c>
      <c r="R717" s="1">
        <v>44523.44027777778</v>
      </c>
      <c r="S717" s="1">
        <v>44523.756944444445</v>
      </c>
      <c r="T717" t="s">
        <v>40</v>
      </c>
      <c r="U717" t="b">
        <v>0</v>
      </c>
      <c r="V717" s="2">
        <v>44523.44027777778</v>
      </c>
      <c r="W717">
        <v>11</v>
      </c>
      <c r="X717">
        <v>2021</v>
      </c>
      <c r="Y717" t="s">
        <v>52</v>
      </c>
      <c r="Z717">
        <v>5</v>
      </c>
    </row>
    <row r="718" spans="1:26" x14ac:dyDescent="0.45">
      <c r="A718">
        <v>2754</v>
      </c>
      <c r="B718">
        <v>1405</v>
      </c>
      <c r="C718" t="s">
        <v>350</v>
      </c>
      <c r="D718" t="s">
        <v>22</v>
      </c>
      <c r="E718">
        <v>48</v>
      </c>
      <c r="F718">
        <v>709</v>
      </c>
      <c r="G718" t="s">
        <v>351</v>
      </c>
      <c r="H718" t="s">
        <v>63</v>
      </c>
      <c r="I718" t="s">
        <v>64</v>
      </c>
      <c r="J718" t="s">
        <v>164</v>
      </c>
      <c r="K718" t="s">
        <v>46</v>
      </c>
      <c r="L718" t="s">
        <v>76</v>
      </c>
      <c r="M718" t="s">
        <v>77</v>
      </c>
      <c r="N718" t="s">
        <v>78</v>
      </c>
      <c r="O718" t="s">
        <v>79</v>
      </c>
      <c r="P718">
        <v>3</v>
      </c>
      <c r="Q718" t="b">
        <v>0</v>
      </c>
      <c r="R718" s="1">
        <v>44504.646527777775</v>
      </c>
      <c r="V718" s="2">
        <v>44504.646527777775</v>
      </c>
      <c r="W718">
        <v>11</v>
      </c>
      <c r="X718">
        <v>2021</v>
      </c>
      <c r="Y718" t="s">
        <v>63</v>
      </c>
      <c r="Z718">
        <v>3</v>
      </c>
    </row>
    <row r="719" spans="1:26" x14ac:dyDescent="0.45">
      <c r="A719">
        <v>2755</v>
      </c>
      <c r="B719">
        <v>1271</v>
      </c>
      <c r="C719" t="s">
        <v>352</v>
      </c>
      <c r="D719" t="s">
        <v>42</v>
      </c>
      <c r="E719">
        <v>54</v>
      </c>
      <c r="F719">
        <v>715</v>
      </c>
      <c r="G719" t="s">
        <v>353</v>
      </c>
      <c r="H719" t="s">
        <v>73</v>
      </c>
      <c r="I719" t="s">
        <v>74</v>
      </c>
      <c r="J719" t="s">
        <v>157</v>
      </c>
      <c r="K719" t="s">
        <v>37</v>
      </c>
      <c r="L719" t="s">
        <v>28</v>
      </c>
      <c r="M719" t="s">
        <v>38</v>
      </c>
      <c r="N719" t="s">
        <v>31</v>
      </c>
      <c r="O719" t="s">
        <v>39</v>
      </c>
      <c r="P719">
        <v>4</v>
      </c>
      <c r="Q719" t="b">
        <v>1</v>
      </c>
      <c r="R719" s="1">
        <v>44648.95208333333</v>
      </c>
      <c r="S719" s="1">
        <v>44650.820138888892</v>
      </c>
      <c r="T719" t="s">
        <v>60</v>
      </c>
      <c r="U719" t="b">
        <v>0</v>
      </c>
      <c r="V719" s="2">
        <v>44648.95208333333</v>
      </c>
      <c r="W719">
        <v>3</v>
      </c>
      <c r="X719">
        <v>2022</v>
      </c>
      <c r="Y719" t="s">
        <v>73</v>
      </c>
      <c r="Z719">
        <v>4</v>
      </c>
    </row>
    <row r="720" spans="1:26" x14ac:dyDescent="0.45">
      <c r="A720">
        <v>2756</v>
      </c>
      <c r="B720">
        <v>1206</v>
      </c>
      <c r="C720" t="s">
        <v>354</v>
      </c>
      <c r="D720" t="s">
        <v>22</v>
      </c>
      <c r="E720">
        <v>18</v>
      </c>
      <c r="F720">
        <v>643</v>
      </c>
      <c r="G720" t="s">
        <v>355</v>
      </c>
      <c r="H720" t="s">
        <v>172</v>
      </c>
      <c r="I720" t="s">
        <v>177</v>
      </c>
      <c r="J720" t="s">
        <v>356</v>
      </c>
      <c r="K720" t="s">
        <v>66</v>
      </c>
      <c r="L720" t="s">
        <v>67</v>
      </c>
      <c r="M720" t="s">
        <v>68</v>
      </c>
      <c r="N720" t="s">
        <v>69</v>
      </c>
      <c r="O720" t="s">
        <v>70</v>
      </c>
      <c r="P720">
        <v>3</v>
      </c>
      <c r="Q720" t="b">
        <v>1</v>
      </c>
      <c r="R720" s="1">
        <v>44380.384027777778</v>
      </c>
      <c r="S720" s="1">
        <v>44385.086805555555</v>
      </c>
      <c r="T720" t="s">
        <v>32</v>
      </c>
      <c r="U720" t="b">
        <v>0</v>
      </c>
      <c r="V720" s="2">
        <v>44380.384027777778</v>
      </c>
      <c r="W720">
        <v>7</v>
      </c>
      <c r="X720">
        <v>2021</v>
      </c>
      <c r="Y720" t="s">
        <v>172</v>
      </c>
      <c r="Z720">
        <v>3</v>
      </c>
    </row>
    <row r="721" spans="1:26" x14ac:dyDescent="0.45">
      <c r="A721">
        <v>2757</v>
      </c>
      <c r="B721">
        <v>1242</v>
      </c>
      <c r="C721" t="s">
        <v>357</v>
      </c>
      <c r="D721" t="s">
        <v>22</v>
      </c>
      <c r="E721">
        <v>40</v>
      </c>
      <c r="F721">
        <v>697</v>
      </c>
      <c r="G721" t="s">
        <v>358</v>
      </c>
      <c r="H721" t="s">
        <v>85</v>
      </c>
      <c r="I721" t="s">
        <v>116</v>
      </c>
      <c r="J721" t="s">
        <v>117</v>
      </c>
      <c r="K721" t="s">
        <v>27</v>
      </c>
      <c r="L721" t="s">
        <v>76</v>
      </c>
      <c r="M721" t="s">
        <v>126</v>
      </c>
      <c r="N721" t="s">
        <v>98</v>
      </c>
      <c r="O721" t="s">
        <v>99</v>
      </c>
      <c r="P721">
        <v>5</v>
      </c>
      <c r="Q721" t="b">
        <v>1</v>
      </c>
      <c r="R721" s="1">
        <v>45012.365972222222</v>
      </c>
      <c r="S721" s="1">
        <v>45014.551388888889</v>
      </c>
      <c r="T721" t="s">
        <v>109</v>
      </c>
      <c r="U721" t="b">
        <v>0</v>
      </c>
      <c r="V721" s="2">
        <v>45012.365972222222</v>
      </c>
      <c r="W721">
        <v>3</v>
      </c>
      <c r="X721">
        <v>2023</v>
      </c>
      <c r="Y721" t="s">
        <v>85</v>
      </c>
      <c r="Z721">
        <v>5</v>
      </c>
    </row>
    <row r="722" spans="1:26" x14ac:dyDescent="0.45">
      <c r="A722">
        <v>2758</v>
      </c>
      <c r="B722">
        <v>1000</v>
      </c>
      <c r="C722" t="s">
        <v>83</v>
      </c>
      <c r="D722" t="s">
        <v>22</v>
      </c>
      <c r="E722">
        <v>74</v>
      </c>
      <c r="F722">
        <v>747</v>
      </c>
      <c r="G722" t="s">
        <v>84</v>
      </c>
      <c r="H722" t="s">
        <v>85</v>
      </c>
      <c r="I722" t="s">
        <v>86</v>
      </c>
      <c r="J722" t="s">
        <v>87</v>
      </c>
      <c r="K722" t="s">
        <v>102</v>
      </c>
      <c r="L722" t="s">
        <v>28</v>
      </c>
      <c r="M722" t="s">
        <v>142</v>
      </c>
      <c r="N722" t="s">
        <v>143</v>
      </c>
      <c r="O722" t="s">
        <v>144</v>
      </c>
      <c r="P722">
        <v>3</v>
      </c>
      <c r="Q722" t="b">
        <v>1</v>
      </c>
      <c r="R722" s="1">
        <v>44087.173611111109</v>
      </c>
      <c r="S722" s="1">
        <v>44090.481249999997</v>
      </c>
      <c r="T722" t="s">
        <v>40</v>
      </c>
      <c r="U722" t="b">
        <v>0</v>
      </c>
      <c r="V722" s="2">
        <v>44087.173611111109</v>
      </c>
      <c r="W722">
        <v>9</v>
      </c>
      <c r="X722">
        <v>2020</v>
      </c>
      <c r="Y722" t="s">
        <v>85</v>
      </c>
      <c r="Z722">
        <v>3</v>
      </c>
    </row>
    <row r="723" spans="1:26" x14ac:dyDescent="0.45">
      <c r="A723">
        <v>2759</v>
      </c>
      <c r="B723">
        <v>1124</v>
      </c>
      <c r="C723" t="s">
        <v>359</v>
      </c>
      <c r="D723" t="s">
        <v>42</v>
      </c>
      <c r="E723">
        <v>20</v>
      </c>
      <c r="F723">
        <v>644</v>
      </c>
      <c r="G723" t="s">
        <v>360</v>
      </c>
      <c r="H723" t="s">
        <v>63</v>
      </c>
      <c r="I723" t="s">
        <v>64</v>
      </c>
      <c r="J723" t="s">
        <v>164</v>
      </c>
      <c r="K723" t="s">
        <v>102</v>
      </c>
      <c r="L723" t="s">
        <v>76</v>
      </c>
      <c r="M723" t="s">
        <v>160</v>
      </c>
      <c r="N723" t="s">
        <v>79</v>
      </c>
      <c r="O723" t="s">
        <v>161</v>
      </c>
      <c r="P723">
        <v>3</v>
      </c>
      <c r="Q723" t="b">
        <v>1</v>
      </c>
      <c r="R723" s="1">
        <v>44033.625</v>
      </c>
      <c r="S723" s="1">
        <v>44036.57708333333</v>
      </c>
      <c r="T723" t="s">
        <v>32</v>
      </c>
      <c r="U723" t="b">
        <v>0</v>
      </c>
      <c r="V723" s="2">
        <v>44033.625</v>
      </c>
      <c r="W723">
        <v>7</v>
      </c>
      <c r="X723">
        <v>2020</v>
      </c>
      <c r="Y723" t="s">
        <v>63</v>
      </c>
      <c r="Z723">
        <v>3</v>
      </c>
    </row>
    <row r="724" spans="1:26" x14ac:dyDescent="0.45">
      <c r="A724">
        <v>2760</v>
      </c>
      <c r="B724">
        <v>1041</v>
      </c>
      <c r="C724" t="s">
        <v>361</v>
      </c>
      <c r="D724" t="s">
        <v>42</v>
      </c>
      <c r="E724">
        <v>17</v>
      </c>
      <c r="H724" t="s">
        <v>129</v>
      </c>
      <c r="I724" t="s">
        <v>263</v>
      </c>
      <c r="J724" t="s">
        <v>278</v>
      </c>
      <c r="K724" t="s">
        <v>46</v>
      </c>
      <c r="L724" t="s">
        <v>76</v>
      </c>
      <c r="M724" t="s">
        <v>77</v>
      </c>
      <c r="N724" t="s">
        <v>78</v>
      </c>
      <c r="O724" t="s">
        <v>79</v>
      </c>
      <c r="P724">
        <v>4</v>
      </c>
      <c r="Q724" t="b">
        <v>1</v>
      </c>
      <c r="R724" s="1">
        <v>45149.633333333331</v>
      </c>
      <c r="S724" s="1">
        <v>45153.774305555555</v>
      </c>
      <c r="T724" t="s">
        <v>60</v>
      </c>
      <c r="U724" t="b">
        <v>0</v>
      </c>
      <c r="V724" s="2">
        <v>45149.633333333331</v>
      </c>
      <c r="W724">
        <v>8</v>
      </c>
      <c r="X724">
        <v>2023</v>
      </c>
      <c r="Y724" t="s">
        <v>129</v>
      </c>
      <c r="Z724">
        <v>4</v>
      </c>
    </row>
    <row r="725" spans="1:26" x14ac:dyDescent="0.45">
      <c r="A725">
        <v>2761</v>
      </c>
      <c r="B725">
        <v>1060</v>
      </c>
      <c r="C725" t="s">
        <v>362</v>
      </c>
      <c r="D725" t="s">
        <v>42</v>
      </c>
      <c r="E725">
        <v>64</v>
      </c>
      <c r="F725">
        <v>742</v>
      </c>
      <c r="G725" t="s">
        <v>363</v>
      </c>
      <c r="H725" t="s">
        <v>93</v>
      </c>
      <c r="I725" t="s">
        <v>94</v>
      </c>
      <c r="J725" t="s">
        <v>364</v>
      </c>
      <c r="K725" t="s">
        <v>27</v>
      </c>
      <c r="L725" t="s">
        <v>67</v>
      </c>
      <c r="M725" t="s">
        <v>233</v>
      </c>
      <c r="N725" t="s">
        <v>89</v>
      </c>
      <c r="O725" t="s">
        <v>90</v>
      </c>
      <c r="P725">
        <v>2</v>
      </c>
      <c r="Q725" t="b">
        <v>1</v>
      </c>
      <c r="R725" s="1">
        <v>44821.140972222223</v>
      </c>
      <c r="S725" s="1">
        <v>44823.76666666667</v>
      </c>
      <c r="T725" t="s">
        <v>109</v>
      </c>
      <c r="U725" t="b">
        <v>0</v>
      </c>
      <c r="V725" s="2">
        <v>44821.140972222223</v>
      </c>
      <c r="W725">
        <v>9</v>
      </c>
      <c r="X725">
        <v>2022</v>
      </c>
      <c r="Y725" t="s">
        <v>93</v>
      </c>
      <c r="Z725">
        <v>2</v>
      </c>
    </row>
    <row r="726" spans="1:26" x14ac:dyDescent="0.45">
      <c r="A726">
        <v>2762</v>
      </c>
      <c r="B726">
        <v>1204</v>
      </c>
      <c r="C726" t="s">
        <v>365</v>
      </c>
      <c r="D726" t="s">
        <v>42</v>
      </c>
      <c r="E726">
        <v>15</v>
      </c>
      <c r="H726" t="s">
        <v>129</v>
      </c>
      <c r="I726" t="s">
        <v>130</v>
      </c>
      <c r="J726" t="s">
        <v>272</v>
      </c>
      <c r="K726" t="s">
        <v>27</v>
      </c>
      <c r="L726" t="s">
        <v>76</v>
      </c>
      <c r="M726" t="s">
        <v>132</v>
      </c>
      <c r="N726" t="s">
        <v>59</v>
      </c>
      <c r="O726" t="s">
        <v>98</v>
      </c>
      <c r="P726">
        <v>3</v>
      </c>
      <c r="Q726" t="b">
        <v>1</v>
      </c>
      <c r="R726" s="1">
        <v>44445.509027777778</v>
      </c>
      <c r="S726" s="1">
        <v>44450.711805555555</v>
      </c>
      <c r="T726" t="s">
        <v>60</v>
      </c>
      <c r="U726" t="b">
        <v>0</v>
      </c>
      <c r="V726" s="2">
        <v>44445.509027777778</v>
      </c>
      <c r="W726">
        <v>9</v>
      </c>
      <c r="X726">
        <v>2021</v>
      </c>
      <c r="Y726" t="s">
        <v>129</v>
      </c>
      <c r="Z726">
        <v>3</v>
      </c>
    </row>
    <row r="727" spans="1:26" x14ac:dyDescent="0.45">
      <c r="A727">
        <v>2763</v>
      </c>
      <c r="B727">
        <v>1351</v>
      </c>
      <c r="C727" t="s">
        <v>366</v>
      </c>
      <c r="D727" t="s">
        <v>42</v>
      </c>
      <c r="E727">
        <v>21</v>
      </c>
      <c r="F727">
        <v>603</v>
      </c>
      <c r="G727" t="s">
        <v>367</v>
      </c>
      <c r="H727" t="s">
        <v>35</v>
      </c>
      <c r="I727" t="s">
        <v>36</v>
      </c>
      <c r="J727" t="s">
        <v>82</v>
      </c>
      <c r="K727" t="s">
        <v>37</v>
      </c>
      <c r="L727" t="s">
        <v>67</v>
      </c>
      <c r="M727" t="s">
        <v>233</v>
      </c>
      <c r="N727" t="s">
        <v>89</v>
      </c>
      <c r="O727" t="s">
        <v>90</v>
      </c>
      <c r="P727">
        <v>2</v>
      </c>
      <c r="Q727" t="b">
        <v>1</v>
      </c>
      <c r="R727" s="1">
        <v>44839.119444444441</v>
      </c>
      <c r="S727" s="1">
        <v>44846.040972222225</v>
      </c>
      <c r="T727" t="s">
        <v>32</v>
      </c>
      <c r="U727" t="b">
        <v>0</v>
      </c>
      <c r="V727" s="2">
        <v>44839.119444444441</v>
      </c>
      <c r="W727">
        <v>10</v>
      </c>
      <c r="X727">
        <v>2022</v>
      </c>
      <c r="Y727" t="s">
        <v>35</v>
      </c>
      <c r="Z727">
        <v>2</v>
      </c>
    </row>
    <row r="728" spans="1:26" x14ac:dyDescent="0.45">
      <c r="A728">
        <v>2764</v>
      </c>
      <c r="B728">
        <v>1003</v>
      </c>
      <c r="C728" t="s">
        <v>368</v>
      </c>
      <c r="D728" t="s">
        <v>42</v>
      </c>
      <c r="E728">
        <v>46</v>
      </c>
      <c r="F728">
        <v>708</v>
      </c>
      <c r="G728" t="s">
        <v>369</v>
      </c>
      <c r="H728" t="s">
        <v>35</v>
      </c>
      <c r="I728" t="s">
        <v>122</v>
      </c>
      <c r="J728" t="s">
        <v>123</v>
      </c>
      <c r="K728" t="s">
        <v>102</v>
      </c>
      <c r="L728" t="s">
        <v>28</v>
      </c>
      <c r="M728" t="s">
        <v>47</v>
      </c>
      <c r="N728" t="s">
        <v>48</v>
      </c>
      <c r="O728" t="s">
        <v>49</v>
      </c>
      <c r="P728">
        <v>4</v>
      </c>
      <c r="Q728" t="b">
        <v>1</v>
      </c>
      <c r="R728" s="1">
        <v>44037.174305555556</v>
      </c>
      <c r="S728" s="1">
        <v>44040.10833333333</v>
      </c>
      <c r="T728" t="s">
        <v>40</v>
      </c>
      <c r="U728" t="b">
        <v>0</v>
      </c>
      <c r="V728" s="2">
        <v>44037.174305555556</v>
      </c>
      <c r="W728">
        <v>7</v>
      </c>
      <c r="X728">
        <v>2020</v>
      </c>
      <c r="Y728" t="s">
        <v>35</v>
      </c>
      <c r="Z728">
        <v>4</v>
      </c>
    </row>
    <row r="729" spans="1:26" x14ac:dyDescent="0.45">
      <c r="A729">
        <v>2765</v>
      </c>
      <c r="B729">
        <v>1050</v>
      </c>
      <c r="C729" t="s">
        <v>370</v>
      </c>
      <c r="D729" t="s">
        <v>42</v>
      </c>
      <c r="E729">
        <v>56</v>
      </c>
      <c r="F729">
        <v>722</v>
      </c>
      <c r="G729" t="s">
        <v>371</v>
      </c>
      <c r="H729" t="s">
        <v>52</v>
      </c>
      <c r="I729" t="s">
        <v>150</v>
      </c>
      <c r="J729" t="s">
        <v>151</v>
      </c>
      <c r="K729" t="s">
        <v>27</v>
      </c>
      <c r="L729" t="s">
        <v>28</v>
      </c>
      <c r="M729" t="s">
        <v>29</v>
      </c>
      <c r="N729" t="s">
        <v>30</v>
      </c>
      <c r="O729" t="s">
        <v>31</v>
      </c>
      <c r="P729">
        <v>2</v>
      </c>
      <c r="Q729" t="b">
        <v>1</v>
      </c>
      <c r="R729" s="1">
        <v>44459.974305555559</v>
      </c>
      <c r="S729" s="1">
        <v>44463.243055555555</v>
      </c>
      <c r="T729" t="s">
        <v>109</v>
      </c>
      <c r="U729" t="b">
        <v>0</v>
      </c>
      <c r="V729" s="2">
        <v>44459.974305555559</v>
      </c>
      <c r="W729">
        <v>9</v>
      </c>
      <c r="X729">
        <v>2021</v>
      </c>
      <c r="Y729" t="s">
        <v>52</v>
      </c>
      <c r="Z729">
        <v>2</v>
      </c>
    </row>
    <row r="730" spans="1:26" x14ac:dyDescent="0.45">
      <c r="A730">
        <v>2766</v>
      </c>
      <c r="B730">
        <v>1017</v>
      </c>
      <c r="C730" t="s">
        <v>372</v>
      </c>
      <c r="D730" t="s">
        <v>42</v>
      </c>
      <c r="E730">
        <v>46</v>
      </c>
      <c r="F730">
        <v>715</v>
      </c>
      <c r="G730" t="s">
        <v>373</v>
      </c>
      <c r="H730" t="s">
        <v>35</v>
      </c>
      <c r="I730" t="s">
        <v>122</v>
      </c>
      <c r="J730" t="s">
        <v>135</v>
      </c>
      <c r="K730" t="s">
        <v>27</v>
      </c>
      <c r="L730" t="s">
        <v>76</v>
      </c>
      <c r="M730" t="s">
        <v>77</v>
      </c>
      <c r="N730" t="s">
        <v>78</v>
      </c>
      <c r="O730" t="s">
        <v>79</v>
      </c>
      <c r="P730">
        <v>5</v>
      </c>
      <c r="Q730" t="b">
        <v>1</v>
      </c>
      <c r="R730" s="1">
        <v>44489.890277777777</v>
      </c>
      <c r="S730" s="1">
        <v>44492.163194444445</v>
      </c>
      <c r="T730" t="s">
        <v>60</v>
      </c>
      <c r="U730" t="b">
        <v>1</v>
      </c>
      <c r="V730" s="2">
        <v>44489.890277777777</v>
      </c>
      <c r="W730">
        <v>10</v>
      </c>
      <c r="X730">
        <v>2021</v>
      </c>
      <c r="Y730" t="s">
        <v>35</v>
      </c>
      <c r="Z730">
        <v>5</v>
      </c>
    </row>
    <row r="731" spans="1:26" x14ac:dyDescent="0.45">
      <c r="A731">
        <v>2767</v>
      </c>
      <c r="B731">
        <v>1032</v>
      </c>
      <c r="C731" t="s">
        <v>374</v>
      </c>
      <c r="D731" t="s">
        <v>22</v>
      </c>
      <c r="E731">
        <v>34</v>
      </c>
      <c r="F731">
        <v>689</v>
      </c>
      <c r="G731" t="s">
        <v>375</v>
      </c>
      <c r="H731" t="s">
        <v>93</v>
      </c>
      <c r="I731" t="s">
        <v>94</v>
      </c>
      <c r="J731" t="s">
        <v>364</v>
      </c>
      <c r="K731" t="s">
        <v>66</v>
      </c>
      <c r="L731" t="s">
        <v>28</v>
      </c>
      <c r="M731" t="s">
        <v>47</v>
      </c>
      <c r="N731" t="s">
        <v>48</v>
      </c>
      <c r="O731" t="s">
        <v>49</v>
      </c>
      <c r="P731">
        <v>5</v>
      </c>
      <c r="Q731" t="b">
        <v>0</v>
      </c>
      <c r="R731" s="1">
        <v>44597.392361111109</v>
      </c>
      <c r="V731" s="2">
        <v>44597.392361111109</v>
      </c>
      <c r="W731">
        <v>2</v>
      </c>
      <c r="X731">
        <v>2022</v>
      </c>
      <c r="Y731" t="s">
        <v>93</v>
      </c>
      <c r="Z731">
        <v>5</v>
      </c>
    </row>
    <row r="732" spans="1:26" x14ac:dyDescent="0.45">
      <c r="A732">
        <v>2768</v>
      </c>
      <c r="B732">
        <v>1153</v>
      </c>
      <c r="C732" t="s">
        <v>376</v>
      </c>
      <c r="D732" t="s">
        <v>22</v>
      </c>
      <c r="E732">
        <v>37</v>
      </c>
      <c r="F732">
        <v>695</v>
      </c>
      <c r="G732" t="s">
        <v>377</v>
      </c>
      <c r="H732" t="s">
        <v>93</v>
      </c>
      <c r="I732" t="s">
        <v>94</v>
      </c>
      <c r="J732" t="s">
        <v>95</v>
      </c>
      <c r="K732" t="s">
        <v>66</v>
      </c>
      <c r="L732" t="s">
        <v>67</v>
      </c>
      <c r="M732" t="s">
        <v>233</v>
      </c>
      <c r="N732" t="s">
        <v>89</v>
      </c>
      <c r="O732" t="s">
        <v>90</v>
      </c>
      <c r="P732">
        <v>3</v>
      </c>
      <c r="Q732" t="b">
        <v>1</v>
      </c>
      <c r="R732" s="1">
        <v>44404.897222222222</v>
      </c>
      <c r="S732" s="1">
        <v>44407.302777777775</v>
      </c>
      <c r="T732" t="s">
        <v>60</v>
      </c>
      <c r="U732" t="b">
        <v>0</v>
      </c>
      <c r="V732" s="2">
        <v>44404.897222222222</v>
      </c>
      <c r="W732">
        <v>7</v>
      </c>
      <c r="X732">
        <v>2021</v>
      </c>
      <c r="Y732" t="s">
        <v>93</v>
      </c>
      <c r="Z732">
        <v>3</v>
      </c>
    </row>
    <row r="733" spans="1:26" x14ac:dyDescent="0.45">
      <c r="A733">
        <v>2769</v>
      </c>
      <c r="B733">
        <v>1265</v>
      </c>
      <c r="C733" t="s">
        <v>378</v>
      </c>
      <c r="D733" t="s">
        <v>42</v>
      </c>
      <c r="E733">
        <v>31</v>
      </c>
      <c r="F733">
        <v>696</v>
      </c>
      <c r="G733" t="s">
        <v>379</v>
      </c>
      <c r="H733" t="s">
        <v>73</v>
      </c>
      <c r="I733" t="s">
        <v>74</v>
      </c>
      <c r="J733" t="s">
        <v>157</v>
      </c>
      <c r="K733" t="s">
        <v>102</v>
      </c>
      <c r="L733" t="s">
        <v>56</v>
      </c>
      <c r="M733" t="s">
        <v>179</v>
      </c>
      <c r="N733" t="s">
        <v>79</v>
      </c>
      <c r="O733" t="s">
        <v>161</v>
      </c>
      <c r="P733">
        <v>5</v>
      </c>
      <c r="Q733" t="b">
        <v>1</v>
      </c>
      <c r="R733" s="1">
        <v>44432.404861111114</v>
      </c>
      <c r="S733" s="1">
        <v>44436.138194444444</v>
      </c>
      <c r="T733" t="s">
        <v>40</v>
      </c>
      <c r="U733" t="b">
        <v>0</v>
      </c>
      <c r="V733" s="2">
        <v>44432.404861111114</v>
      </c>
      <c r="W733">
        <v>8</v>
      </c>
      <c r="X733">
        <v>2021</v>
      </c>
      <c r="Y733" t="s">
        <v>73</v>
      </c>
      <c r="Z733">
        <v>5</v>
      </c>
    </row>
    <row r="734" spans="1:26" x14ac:dyDescent="0.45">
      <c r="A734">
        <v>2770</v>
      </c>
      <c r="B734">
        <v>1402</v>
      </c>
      <c r="C734" t="s">
        <v>380</v>
      </c>
      <c r="D734" t="s">
        <v>22</v>
      </c>
      <c r="E734">
        <v>21</v>
      </c>
      <c r="F734">
        <v>661</v>
      </c>
      <c r="G734" t="s">
        <v>381</v>
      </c>
      <c r="H734" t="s">
        <v>172</v>
      </c>
      <c r="I734" t="s">
        <v>173</v>
      </c>
      <c r="J734" t="s">
        <v>174</v>
      </c>
      <c r="K734" t="s">
        <v>55</v>
      </c>
      <c r="L734" t="s">
        <v>96</v>
      </c>
      <c r="M734" t="s">
        <v>103</v>
      </c>
      <c r="N734" t="s">
        <v>31</v>
      </c>
      <c r="O734" t="s">
        <v>104</v>
      </c>
      <c r="P734">
        <v>3</v>
      </c>
      <c r="Q734" t="b">
        <v>1</v>
      </c>
      <c r="R734" s="1">
        <v>44229.439583333333</v>
      </c>
      <c r="S734" s="1">
        <v>44229.870138888888</v>
      </c>
      <c r="T734" t="s">
        <v>60</v>
      </c>
      <c r="U734" t="b">
        <v>0</v>
      </c>
      <c r="V734" s="2">
        <v>44229.439583333333</v>
      </c>
      <c r="W734">
        <v>2</v>
      </c>
      <c r="X734">
        <v>2021</v>
      </c>
      <c r="Y734" t="s">
        <v>172</v>
      </c>
      <c r="Z734">
        <v>3</v>
      </c>
    </row>
    <row r="735" spans="1:26" x14ac:dyDescent="0.45">
      <c r="A735">
        <v>2771</v>
      </c>
      <c r="B735">
        <v>1187</v>
      </c>
      <c r="C735" t="s">
        <v>382</v>
      </c>
      <c r="D735" t="s">
        <v>22</v>
      </c>
      <c r="E735">
        <v>70</v>
      </c>
      <c r="F735">
        <v>751</v>
      </c>
      <c r="G735" t="s">
        <v>383</v>
      </c>
      <c r="H735" t="s">
        <v>129</v>
      </c>
      <c r="I735" t="s">
        <v>130</v>
      </c>
      <c r="J735" t="s">
        <v>131</v>
      </c>
      <c r="K735" t="s">
        <v>102</v>
      </c>
      <c r="L735" t="s">
        <v>96</v>
      </c>
      <c r="M735" t="s">
        <v>103</v>
      </c>
      <c r="N735" t="s">
        <v>31</v>
      </c>
      <c r="O735" t="s">
        <v>104</v>
      </c>
      <c r="P735">
        <v>1</v>
      </c>
      <c r="Q735" t="b">
        <v>1</v>
      </c>
      <c r="R735" s="1">
        <v>44185.412499999999</v>
      </c>
      <c r="S735" s="1">
        <v>44190.667361111111</v>
      </c>
      <c r="T735" t="s">
        <v>109</v>
      </c>
      <c r="U735" t="b">
        <v>1</v>
      </c>
      <c r="V735" s="2">
        <v>44185.412499999999</v>
      </c>
      <c r="W735">
        <v>12</v>
      </c>
      <c r="X735">
        <v>2020</v>
      </c>
      <c r="Y735" t="s">
        <v>129</v>
      </c>
      <c r="Z735">
        <v>1</v>
      </c>
    </row>
    <row r="736" spans="1:26" x14ac:dyDescent="0.45">
      <c r="A736">
        <v>2772</v>
      </c>
      <c r="B736">
        <v>1133</v>
      </c>
      <c r="C736" t="s">
        <v>384</v>
      </c>
      <c r="D736" t="s">
        <v>22</v>
      </c>
      <c r="E736">
        <v>18</v>
      </c>
      <c r="F736">
        <v>633</v>
      </c>
      <c r="G736" t="s">
        <v>385</v>
      </c>
      <c r="H736" t="s">
        <v>52</v>
      </c>
      <c r="I736" t="s">
        <v>150</v>
      </c>
      <c r="J736" t="s">
        <v>151</v>
      </c>
      <c r="K736" t="s">
        <v>27</v>
      </c>
      <c r="L736" t="s">
        <v>96</v>
      </c>
      <c r="M736" t="s">
        <v>97</v>
      </c>
      <c r="N736" t="s">
        <v>98</v>
      </c>
      <c r="O736" t="s">
        <v>99</v>
      </c>
      <c r="P736">
        <v>4</v>
      </c>
      <c r="Q736" t="b">
        <v>1</v>
      </c>
      <c r="R736" s="1">
        <v>44507.540277777778</v>
      </c>
      <c r="S736" s="1">
        <v>44508.886111111111</v>
      </c>
      <c r="T736" t="s">
        <v>40</v>
      </c>
      <c r="U736" t="b">
        <v>0</v>
      </c>
      <c r="V736" s="2">
        <v>44507.540277777778</v>
      </c>
      <c r="W736">
        <v>11</v>
      </c>
      <c r="X736">
        <v>2021</v>
      </c>
      <c r="Y736" t="s">
        <v>52</v>
      </c>
      <c r="Z736">
        <v>4</v>
      </c>
    </row>
    <row r="737" spans="1:26" x14ac:dyDescent="0.45">
      <c r="A737">
        <v>2773</v>
      </c>
      <c r="B737">
        <v>1257</v>
      </c>
      <c r="C737" t="s">
        <v>386</v>
      </c>
      <c r="D737" t="s">
        <v>22</v>
      </c>
      <c r="E737">
        <v>27</v>
      </c>
      <c r="F737">
        <v>688</v>
      </c>
      <c r="G737" t="s">
        <v>387</v>
      </c>
      <c r="H737" t="s">
        <v>63</v>
      </c>
      <c r="I737" t="s">
        <v>300</v>
      </c>
      <c r="J737" t="s">
        <v>388</v>
      </c>
      <c r="K737" t="s">
        <v>55</v>
      </c>
      <c r="L737" t="s">
        <v>76</v>
      </c>
      <c r="M737" t="s">
        <v>77</v>
      </c>
      <c r="N737" t="s">
        <v>78</v>
      </c>
      <c r="O737" t="s">
        <v>79</v>
      </c>
      <c r="P737">
        <v>4</v>
      </c>
      <c r="Q737" t="b">
        <v>1</v>
      </c>
      <c r="R737" s="1">
        <v>44695.385416666664</v>
      </c>
      <c r="S737" s="1">
        <v>44698.888194444444</v>
      </c>
      <c r="T737" t="s">
        <v>32</v>
      </c>
      <c r="U737" t="b">
        <v>0</v>
      </c>
      <c r="V737" s="2">
        <v>44695.385416666664</v>
      </c>
      <c r="W737">
        <v>5</v>
      </c>
      <c r="X737">
        <v>2022</v>
      </c>
      <c r="Y737" t="s">
        <v>63</v>
      </c>
      <c r="Z737">
        <v>4</v>
      </c>
    </row>
    <row r="738" spans="1:26" x14ac:dyDescent="0.45">
      <c r="A738">
        <v>2774</v>
      </c>
      <c r="B738">
        <v>1065</v>
      </c>
      <c r="C738" t="s">
        <v>183</v>
      </c>
      <c r="D738" t="s">
        <v>42</v>
      </c>
      <c r="E738">
        <v>23</v>
      </c>
      <c r="F738">
        <v>639</v>
      </c>
      <c r="G738" t="s">
        <v>184</v>
      </c>
      <c r="H738" t="s">
        <v>24</v>
      </c>
      <c r="I738" t="s">
        <v>44</v>
      </c>
      <c r="J738" t="s">
        <v>45</v>
      </c>
      <c r="K738" t="s">
        <v>46</v>
      </c>
      <c r="L738" t="s">
        <v>56</v>
      </c>
      <c r="M738" t="s">
        <v>57</v>
      </c>
      <c r="N738" t="s">
        <v>58</v>
      </c>
      <c r="O738" t="s">
        <v>59</v>
      </c>
      <c r="P738">
        <v>4</v>
      </c>
      <c r="Q738" t="b">
        <v>0</v>
      </c>
      <c r="R738" s="1">
        <v>44032.868055555555</v>
      </c>
      <c r="V738" s="2">
        <v>44032.868055555555</v>
      </c>
      <c r="W738">
        <v>7</v>
      </c>
      <c r="X738">
        <v>2020</v>
      </c>
      <c r="Y738" t="s">
        <v>24</v>
      </c>
      <c r="Z738">
        <v>4</v>
      </c>
    </row>
    <row r="739" spans="1:26" x14ac:dyDescent="0.45">
      <c r="A739">
        <v>2775</v>
      </c>
      <c r="B739">
        <v>1130</v>
      </c>
      <c r="C739" t="s">
        <v>389</v>
      </c>
      <c r="D739" t="s">
        <v>22</v>
      </c>
      <c r="E739">
        <v>72</v>
      </c>
      <c r="F739">
        <v>757</v>
      </c>
      <c r="G739" t="s">
        <v>390</v>
      </c>
      <c r="H739" t="s">
        <v>93</v>
      </c>
      <c r="I739" t="s">
        <v>94</v>
      </c>
      <c r="J739" t="s">
        <v>364</v>
      </c>
      <c r="K739" t="s">
        <v>102</v>
      </c>
      <c r="L739" t="s">
        <v>56</v>
      </c>
      <c r="M739" t="s">
        <v>197</v>
      </c>
      <c r="N739" t="s">
        <v>198</v>
      </c>
      <c r="O739" t="s">
        <v>199</v>
      </c>
      <c r="P739">
        <v>3</v>
      </c>
      <c r="Q739" t="b">
        <v>1</v>
      </c>
      <c r="R739" s="1">
        <v>45287.121527777781</v>
      </c>
      <c r="S739" s="1">
        <v>45293.928472222222</v>
      </c>
      <c r="T739" t="s">
        <v>60</v>
      </c>
      <c r="U739" t="b">
        <v>0</v>
      </c>
      <c r="V739" s="2">
        <v>45287.121527777781</v>
      </c>
      <c r="W739">
        <v>12</v>
      </c>
      <c r="X739">
        <v>2023</v>
      </c>
      <c r="Y739" t="s">
        <v>93</v>
      </c>
      <c r="Z739">
        <v>3</v>
      </c>
    </row>
    <row r="740" spans="1:26" x14ac:dyDescent="0.45">
      <c r="A740">
        <v>2776</v>
      </c>
      <c r="B740">
        <v>1477</v>
      </c>
      <c r="C740" t="s">
        <v>391</v>
      </c>
      <c r="D740" t="s">
        <v>42</v>
      </c>
      <c r="E740">
        <v>45</v>
      </c>
      <c r="F740">
        <v>722</v>
      </c>
      <c r="G740" t="s">
        <v>392</v>
      </c>
      <c r="H740" t="s">
        <v>52</v>
      </c>
      <c r="I740" t="s">
        <v>53</v>
      </c>
      <c r="J740" t="s">
        <v>284</v>
      </c>
      <c r="K740" t="s">
        <v>66</v>
      </c>
      <c r="L740" t="s">
        <v>96</v>
      </c>
      <c r="M740" t="s">
        <v>136</v>
      </c>
      <c r="N740" t="s">
        <v>30</v>
      </c>
      <c r="O740" t="s">
        <v>137</v>
      </c>
      <c r="P740">
        <v>3</v>
      </c>
      <c r="Q740" t="b">
        <v>1</v>
      </c>
      <c r="R740" s="1">
        <v>44451.325694444444</v>
      </c>
      <c r="S740" s="1">
        <v>44456.881249999999</v>
      </c>
      <c r="T740" t="s">
        <v>60</v>
      </c>
      <c r="U740" t="b">
        <v>1</v>
      </c>
      <c r="V740" s="2">
        <v>44451.325694444444</v>
      </c>
      <c r="W740">
        <v>9</v>
      </c>
      <c r="X740">
        <v>2021</v>
      </c>
      <c r="Y740" t="s">
        <v>52</v>
      </c>
      <c r="Z740">
        <v>3</v>
      </c>
    </row>
    <row r="741" spans="1:26" x14ac:dyDescent="0.45">
      <c r="A741">
        <v>2777</v>
      </c>
      <c r="B741">
        <v>1258</v>
      </c>
      <c r="C741" t="s">
        <v>296</v>
      </c>
      <c r="D741" t="s">
        <v>22</v>
      </c>
      <c r="E741">
        <v>65</v>
      </c>
      <c r="F741">
        <v>751</v>
      </c>
      <c r="G741" t="s">
        <v>297</v>
      </c>
      <c r="H741" t="s">
        <v>93</v>
      </c>
      <c r="I741" t="s">
        <v>112</v>
      </c>
      <c r="J741" t="s">
        <v>242</v>
      </c>
      <c r="K741" t="s">
        <v>46</v>
      </c>
      <c r="L741" t="s">
        <v>96</v>
      </c>
      <c r="M741" t="s">
        <v>97</v>
      </c>
      <c r="N741" t="s">
        <v>98</v>
      </c>
      <c r="O741" t="s">
        <v>99</v>
      </c>
      <c r="P741">
        <v>1</v>
      </c>
      <c r="Q741" t="b">
        <v>1</v>
      </c>
      <c r="R741" s="1">
        <v>44556.931250000001</v>
      </c>
      <c r="S741" s="1">
        <v>44557.856944444444</v>
      </c>
      <c r="T741" t="s">
        <v>60</v>
      </c>
      <c r="U741" t="b">
        <v>0</v>
      </c>
      <c r="V741" s="2">
        <v>44556.931250000001</v>
      </c>
      <c r="W741">
        <v>12</v>
      </c>
      <c r="X741">
        <v>2021</v>
      </c>
      <c r="Y741" t="s">
        <v>93</v>
      </c>
      <c r="Z741">
        <v>1</v>
      </c>
    </row>
    <row r="742" spans="1:26" x14ac:dyDescent="0.45">
      <c r="A742">
        <v>2780</v>
      </c>
      <c r="B742">
        <v>1295</v>
      </c>
      <c r="C742" t="s">
        <v>393</v>
      </c>
      <c r="D742" t="s">
        <v>22</v>
      </c>
      <c r="E742">
        <v>70</v>
      </c>
      <c r="F742">
        <v>755</v>
      </c>
      <c r="G742" t="s">
        <v>394</v>
      </c>
      <c r="H742" t="s">
        <v>73</v>
      </c>
      <c r="I742" t="s">
        <v>140</v>
      </c>
      <c r="J742" t="s">
        <v>141</v>
      </c>
      <c r="K742" t="s">
        <v>66</v>
      </c>
      <c r="L742" t="s">
        <v>67</v>
      </c>
      <c r="M742" t="s">
        <v>108</v>
      </c>
      <c r="N742" t="s">
        <v>99</v>
      </c>
      <c r="O742" t="s">
        <v>30</v>
      </c>
      <c r="P742">
        <v>4</v>
      </c>
      <c r="Q742" t="b">
        <v>1</v>
      </c>
      <c r="R742" s="1">
        <v>44823.274305555555</v>
      </c>
      <c r="S742" s="1">
        <v>44827.618750000001</v>
      </c>
      <c r="T742" t="s">
        <v>40</v>
      </c>
      <c r="U742" t="b">
        <v>0</v>
      </c>
      <c r="V742" s="2">
        <v>44823.274305555555</v>
      </c>
      <c r="W742">
        <v>9</v>
      </c>
      <c r="X742">
        <v>2022</v>
      </c>
      <c r="Y742" t="s">
        <v>73</v>
      </c>
      <c r="Z742">
        <v>4</v>
      </c>
    </row>
    <row r="743" spans="1:26" x14ac:dyDescent="0.45">
      <c r="A743">
        <v>2781</v>
      </c>
      <c r="B743">
        <v>1084</v>
      </c>
      <c r="C743" t="s">
        <v>312</v>
      </c>
      <c r="D743" t="s">
        <v>22</v>
      </c>
      <c r="E743">
        <v>46</v>
      </c>
      <c r="F743">
        <v>727</v>
      </c>
      <c r="G743" t="s">
        <v>313</v>
      </c>
      <c r="H743" t="s">
        <v>52</v>
      </c>
      <c r="I743" t="s">
        <v>53</v>
      </c>
      <c r="J743" t="s">
        <v>284</v>
      </c>
      <c r="K743" t="s">
        <v>27</v>
      </c>
      <c r="L743" t="s">
        <v>56</v>
      </c>
      <c r="M743" t="s">
        <v>197</v>
      </c>
      <c r="N743" t="s">
        <v>198</v>
      </c>
      <c r="O743" t="s">
        <v>199</v>
      </c>
      <c r="P743">
        <v>4</v>
      </c>
      <c r="Q743" t="b">
        <v>1</v>
      </c>
      <c r="R743" s="1">
        <v>44047.538888888892</v>
      </c>
      <c r="S743" s="1">
        <v>44053.163888888892</v>
      </c>
      <c r="T743" t="s">
        <v>60</v>
      </c>
      <c r="U743" t="b">
        <v>0</v>
      </c>
      <c r="V743" s="2">
        <v>44047.538888888892</v>
      </c>
      <c r="W743">
        <v>8</v>
      </c>
      <c r="X743">
        <v>2020</v>
      </c>
      <c r="Y743" t="s">
        <v>52</v>
      </c>
      <c r="Z743">
        <v>4</v>
      </c>
    </row>
    <row r="744" spans="1:26" x14ac:dyDescent="0.45">
      <c r="A744">
        <v>2782</v>
      </c>
      <c r="B744">
        <v>1205</v>
      </c>
      <c r="C744" t="s">
        <v>395</v>
      </c>
      <c r="D744" t="s">
        <v>42</v>
      </c>
      <c r="E744">
        <v>27</v>
      </c>
      <c r="F744">
        <v>693</v>
      </c>
      <c r="G744" t="s">
        <v>396</v>
      </c>
      <c r="H744" t="s">
        <v>172</v>
      </c>
      <c r="I744" t="s">
        <v>177</v>
      </c>
      <c r="J744" t="s">
        <v>178</v>
      </c>
      <c r="K744" t="s">
        <v>102</v>
      </c>
      <c r="L744" t="s">
        <v>96</v>
      </c>
      <c r="M744" t="s">
        <v>103</v>
      </c>
      <c r="N744" t="s">
        <v>31</v>
      </c>
      <c r="O744" t="s">
        <v>104</v>
      </c>
      <c r="P744">
        <v>4</v>
      </c>
      <c r="Q744" t="b">
        <v>0</v>
      </c>
      <c r="R744" s="1">
        <v>44039.336111111108</v>
      </c>
      <c r="V744" s="2">
        <v>44039.336111111108</v>
      </c>
      <c r="W744">
        <v>7</v>
      </c>
      <c r="X744">
        <v>2020</v>
      </c>
      <c r="Y744" t="s">
        <v>172</v>
      </c>
      <c r="Z744">
        <v>4</v>
      </c>
    </row>
    <row r="745" spans="1:26" x14ac:dyDescent="0.45">
      <c r="A745">
        <v>2783</v>
      </c>
      <c r="B745">
        <v>1216</v>
      </c>
      <c r="C745" t="s">
        <v>120</v>
      </c>
      <c r="D745" t="s">
        <v>22</v>
      </c>
      <c r="E745">
        <v>68</v>
      </c>
      <c r="F745">
        <v>747</v>
      </c>
      <c r="G745" t="s">
        <v>121</v>
      </c>
      <c r="H745" t="s">
        <v>35</v>
      </c>
      <c r="I745" t="s">
        <v>122</v>
      </c>
      <c r="J745" t="s">
        <v>123</v>
      </c>
      <c r="K745" t="s">
        <v>37</v>
      </c>
      <c r="L745" t="s">
        <v>67</v>
      </c>
      <c r="M745" t="s">
        <v>108</v>
      </c>
      <c r="N745" t="s">
        <v>99</v>
      </c>
      <c r="O745" t="s">
        <v>30</v>
      </c>
      <c r="P745">
        <v>4</v>
      </c>
      <c r="Q745" t="b">
        <v>1</v>
      </c>
      <c r="R745" s="1">
        <v>44356.760416666664</v>
      </c>
      <c r="S745" s="1">
        <v>44360.615972222222</v>
      </c>
      <c r="T745" t="s">
        <v>40</v>
      </c>
      <c r="U745" t="b">
        <v>0</v>
      </c>
      <c r="V745" s="2">
        <v>44356.760416666664</v>
      </c>
      <c r="W745">
        <v>6</v>
      </c>
      <c r="X745">
        <v>2021</v>
      </c>
      <c r="Y745" t="s">
        <v>35</v>
      </c>
      <c r="Z745">
        <v>4</v>
      </c>
    </row>
    <row r="746" spans="1:26" x14ac:dyDescent="0.45">
      <c r="A746">
        <v>2784</v>
      </c>
      <c r="B746">
        <v>1166</v>
      </c>
      <c r="C746" t="s">
        <v>397</v>
      </c>
      <c r="D746" t="s">
        <v>22</v>
      </c>
      <c r="E746">
        <v>70</v>
      </c>
      <c r="F746">
        <v>754</v>
      </c>
      <c r="G746" t="s">
        <v>398</v>
      </c>
      <c r="H746" t="s">
        <v>172</v>
      </c>
      <c r="I746" t="s">
        <v>173</v>
      </c>
      <c r="J746" t="s">
        <v>399</v>
      </c>
      <c r="K746" t="s">
        <v>27</v>
      </c>
      <c r="L746" t="s">
        <v>76</v>
      </c>
      <c r="M746" t="s">
        <v>126</v>
      </c>
      <c r="N746" t="s">
        <v>98</v>
      </c>
      <c r="O746" t="s">
        <v>99</v>
      </c>
      <c r="P746">
        <v>5</v>
      </c>
      <c r="Q746" t="b">
        <v>1</v>
      </c>
      <c r="R746" s="1">
        <v>43935.284722222219</v>
      </c>
      <c r="S746" s="1">
        <v>43939.131944444445</v>
      </c>
      <c r="T746" t="s">
        <v>109</v>
      </c>
      <c r="U746" t="b">
        <v>1</v>
      </c>
      <c r="V746" s="2">
        <v>43935.284722222219</v>
      </c>
      <c r="W746">
        <v>4</v>
      </c>
      <c r="X746">
        <v>2020</v>
      </c>
      <c r="Y746" t="s">
        <v>172</v>
      </c>
      <c r="Z746">
        <v>5</v>
      </c>
    </row>
    <row r="747" spans="1:26" x14ac:dyDescent="0.45">
      <c r="A747">
        <v>2785</v>
      </c>
      <c r="B747">
        <v>1409</v>
      </c>
      <c r="C747" t="s">
        <v>400</v>
      </c>
      <c r="D747" t="s">
        <v>22</v>
      </c>
      <c r="E747">
        <v>59</v>
      </c>
      <c r="F747">
        <v>760</v>
      </c>
      <c r="G747" t="s">
        <v>401</v>
      </c>
      <c r="H747" t="s">
        <v>63</v>
      </c>
      <c r="I747" t="s">
        <v>64</v>
      </c>
      <c r="J747" t="s">
        <v>164</v>
      </c>
      <c r="K747" t="s">
        <v>66</v>
      </c>
      <c r="L747" t="s">
        <v>28</v>
      </c>
      <c r="M747" t="s">
        <v>142</v>
      </c>
      <c r="N747" t="s">
        <v>143</v>
      </c>
      <c r="O747" t="s">
        <v>144</v>
      </c>
      <c r="P747">
        <v>5</v>
      </c>
      <c r="Q747" t="b">
        <v>1</v>
      </c>
      <c r="R747" s="1">
        <v>44897.496527777781</v>
      </c>
      <c r="S747" s="1">
        <v>44904.097222222219</v>
      </c>
      <c r="T747" t="s">
        <v>32</v>
      </c>
      <c r="U747" t="b">
        <v>0</v>
      </c>
      <c r="V747" s="2">
        <v>44897.496527777781</v>
      </c>
      <c r="W747">
        <v>12</v>
      </c>
      <c r="X747">
        <v>2022</v>
      </c>
      <c r="Y747" t="s">
        <v>63</v>
      </c>
      <c r="Z747">
        <v>5</v>
      </c>
    </row>
    <row r="748" spans="1:26" x14ac:dyDescent="0.45">
      <c r="A748">
        <v>2786</v>
      </c>
      <c r="B748">
        <v>1094</v>
      </c>
      <c r="C748" t="s">
        <v>238</v>
      </c>
      <c r="D748" t="s">
        <v>42</v>
      </c>
      <c r="E748">
        <v>36</v>
      </c>
      <c r="F748">
        <v>683</v>
      </c>
      <c r="G748" t="s">
        <v>239</v>
      </c>
      <c r="H748" t="s">
        <v>172</v>
      </c>
      <c r="I748" t="s">
        <v>177</v>
      </c>
      <c r="J748" t="s">
        <v>178</v>
      </c>
      <c r="K748" t="s">
        <v>55</v>
      </c>
      <c r="L748" t="s">
        <v>56</v>
      </c>
      <c r="M748" t="s">
        <v>88</v>
      </c>
      <c r="N748" t="s">
        <v>89</v>
      </c>
      <c r="O748" t="s">
        <v>90</v>
      </c>
      <c r="P748">
        <v>2</v>
      </c>
      <c r="Q748" t="b">
        <v>1</v>
      </c>
      <c r="R748" s="1">
        <v>43931.177777777775</v>
      </c>
      <c r="S748" s="1">
        <v>43931.49722222222</v>
      </c>
      <c r="T748" t="s">
        <v>32</v>
      </c>
      <c r="U748" t="b">
        <v>0</v>
      </c>
      <c r="V748" s="2">
        <v>43931.177777777775</v>
      </c>
      <c r="W748">
        <v>4</v>
      </c>
      <c r="X748">
        <v>2020</v>
      </c>
      <c r="Y748" t="s">
        <v>172</v>
      </c>
      <c r="Z748">
        <v>2</v>
      </c>
    </row>
    <row r="749" spans="1:26" x14ac:dyDescent="0.45">
      <c r="A749">
        <v>2787</v>
      </c>
      <c r="B749">
        <v>1266</v>
      </c>
      <c r="C749" t="s">
        <v>402</v>
      </c>
      <c r="D749" t="s">
        <v>42</v>
      </c>
      <c r="E749">
        <v>45</v>
      </c>
      <c r="F749">
        <v>715</v>
      </c>
      <c r="G749" t="s">
        <v>403</v>
      </c>
      <c r="H749" t="s">
        <v>52</v>
      </c>
      <c r="I749" t="s">
        <v>150</v>
      </c>
      <c r="J749" t="s">
        <v>306</v>
      </c>
      <c r="K749" t="s">
        <v>66</v>
      </c>
      <c r="L749" t="s">
        <v>28</v>
      </c>
      <c r="M749" t="s">
        <v>38</v>
      </c>
      <c r="N749" t="s">
        <v>31</v>
      </c>
      <c r="O749" t="s">
        <v>39</v>
      </c>
      <c r="P749">
        <v>5</v>
      </c>
      <c r="Q749" t="b">
        <v>0</v>
      </c>
      <c r="R749" s="1">
        <v>45186.179861111108</v>
      </c>
      <c r="V749" s="2">
        <v>45186.179861111108</v>
      </c>
      <c r="W749">
        <v>9</v>
      </c>
      <c r="X749">
        <v>2023</v>
      </c>
      <c r="Y749" t="s">
        <v>52</v>
      </c>
      <c r="Z749">
        <v>5</v>
      </c>
    </row>
    <row r="750" spans="1:26" x14ac:dyDescent="0.45">
      <c r="A750">
        <v>2788</v>
      </c>
      <c r="B750">
        <v>1428</v>
      </c>
      <c r="C750" t="s">
        <v>226</v>
      </c>
      <c r="D750" t="s">
        <v>22</v>
      </c>
      <c r="E750">
        <v>66</v>
      </c>
      <c r="F750">
        <v>757</v>
      </c>
      <c r="G750" t="s">
        <v>227</v>
      </c>
      <c r="H750" t="s">
        <v>73</v>
      </c>
      <c r="I750" t="s">
        <v>140</v>
      </c>
      <c r="J750" t="s">
        <v>228</v>
      </c>
      <c r="K750" t="s">
        <v>66</v>
      </c>
      <c r="L750" t="s">
        <v>56</v>
      </c>
      <c r="M750" t="s">
        <v>88</v>
      </c>
      <c r="N750" t="s">
        <v>89</v>
      </c>
      <c r="O750" t="s">
        <v>90</v>
      </c>
      <c r="P750">
        <v>4</v>
      </c>
      <c r="Q750" t="b">
        <v>0</v>
      </c>
      <c r="R750" s="1">
        <v>45045.393055555556</v>
      </c>
      <c r="V750" s="2">
        <v>45045.393055555556</v>
      </c>
      <c r="W750">
        <v>4</v>
      </c>
      <c r="X750">
        <v>2023</v>
      </c>
      <c r="Y750" t="s">
        <v>73</v>
      </c>
      <c r="Z750">
        <v>4</v>
      </c>
    </row>
    <row r="751" spans="1:26" x14ac:dyDescent="0.45">
      <c r="A751">
        <v>2789</v>
      </c>
      <c r="B751">
        <v>1453</v>
      </c>
      <c r="C751" t="s">
        <v>287</v>
      </c>
      <c r="D751" t="s">
        <v>22</v>
      </c>
      <c r="E751">
        <v>15</v>
      </c>
      <c r="H751" t="s">
        <v>52</v>
      </c>
      <c r="I751" t="s">
        <v>53</v>
      </c>
      <c r="J751" t="s">
        <v>54</v>
      </c>
      <c r="K751" t="s">
        <v>46</v>
      </c>
      <c r="L751" t="s">
        <v>56</v>
      </c>
      <c r="M751" t="s">
        <v>88</v>
      </c>
      <c r="N751" t="s">
        <v>89</v>
      </c>
      <c r="O751" t="s">
        <v>90</v>
      </c>
      <c r="P751">
        <v>4</v>
      </c>
      <c r="Q751" t="b">
        <v>0</v>
      </c>
      <c r="R751" s="1">
        <v>44343.915277777778</v>
      </c>
      <c r="V751" s="2">
        <v>44343.915277777778</v>
      </c>
      <c r="W751">
        <v>5</v>
      </c>
      <c r="X751">
        <v>2021</v>
      </c>
      <c r="Y751" t="s">
        <v>52</v>
      </c>
      <c r="Z751">
        <v>4</v>
      </c>
    </row>
    <row r="752" spans="1:26" x14ac:dyDescent="0.45">
      <c r="A752">
        <v>2790</v>
      </c>
      <c r="B752">
        <v>1268</v>
      </c>
      <c r="C752" t="s">
        <v>404</v>
      </c>
      <c r="D752" t="s">
        <v>42</v>
      </c>
      <c r="E752">
        <v>69</v>
      </c>
      <c r="F752">
        <v>754</v>
      </c>
      <c r="G752" t="s">
        <v>405</v>
      </c>
      <c r="H752" t="s">
        <v>93</v>
      </c>
      <c r="I752" t="s">
        <v>112</v>
      </c>
      <c r="J752" t="s">
        <v>242</v>
      </c>
      <c r="K752" t="s">
        <v>46</v>
      </c>
      <c r="L752" t="s">
        <v>76</v>
      </c>
      <c r="M752" t="s">
        <v>160</v>
      </c>
      <c r="N752" t="s">
        <v>79</v>
      </c>
      <c r="O752" t="s">
        <v>161</v>
      </c>
      <c r="P752">
        <v>4</v>
      </c>
      <c r="Q752" t="b">
        <v>1</v>
      </c>
      <c r="R752" s="1">
        <v>43970.754166666666</v>
      </c>
      <c r="S752" s="1">
        <v>43976.747916666667</v>
      </c>
      <c r="T752" t="s">
        <v>32</v>
      </c>
      <c r="U752" t="b">
        <v>0</v>
      </c>
      <c r="V752" s="2">
        <v>43970.754166666666</v>
      </c>
      <c r="W752">
        <v>5</v>
      </c>
      <c r="X752">
        <v>2020</v>
      </c>
      <c r="Y752" t="s">
        <v>93</v>
      </c>
      <c r="Z752">
        <v>4</v>
      </c>
    </row>
    <row r="753" spans="1:26" x14ac:dyDescent="0.45">
      <c r="A753">
        <v>2791</v>
      </c>
      <c r="B753">
        <v>1332</v>
      </c>
      <c r="C753" t="s">
        <v>406</v>
      </c>
      <c r="D753" t="s">
        <v>22</v>
      </c>
      <c r="E753">
        <v>33</v>
      </c>
      <c r="F753">
        <v>699</v>
      </c>
      <c r="G753" t="s">
        <v>407</v>
      </c>
      <c r="H753" t="s">
        <v>129</v>
      </c>
      <c r="I753" t="s">
        <v>130</v>
      </c>
      <c r="J753" t="s">
        <v>131</v>
      </c>
      <c r="K753" t="s">
        <v>102</v>
      </c>
      <c r="L753" t="s">
        <v>67</v>
      </c>
      <c r="M753" t="s">
        <v>108</v>
      </c>
      <c r="N753" t="s">
        <v>99</v>
      </c>
      <c r="O753" t="s">
        <v>30</v>
      </c>
      <c r="P753">
        <v>2</v>
      </c>
      <c r="Q753" t="b">
        <v>0</v>
      </c>
      <c r="R753" s="1">
        <v>44719.154166666667</v>
      </c>
      <c r="V753" s="2">
        <v>44719.154166666667</v>
      </c>
      <c r="W753">
        <v>6</v>
      </c>
      <c r="X753">
        <v>2022</v>
      </c>
      <c r="Y753" t="s">
        <v>129</v>
      </c>
      <c r="Z753">
        <v>2</v>
      </c>
    </row>
    <row r="754" spans="1:26" x14ac:dyDescent="0.45">
      <c r="A754">
        <v>2792</v>
      </c>
      <c r="B754">
        <v>1022</v>
      </c>
      <c r="C754" t="s">
        <v>408</v>
      </c>
      <c r="D754" t="s">
        <v>42</v>
      </c>
      <c r="E754">
        <v>61</v>
      </c>
      <c r="F754">
        <v>759</v>
      </c>
      <c r="G754" t="s">
        <v>409</v>
      </c>
      <c r="H754" t="s">
        <v>129</v>
      </c>
      <c r="I754" t="s">
        <v>263</v>
      </c>
      <c r="J754" t="s">
        <v>278</v>
      </c>
      <c r="K754" t="s">
        <v>27</v>
      </c>
      <c r="L754" t="s">
        <v>96</v>
      </c>
      <c r="M754" t="s">
        <v>97</v>
      </c>
      <c r="N754" t="s">
        <v>98</v>
      </c>
      <c r="O754" t="s">
        <v>99</v>
      </c>
      <c r="P754">
        <v>2</v>
      </c>
      <c r="Q754" t="b">
        <v>0</v>
      </c>
      <c r="R754" s="1">
        <v>45126.088888888888</v>
      </c>
      <c r="V754" s="2">
        <v>45126.088888888888</v>
      </c>
      <c r="W754">
        <v>7</v>
      </c>
      <c r="X754">
        <v>2023</v>
      </c>
      <c r="Y754" t="s">
        <v>129</v>
      </c>
      <c r="Z754">
        <v>2</v>
      </c>
    </row>
    <row r="755" spans="1:26" x14ac:dyDescent="0.45">
      <c r="A755">
        <v>2793</v>
      </c>
      <c r="B755">
        <v>1472</v>
      </c>
      <c r="C755" t="s">
        <v>209</v>
      </c>
      <c r="D755" t="s">
        <v>42</v>
      </c>
      <c r="E755">
        <v>46</v>
      </c>
      <c r="F755">
        <v>733</v>
      </c>
      <c r="G755" t="s">
        <v>210</v>
      </c>
      <c r="H755" t="s">
        <v>63</v>
      </c>
      <c r="I755" t="s">
        <v>64</v>
      </c>
      <c r="J755" t="s">
        <v>164</v>
      </c>
      <c r="K755" t="s">
        <v>55</v>
      </c>
      <c r="L755" t="s">
        <v>28</v>
      </c>
      <c r="M755" t="s">
        <v>29</v>
      </c>
      <c r="N755" t="s">
        <v>30</v>
      </c>
      <c r="O755" t="s">
        <v>31</v>
      </c>
      <c r="P755">
        <v>5</v>
      </c>
      <c r="Q755" t="b">
        <v>1</v>
      </c>
      <c r="R755" s="1">
        <v>44098.400000000001</v>
      </c>
      <c r="S755" s="1">
        <v>44098.549305555556</v>
      </c>
      <c r="T755" t="s">
        <v>32</v>
      </c>
      <c r="U755" t="b">
        <v>0</v>
      </c>
      <c r="V755" s="2">
        <v>44098.400000000001</v>
      </c>
      <c r="W755">
        <v>9</v>
      </c>
      <c r="X755">
        <v>2020</v>
      </c>
      <c r="Y755" t="s">
        <v>63</v>
      </c>
      <c r="Z755">
        <v>5</v>
      </c>
    </row>
    <row r="756" spans="1:26" x14ac:dyDescent="0.45">
      <c r="A756">
        <v>2794</v>
      </c>
      <c r="B756">
        <v>1434</v>
      </c>
      <c r="C756" t="s">
        <v>410</v>
      </c>
      <c r="D756" t="s">
        <v>22</v>
      </c>
      <c r="E756">
        <v>75</v>
      </c>
      <c r="F756">
        <v>754</v>
      </c>
      <c r="G756" t="s">
        <v>411</v>
      </c>
      <c r="H756" t="s">
        <v>93</v>
      </c>
      <c r="I756" t="s">
        <v>112</v>
      </c>
      <c r="J756" t="s">
        <v>113</v>
      </c>
      <c r="K756" t="s">
        <v>27</v>
      </c>
      <c r="L756" t="s">
        <v>56</v>
      </c>
      <c r="M756" t="s">
        <v>179</v>
      </c>
      <c r="N756" t="s">
        <v>79</v>
      </c>
      <c r="O756" t="s">
        <v>161</v>
      </c>
      <c r="P756">
        <v>2</v>
      </c>
      <c r="Q756" t="b">
        <v>1</v>
      </c>
      <c r="R756" s="1">
        <v>44533.124305555553</v>
      </c>
      <c r="S756" s="1">
        <v>44537.638194444444</v>
      </c>
      <c r="T756" t="s">
        <v>60</v>
      </c>
      <c r="U756" t="b">
        <v>0</v>
      </c>
      <c r="V756" s="2">
        <v>44533.124305555553</v>
      </c>
      <c r="W756">
        <v>12</v>
      </c>
      <c r="X756">
        <v>2021</v>
      </c>
      <c r="Y756" t="s">
        <v>93</v>
      </c>
      <c r="Z756">
        <v>2</v>
      </c>
    </row>
    <row r="757" spans="1:26" x14ac:dyDescent="0.45">
      <c r="A757">
        <v>2795</v>
      </c>
      <c r="B757">
        <v>1038</v>
      </c>
      <c r="C757" t="s">
        <v>412</v>
      </c>
      <c r="D757" t="s">
        <v>22</v>
      </c>
      <c r="E757">
        <v>63</v>
      </c>
      <c r="F757">
        <v>745</v>
      </c>
      <c r="G757" t="s">
        <v>413</v>
      </c>
      <c r="H757" t="s">
        <v>73</v>
      </c>
      <c r="I757" t="s">
        <v>74</v>
      </c>
      <c r="J757" t="s">
        <v>157</v>
      </c>
      <c r="K757" t="s">
        <v>102</v>
      </c>
      <c r="L757" t="s">
        <v>56</v>
      </c>
      <c r="M757" t="s">
        <v>179</v>
      </c>
      <c r="N757" t="s">
        <v>79</v>
      </c>
      <c r="O757" t="s">
        <v>161</v>
      </c>
      <c r="P757">
        <v>5</v>
      </c>
      <c r="Q757" t="b">
        <v>1</v>
      </c>
      <c r="R757" s="1">
        <v>44516.491666666669</v>
      </c>
      <c r="S757" s="1">
        <v>44518.486111111109</v>
      </c>
      <c r="T757" t="s">
        <v>40</v>
      </c>
      <c r="U757" t="b">
        <v>0</v>
      </c>
      <c r="V757" s="2">
        <v>44516.491666666669</v>
      </c>
      <c r="W757">
        <v>11</v>
      </c>
      <c r="X757">
        <v>2021</v>
      </c>
      <c r="Y757" t="s">
        <v>73</v>
      </c>
      <c r="Z757">
        <v>5</v>
      </c>
    </row>
    <row r="758" spans="1:26" x14ac:dyDescent="0.45">
      <c r="A758">
        <v>2796</v>
      </c>
      <c r="B758">
        <v>1121</v>
      </c>
      <c r="C758" t="s">
        <v>414</v>
      </c>
      <c r="D758" t="s">
        <v>42</v>
      </c>
      <c r="E758">
        <v>34</v>
      </c>
      <c r="F758">
        <v>698</v>
      </c>
      <c r="G758" t="s">
        <v>415</v>
      </c>
      <c r="H758" t="s">
        <v>93</v>
      </c>
      <c r="I758" t="s">
        <v>112</v>
      </c>
      <c r="J758" t="s">
        <v>242</v>
      </c>
      <c r="K758" t="s">
        <v>55</v>
      </c>
      <c r="L758" t="s">
        <v>28</v>
      </c>
      <c r="M758" t="s">
        <v>142</v>
      </c>
      <c r="N758" t="s">
        <v>143</v>
      </c>
      <c r="O758" t="s">
        <v>144</v>
      </c>
      <c r="P758">
        <v>4</v>
      </c>
      <c r="Q758" t="b">
        <v>1</v>
      </c>
      <c r="R758" s="1">
        <v>44208.991666666669</v>
      </c>
      <c r="S758" s="1">
        <v>44209.619444444441</v>
      </c>
      <c r="T758" t="s">
        <v>32</v>
      </c>
      <c r="U758" t="b">
        <v>0</v>
      </c>
      <c r="V758" s="2">
        <v>44208.991666666669</v>
      </c>
      <c r="W758">
        <v>1</v>
      </c>
      <c r="X758">
        <v>2021</v>
      </c>
      <c r="Y758" t="s">
        <v>93</v>
      </c>
      <c r="Z758">
        <v>4</v>
      </c>
    </row>
    <row r="759" spans="1:26" x14ac:dyDescent="0.45">
      <c r="A759">
        <v>2797</v>
      </c>
      <c r="B759">
        <v>1464</v>
      </c>
      <c r="C759" t="s">
        <v>416</v>
      </c>
      <c r="D759" t="s">
        <v>42</v>
      </c>
      <c r="E759">
        <v>46</v>
      </c>
      <c r="F759">
        <v>713</v>
      </c>
      <c r="G759" t="s">
        <v>417</v>
      </c>
      <c r="H759" t="s">
        <v>24</v>
      </c>
      <c r="I759" t="s">
        <v>25</v>
      </c>
      <c r="J759" t="s">
        <v>26</v>
      </c>
      <c r="K759" t="s">
        <v>102</v>
      </c>
      <c r="L759" t="s">
        <v>96</v>
      </c>
      <c r="M759" t="s">
        <v>118</v>
      </c>
      <c r="N759" t="s">
        <v>90</v>
      </c>
      <c r="O759" t="s">
        <v>119</v>
      </c>
      <c r="P759">
        <v>4</v>
      </c>
      <c r="Q759" t="b">
        <v>1</v>
      </c>
      <c r="R759" s="1">
        <v>44528.432638888888</v>
      </c>
      <c r="S759" s="1">
        <v>44531.40902777778</v>
      </c>
      <c r="T759" t="s">
        <v>60</v>
      </c>
      <c r="U759" t="b">
        <v>0</v>
      </c>
      <c r="V759" s="2">
        <v>44528.432638888888</v>
      </c>
      <c r="W759">
        <v>11</v>
      </c>
      <c r="X759">
        <v>2021</v>
      </c>
      <c r="Y759" t="s">
        <v>24</v>
      </c>
      <c r="Z759">
        <v>4</v>
      </c>
    </row>
    <row r="760" spans="1:26" x14ac:dyDescent="0.45">
      <c r="A760">
        <v>2798</v>
      </c>
      <c r="B760">
        <v>1085</v>
      </c>
      <c r="C760" t="s">
        <v>418</v>
      </c>
      <c r="D760" t="s">
        <v>22</v>
      </c>
      <c r="E760">
        <v>45</v>
      </c>
      <c r="F760">
        <v>726</v>
      </c>
      <c r="G760" t="s">
        <v>419</v>
      </c>
      <c r="H760" t="s">
        <v>35</v>
      </c>
      <c r="I760" t="s">
        <v>36</v>
      </c>
      <c r="J760" t="s">
        <v>36</v>
      </c>
      <c r="K760" t="s">
        <v>46</v>
      </c>
      <c r="L760" t="s">
        <v>28</v>
      </c>
      <c r="M760" t="s">
        <v>38</v>
      </c>
      <c r="N760" t="s">
        <v>31</v>
      </c>
      <c r="O760" t="s">
        <v>39</v>
      </c>
      <c r="P760">
        <v>4</v>
      </c>
      <c r="Q760" t="b">
        <v>1</v>
      </c>
      <c r="R760" s="1">
        <v>44083.436805555553</v>
      </c>
      <c r="S760" s="1">
        <v>44086.587500000001</v>
      </c>
      <c r="T760" t="s">
        <v>109</v>
      </c>
      <c r="U760" t="b">
        <v>0</v>
      </c>
      <c r="V760" s="2">
        <v>44083.436805555553</v>
      </c>
      <c r="W760">
        <v>9</v>
      </c>
      <c r="X760">
        <v>2020</v>
      </c>
      <c r="Y760" t="s">
        <v>35</v>
      </c>
      <c r="Z760">
        <v>4</v>
      </c>
    </row>
    <row r="761" spans="1:26" x14ac:dyDescent="0.45">
      <c r="A761">
        <v>2799</v>
      </c>
      <c r="B761">
        <v>1115</v>
      </c>
      <c r="C761" t="s">
        <v>420</v>
      </c>
      <c r="D761" t="s">
        <v>42</v>
      </c>
      <c r="E761">
        <v>14</v>
      </c>
      <c r="H761" t="s">
        <v>35</v>
      </c>
      <c r="I761" t="s">
        <v>122</v>
      </c>
      <c r="J761" t="s">
        <v>82</v>
      </c>
      <c r="K761" t="s">
        <v>102</v>
      </c>
      <c r="L761" t="s">
        <v>96</v>
      </c>
      <c r="M761" t="s">
        <v>136</v>
      </c>
      <c r="N761" t="s">
        <v>30</v>
      </c>
      <c r="O761" t="s">
        <v>137</v>
      </c>
      <c r="P761">
        <v>3</v>
      </c>
      <c r="Q761" t="b">
        <v>0</v>
      </c>
      <c r="R761" s="1">
        <v>44595.25</v>
      </c>
      <c r="V761" s="2">
        <v>44595.25</v>
      </c>
      <c r="W761">
        <v>2</v>
      </c>
      <c r="X761">
        <v>2022</v>
      </c>
      <c r="Y761" t="s">
        <v>35</v>
      </c>
      <c r="Z761">
        <v>3</v>
      </c>
    </row>
    <row r="762" spans="1:26" x14ac:dyDescent="0.45">
      <c r="A762">
        <v>2800</v>
      </c>
      <c r="B762">
        <v>1308</v>
      </c>
      <c r="C762" t="s">
        <v>421</v>
      </c>
      <c r="D762" t="s">
        <v>42</v>
      </c>
      <c r="E762">
        <v>58</v>
      </c>
      <c r="F762">
        <v>747</v>
      </c>
      <c r="G762" t="s">
        <v>422</v>
      </c>
      <c r="H762" t="s">
        <v>172</v>
      </c>
      <c r="I762" t="s">
        <v>173</v>
      </c>
      <c r="J762" t="s">
        <v>423</v>
      </c>
      <c r="K762" t="s">
        <v>102</v>
      </c>
      <c r="L762" t="s">
        <v>76</v>
      </c>
      <c r="M762" t="s">
        <v>126</v>
      </c>
      <c r="N762" t="s">
        <v>98</v>
      </c>
      <c r="O762" t="s">
        <v>99</v>
      </c>
      <c r="P762">
        <v>3</v>
      </c>
      <c r="Q762" t="b">
        <v>1</v>
      </c>
      <c r="R762" s="1">
        <v>44315.48333333333</v>
      </c>
      <c r="S762" s="1">
        <v>44320.60833333333</v>
      </c>
      <c r="T762" t="s">
        <v>40</v>
      </c>
      <c r="U762" t="b">
        <v>0</v>
      </c>
      <c r="V762" s="2">
        <v>44315.48333333333</v>
      </c>
      <c r="W762">
        <v>4</v>
      </c>
      <c r="X762">
        <v>2021</v>
      </c>
      <c r="Y762" t="s">
        <v>172</v>
      </c>
      <c r="Z762">
        <v>3</v>
      </c>
    </row>
    <row r="763" spans="1:26" x14ac:dyDescent="0.45">
      <c r="A763">
        <v>2801</v>
      </c>
      <c r="B763">
        <v>1424</v>
      </c>
      <c r="C763" t="s">
        <v>216</v>
      </c>
      <c r="D763" t="s">
        <v>42</v>
      </c>
      <c r="E763">
        <v>31</v>
      </c>
      <c r="F763">
        <v>689</v>
      </c>
      <c r="G763" t="s">
        <v>217</v>
      </c>
      <c r="H763" t="s">
        <v>85</v>
      </c>
      <c r="I763" t="s">
        <v>86</v>
      </c>
      <c r="J763" t="s">
        <v>182</v>
      </c>
      <c r="K763" t="s">
        <v>55</v>
      </c>
      <c r="L763" t="s">
        <v>56</v>
      </c>
      <c r="M763" t="s">
        <v>88</v>
      </c>
      <c r="N763" t="s">
        <v>89</v>
      </c>
      <c r="O763" t="s">
        <v>90</v>
      </c>
      <c r="P763">
        <v>1</v>
      </c>
      <c r="Q763" t="b">
        <v>1</v>
      </c>
      <c r="R763" s="1">
        <v>44824.986111111109</v>
      </c>
      <c r="S763" s="1">
        <v>44828.336111111108</v>
      </c>
      <c r="T763" t="s">
        <v>109</v>
      </c>
      <c r="U763" t="b">
        <v>0</v>
      </c>
      <c r="V763" s="2">
        <v>44824.986111111109</v>
      </c>
      <c r="W763">
        <v>9</v>
      </c>
      <c r="X763">
        <v>2022</v>
      </c>
      <c r="Y763" t="s">
        <v>85</v>
      </c>
      <c r="Z763">
        <v>1</v>
      </c>
    </row>
    <row r="764" spans="1:26" x14ac:dyDescent="0.45">
      <c r="A764">
        <v>2802</v>
      </c>
      <c r="B764">
        <v>1473</v>
      </c>
      <c r="C764" t="s">
        <v>424</v>
      </c>
      <c r="D764" t="s">
        <v>22</v>
      </c>
      <c r="E764">
        <v>69</v>
      </c>
      <c r="F764">
        <v>759</v>
      </c>
      <c r="G764" t="s">
        <v>425</v>
      </c>
      <c r="H764" t="s">
        <v>35</v>
      </c>
      <c r="I764" t="s">
        <v>122</v>
      </c>
      <c r="J764" t="s">
        <v>82</v>
      </c>
      <c r="K764" t="s">
        <v>37</v>
      </c>
      <c r="L764" t="s">
        <v>96</v>
      </c>
      <c r="M764" t="s">
        <v>97</v>
      </c>
      <c r="N764" t="s">
        <v>98</v>
      </c>
      <c r="O764" t="s">
        <v>99</v>
      </c>
      <c r="P764">
        <v>3</v>
      </c>
      <c r="Q764" t="b">
        <v>1</v>
      </c>
      <c r="R764" s="1">
        <v>44740.078472222223</v>
      </c>
      <c r="S764" s="1">
        <v>44742.770833333336</v>
      </c>
      <c r="T764" t="s">
        <v>32</v>
      </c>
      <c r="U764" t="b">
        <v>0</v>
      </c>
      <c r="V764" s="2">
        <v>44740.078472222223</v>
      </c>
      <c r="W764">
        <v>6</v>
      </c>
      <c r="X764">
        <v>2022</v>
      </c>
      <c r="Y764" t="s">
        <v>35</v>
      </c>
      <c r="Z764">
        <v>3</v>
      </c>
    </row>
    <row r="765" spans="1:26" x14ac:dyDescent="0.45">
      <c r="A765">
        <v>2803</v>
      </c>
      <c r="B765">
        <v>1305</v>
      </c>
      <c r="C765" t="s">
        <v>426</v>
      </c>
      <c r="D765" t="s">
        <v>22</v>
      </c>
      <c r="E765">
        <v>34</v>
      </c>
      <c r="F765">
        <v>694</v>
      </c>
      <c r="G765" t="s">
        <v>427</v>
      </c>
      <c r="H765" t="s">
        <v>73</v>
      </c>
      <c r="I765" t="s">
        <v>140</v>
      </c>
      <c r="J765" t="s">
        <v>213</v>
      </c>
      <c r="K765" t="s">
        <v>66</v>
      </c>
      <c r="L765" t="s">
        <v>28</v>
      </c>
      <c r="M765" t="s">
        <v>47</v>
      </c>
      <c r="N765" t="s">
        <v>48</v>
      </c>
      <c r="O765" t="s">
        <v>49</v>
      </c>
      <c r="P765">
        <v>3</v>
      </c>
      <c r="Q765" t="b">
        <v>1</v>
      </c>
      <c r="R765" s="1">
        <v>44263.091666666667</v>
      </c>
      <c r="S765" s="1">
        <v>44266.558333333334</v>
      </c>
      <c r="T765" t="s">
        <v>109</v>
      </c>
      <c r="U765" t="b">
        <v>0</v>
      </c>
      <c r="V765" s="2">
        <v>44263.091666666667</v>
      </c>
      <c r="W765">
        <v>3</v>
      </c>
      <c r="X765">
        <v>2021</v>
      </c>
      <c r="Y765" t="s">
        <v>73</v>
      </c>
      <c r="Z765">
        <v>3</v>
      </c>
    </row>
    <row r="766" spans="1:26" x14ac:dyDescent="0.45">
      <c r="A766">
        <v>2804</v>
      </c>
      <c r="B766">
        <v>1391</v>
      </c>
      <c r="C766" t="s">
        <v>428</v>
      </c>
      <c r="D766" t="s">
        <v>42</v>
      </c>
      <c r="E766">
        <v>77</v>
      </c>
      <c r="F766">
        <v>760</v>
      </c>
      <c r="G766" t="s">
        <v>429</v>
      </c>
      <c r="H766" t="s">
        <v>172</v>
      </c>
      <c r="I766" t="s">
        <v>173</v>
      </c>
      <c r="J766" t="s">
        <v>174</v>
      </c>
      <c r="K766" t="s">
        <v>55</v>
      </c>
      <c r="L766" t="s">
        <v>56</v>
      </c>
      <c r="M766" t="s">
        <v>88</v>
      </c>
      <c r="N766" t="s">
        <v>89</v>
      </c>
      <c r="O766" t="s">
        <v>90</v>
      </c>
      <c r="P766">
        <v>1</v>
      </c>
      <c r="Q766" t="b">
        <v>1</v>
      </c>
      <c r="R766" s="1">
        <v>44064.65902777778</v>
      </c>
      <c r="S766" s="1">
        <v>44064.956250000003</v>
      </c>
      <c r="T766" t="s">
        <v>32</v>
      </c>
      <c r="U766" t="b">
        <v>1</v>
      </c>
      <c r="V766" s="2">
        <v>44064.65902777778</v>
      </c>
      <c r="W766">
        <v>8</v>
      </c>
      <c r="X766">
        <v>2020</v>
      </c>
      <c r="Y766" t="s">
        <v>172</v>
      </c>
      <c r="Z766">
        <v>1</v>
      </c>
    </row>
    <row r="767" spans="1:26" x14ac:dyDescent="0.45">
      <c r="A767">
        <v>2805</v>
      </c>
      <c r="B767">
        <v>1322</v>
      </c>
      <c r="C767" t="s">
        <v>430</v>
      </c>
      <c r="D767" t="s">
        <v>22</v>
      </c>
      <c r="E767">
        <v>49</v>
      </c>
      <c r="F767">
        <v>730</v>
      </c>
      <c r="G767" t="s">
        <v>431</v>
      </c>
      <c r="H767" t="s">
        <v>85</v>
      </c>
      <c r="I767" t="s">
        <v>86</v>
      </c>
      <c r="J767" t="s">
        <v>182</v>
      </c>
      <c r="K767" t="s">
        <v>46</v>
      </c>
      <c r="L767" t="s">
        <v>76</v>
      </c>
      <c r="M767" t="s">
        <v>126</v>
      </c>
      <c r="N767" t="s">
        <v>98</v>
      </c>
      <c r="O767" t="s">
        <v>99</v>
      </c>
      <c r="P767">
        <v>5</v>
      </c>
      <c r="Q767" t="b">
        <v>1</v>
      </c>
      <c r="R767" s="1">
        <v>44006.393750000003</v>
      </c>
      <c r="S767" s="1">
        <v>44012.637499999997</v>
      </c>
      <c r="T767" t="s">
        <v>32</v>
      </c>
      <c r="U767" t="b">
        <v>0</v>
      </c>
      <c r="V767" s="2">
        <v>44006.393750000003</v>
      </c>
      <c r="W767">
        <v>6</v>
      </c>
      <c r="X767">
        <v>2020</v>
      </c>
      <c r="Y767" t="s">
        <v>85</v>
      </c>
      <c r="Z767">
        <v>5</v>
      </c>
    </row>
    <row r="768" spans="1:26" x14ac:dyDescent="0.45">
      <c r="A768">
        <v>2806</v>
      </c>
      <c r="B768">
        <v>1029</v>
      </c>
      <c r="C768" t="s">
        <v>155</v>
      </c>
      <c r="D768" t="s">
        <v>42</v>
      </c>
      <c r="E768">
        <v>60</v>
      </c>
      <c r="F768">
        <v>757</v>
      </c>
      <c r="G768" t="s">
        <v>156</v>
      </c>
      <c r="H768" t="s">
        <v>73</v>
      </c>
      <c r="I768" t="s">
        <v>74</v>
      </c>
      <c r="J768" t="s">
        <v>157</v>
      </c>
      <c r="K768" t="s">
        <v>37</v>
      </c>
      <c r="L768" t="s">
        <v>96</v>
      </c>
      <c r="M768" t="s">
        <v>118</v>
      </c>
      <c r="N768" t="s">
        <v>90</v>
      </c>
      <c r="O768" t="s">
        <v>119</v>
      </c>
      <c r="P768">
        <v>1</v>
      </c>
      <c r="Q768" t="b">
        <v>1</v>
      </c>
      <c r="R768" s="1">
        <v>45044.835416666669</v>
      </c>
      <c r="S768" s="1">
        <v>45049.943749999999</v>
      </c>
      <c r="T768" t="s">
        <v>32</v>
      </c>
      <c r="U768" t="b">
        <v>0</v>
      </c>
      <c r="V768" s="2">
        <v>45044.835416666669</v>
      </c>
      <c r="W768">
        <v>4</v>
      </c>
      <c r="X768">
        <v>2023</v>
      </c>
      <c r="Y768" t="s">
        <v>73</v>
      </c>
      <c r="Z768">
        <v>1</v>
      </c>
    </row>
    <row r="769" spans="1:26" x14ac:dyDescent="0.45">
      <c r="A769">
        <v>2807</v>
      </c>
      <c r="B769">
        <v>1301</v>
      </c>
      <c r="C769" t="s">
        <v>432</v>
      </c>
      <c r="D769" t="s">
        <v>22</v>
      </c>
      <c r="E769">
        <v>20</v>
      </c>
      <c r="F769">
        <v>670</v>
      </c>
      <c r="G769" t="s">
        <v>433</v>
      </c>
      <c r="H769" t="s">
        <v>24</v>
      </c>
      <c r="I769" t="s">
        <v>44</v>
      </c>
      <c r="J769" t="s">
        <v>45</v>
      </c>
      <c r="K769" t="s">
        <v>102</v>
      </c>
      <c r="L769" t="s">
        <v>76</v>
      </c>
      <c r="M769" t="s">
        <v>126</v>
      </c>
      <c r="N769" t="s">
        <v>98</v>
      </c>
      <c r="O769" t="s">
        <v>99</v>
      </c>
      <c r="P769">
        <v>1</v>
      </c>
      <c r="Q769" t="b">
        <v>1</v>
      </c>
      <c r="R769" s="1">
        <v>45116.634722222225</v>
      </c>
      <c r="S769" s="1">
        <v>45121.481944444444</v>
      </c>
      <c r="T769" t="s">
        <v>60</v>
      </c>
      <c r="U769" t="b">
        <v>0</v>
      </c>
      <c r="V769" s="2">
        <v>45116.634722222225</v>
      </c>
      <c r="W769">
        <v>7</v>
      </c>
      <c r="X769">
        <v>2023</v>
      </c>
      <c r="Y769" t="s">
        <v>24</v>
      </c>
      <c r="Z769">
        <v>1</v>
      </c>
    </row>
    <row r="770" spans="1:26" x14ac:dyDescent="0.45">
      <c r="A770">
        <v>2808</v>
      </c>
      <c r="B770">
        <v>1204</v>
      </c>
      <c r="C770" t="s">
        <v>365</v>
      </c>
      <c r="D770" t="s">
        <v>42</v>
      </c>
      <c r="E770">
        <v>15</v>
      </c>
      <c r="H770" t="s">
        <v>129</v>
      </c>
      <c r="I770" t="s">
        <v>130</v>
      </c>
      <c r="J770" t="s">
        <v>272</v>
      </c>
      <c r="K770" t="s">
        <v>27</v>
      </c>
      <c r="L770" t="s">
        <v>28</v>
      </c>
      <c r="M770" t="s">
        <v>38</v>
      </c>
      <c r="N770" t="s">
        <v>31</v>
      </c>
      <c r="O770" t="s">
        <v>39</v>
      </c>
      <c r="P770">
        <v>3</v>
      </c>
      <c r="Q770" t="b">
        <v>0</v>
      </c>
      <c r="R770" s="1">
        <v>45245.875694444447</v>
      </c>
      <c r="V770" s="2">
        <v>45245.875694444447</v>
      </c>
      <c r="W770">
        <v>11</v>
      </c>
      <c r="X770">
        <v>2023</v>
      </c>
      <c r="Y770" t="s">
        <v>129</v>
      </c>
      <c r="Z770">
        <v>3</v>
      </c>
    </row>
    <row r="771" spans="1:26" x14ac:dyDescent="0.45">
      <c r="A771">
        <v>2809</v>
      </c>
      <c r="B771">
        <v>1466</v>
      </c>
      <c r="C771" t="s">
        <v>191</v>
      </c>
      <c r="D771" t="s">
        <v>22</v>
      </c>
      <c r="E771">
        <v>73</v>
      </c>
      <c r="F771">
        <v>742</v>
      </c>
      <c r="G771" t="s">
        <v>192</v>
      </c>
      <c r="H771" t="s">
        <v>85</v>
      </c>
      <c r="I771" t="s">
        <v>116</v>
      </c>
      <c r="J771" t="s">
        <v>117</v>
      </c>
      <c r="K771" t="s">
        <v>66</v>
      </c>
      <c r="L771" t="s">
        <v>96</v>
      </c>
      <c r="M771" t="s">
        <v>97</v>
      </c>
      <c r="N771" t="s">
        <v>98</v>
      </c>
      <c r="O771" t="s">
        <v>99</v>
      </c>
      <c r="P771">
        <v>4</v>
      </c>
      <c r="Q771" t="b">
        <v>1</v>
      </c>
      <c r="R771" s="1">
        <v>44059.425694444442</v>
      </c>
      <c r="S771" s="1">
        <v>44066.136111111111</v>
      </c>
      <c r="T771" t="s">
        <v>32</v>
      </c>
      <c r="U771" t="b">
        <v>0</v>
      </c>
      <c r="V771" s="2">
        <v>44059.425694444442</v>
      </c>
      <c r="W771">
        <v>8</v>
      </c>
      <c r="X771">
        <v>2020</v>
      </c>
      <c r="Y771" t="s">
        <v>85</v>
      </c>
      <c r="Z771">
        <v>4</v>
      </c>
    </row>
    <row r="772" spans="1:26" x14ac:dyDescent="0.45">
      <c r="A772">
        <v>2810</v>
      </c>
      <c r="B772">
        <v>1072</v>
      </c>
      <c r="C772" t="s">
        <v>434</v>
      </c>
      <c r="D772" t="s">
        <v>22</v>
      </c>
      <c r="E772">
        <v>61</v>
      </c>
      <c r="F772">
        <v>758</v>
      </c>
      <c r="G772" t="s">
        <v>435</v>
      </c>
      <c r="H772" t="s">
        <v>93</v>
      </c>
      <c r="I772" t="s">
        <v>94</v>
      </c>
      <c r="J772" t="s">
        <v>95</v>
      </c>
      <c r="K772" t="s">
        <v>46</v>
      </c>
      <c r="L772" t="s">
        <v>28</v>
      </c>
      <c r="M772" t="s">
        <v>142</v>
      </c>
      <c r="N772" t="s">
        <v>143</v>
      </c>
      <c r="O772" t="s">
        <v>144</v>
      </c>
      <c r="P772">
        <v>5</v>
      </c>
      <c r="Q772" t="b">
        <v>1</v>
      </c>
      <c r="R772" s="1">
        <v>44315.375694444447</v>
      </c>
      <c r="S772" s="1">
        <v>44317.462500000001</v>
      </c>
      <c r="T772" t="s">
        <v>40</v>
      </c>
      <c r="U772" t="b">
        <v>0</v>
      </c>
      <c r="V772" s="2">
        <v>44315.375694444447</v>
      </c>
      <c r="W772">
        <v>4</v>
      </c>
      <c r="X772">
        <v>2021</v>
      </c>
      <c r="Y772" t="s">
        <v>93</v>
      </c>
      <c r="Z772">
        <v>5</v>
      </c>
    </row>
    <row r="773" spans="1:26" x14ac:dyDescent="0.45">
      <c r="A773">
        <v>2811</v>
      </c>
      <c r="B773">
        <v>1031</v>
      </c>
      <c r="C773" t="s">
        <v>436</v>
      </c>
      <c r="D773" t="s">
        <v>42</v>
      </c>
      <c r="E773">
        <v>78</v>
      </c>
      <c r="F773">
        <v>759</v>
      </c>
      <c r="G773" t="s">
        <v>437</v>
      </c>
      <c r="H773" t="s">
        <v>129</v>
      </c>
      <c r="I773" t="s">
        <v>130</v>
      </c>
      <c r="J773" t="s">
        <v>272</v>
      </c>
      <c r="K773" t="s">
        <v>37</v>
      </c>
      <c r="L773" t="s">
        <v>67</v>
      </c>
      <c r="M773" t="s">
        <v>108</v>
      </c>
      <c r="N773" t="s">
        <v>99</v>
      </c>
      <c r="O773" t="s">
        <v>30</v>
      </c>
      <c r="P773">
        <v>4</v>
      </c>
      <c r="Q773" t="b">
        <v>1</v>
      </c>
      <c r="R773" s="1">
        <v>44141.956250000003</v>
      </c>
      <c r="S773" s="1">
        <v>44145.067361111112</v>
      </c>
      <c r="T773" t="s">
        <v>109</v>
      </c>
      <c r="U773" t="b">
        <v>0</v>
      </c>
      <c r="V773" s="2">
        <v>44141.956250000003</v>
      </c>
      <c r="W773">
        <v>11</v>
      </c>
      <c r="X773">
        <v>2020</v>
      </c>
      <c r="Y773" t="s">
        <v>129</v>
      </c>
      <c r="Z773">
        <v>4</v>
      </c>
    </row>
    <row r="774" spans="1:26" x14ac:dyDescent="0.45">
      <c r="A774">
        <v>2812</v>
      </c>
      <c r="B774">
        <v>1134</v>
      </c>
      <c r="C774" t="s">
        <v>438</v>
      </c>
      <c r="D774" t="s">
        <v>22</v>
      </c>
      <c r="E774">
        <v>53</v>
      </c>
      <c r="F774">
        <v>711</v>
      </c>
      <c r="G774" t="s">
        <v>299</v>
      </c>
      <c r="H774" t="s">
        <v>85</v>
      </c>
      <c r="I774" t="s">
        <v>116</v>
      </c>
      <c r="J774" t="s">
        <v>117</v>
      </c>
      <c r="K774" t="s">
        <v>27</v>
      </c>
      <c r="L774" t="s">
        <v>67</v>
      </c>
      <c r="M774" t="s">
        <v>108</v>
      </c>
      <c r="N774" t="s">
        <v>99</v>
      </c>
      <c r="O774" t="s">
        <v>30</v>
      </c>
      <c r="P774">
        <v>2</v>
      </c>
      <c r="Q774" t="b">
        <v>1</v>
      </c>
      <c r="R774" s="1">
        <v>44993.34652777778</v>
      </c>
      <c r="S774" s="1">
        <v>44998.284722222219</v>
      </c>
      <c r="T774" t="s">
        <v>40</v>
      </c>
      <c r="U774" t="b">
        <v>0</v>
      </c>
      <c r="V774" s="2">
        <v>44993.34652777778</v>
      </c>
      <c r="W774">
        <v>3</v>
      </c>
      <c r="X774">
        <v>2023</v>
      </c>
      <c r="Y774" t="s">
        <v>85</v>
      </c>
      <c r="Z774">
        <v>2</v>
      </c>
    </row>
    <row r="775" spans="1:26" x14ac:dyDescent="0.45">
      <c r="A775">
        <v>2813</v>
      </c>
      <c r="B775">
        <v>1303</v>
      </c>
      <c r="C775" t="s">
        <v>439</v>
      </c>
      <c r="D775" t="s">
        <v>22</v>
      </c>
      <c r="E775">
        <v>56</v>
      </c>
      <c r="F775">
        <v>721</v>
      </c>
      <c r="G775" t="s">
        <v>440</v>
      </c>
      <c r="H775" t="s">
        <v>73</v>
      </c>
      <c r="I775" t="s">
        <v>74</v>
      </c>
      <c r="J775" t="s">
        <v>75</v>
      </c>
      <c r="K775" t="s">
        <v>37</v>
      </c>
      <c r="L775" t="s">
        <v>56</v>
      </c>
      <c r="M775" t="s">
        <v>57</v>
      </c>
      <c r="N775" t="s">
        <v>58</v>
      </c>
      <c r="O775" t="s">
        <v>59</v>
      </c>
      <c r="P775">
        <v>5</v>
      </c>
      <c r="Q775" t="b">
        <v>0</v>
      </c>
      <c r="R775" s="1">
        <v>44564.434027777781</v>
      </c>
      <c r="V775" s="2">
        <v>44564.434027777781</v>
      </c>
      <c r="W775">
        <v>1</v>
      </c>
      <c r="X775">
        <v>2022</v>
      </c>
      <c r="Y775" t="s">
        <v>73</v>
      </c>
      <c r="Z775">
        <v>5</v>
      </c>
    </row>
    <row r="776" spans="1:26" x14ac:dyDescent="0.45">
      <c r="A776">
        <v>2814</v>
      </c>
      <c r="B776">
        <v>1039</v>
      </c>
      <c r="C776" t="s">
        <v>441</v>
      </c>
      <c r="D776" t="s">
        <v>42</v>
      </c>
      <c r="E776">
        <v>73</v>
      </c>
      <c r="F776">
        <v>741</v>
      </c>
      <c r="G776" t="s">
        <v>442</v>
      </c>
      <c r="H776" t="s">
        <v>93</v>
      </c>
      <c r="I776" t="s">
        <v>112</v>
      </c>
      <c r="J776" t="s">
        <v>242</v>
      </c>
      <c r="K776" t="s">
        <v>27</v>
      </c>
      <c r="L776" t="s">
        <v>67</v>
      </c>
      <c r="M776" t="s">
        <v>108</v>
      </c>
      <c r="N776" t="s">
        <v>99</v>
      </c>
      <c r="O776" t="s">
        <v>30</v>
      </c>
      <c r="P776">
        <v>1</v>
      </c>
      <c r="Q776" t="b">
        <v>0</v>
      </c>
      <c r="R776" s="1">
        <v>44462.438194444447</v>
      </c>
      <c r="V776" s="2">
        <v>44462.438194444447</v>
      </c>
      <c r="W776">
        <v>9</v>
      </c>
      <c r="X776">
        <v>2021</v>
      </c>
      <c r="Y776" t="s">
        <v>93</v>
      </c>
      <c r="Z776">
        <v>1</v>
      </c>
    </row>
    <row r="777" spans="1:26" x14ac:dyDescent="0.45">
      <c r="A777">
        <v>2815</v>
      </c>
      <c r="B777">
        <v>1347</v>
      </c>
      <c r="C777" t="s">
        <v>443</v>
      </c>
      <c r="D777" t="s">
        <v>22</v>
      </c>
      <c r="E777">
        <v>60</v>
      </c>
      <c r="F777">
        <v>746</v>
      </c>
      <c r="G777" t="s">
        <v>444</v>
      </c>
      <c r="H777" t="s">
        <v>35</v>
      </c>
      <c r="I777" t="s">
        <v>36</v>
      </c>
      <c r="J777" t="s">
        <v>36</v>
      </c>
      <c r="K777" t="s">
        <v>46</v>
      </c>
      <c r="L777" t="s">
        <v>96</v>
      </c>
      <c r="M777" t="s">
        <v>103</v>
      </c>
      <c r="N777" t="s">
        <v>31</v>
      </c>
      <c r="O777" t="s">
        <v>104</v>
      </c>
      <c r="P777">
        <v>1</v>
      </c>
      <c r="Q777" t="b">
        <v>1</v>
      </c>
      <c r="R777" s="1">
        <v>44634.432638888888</v>
      </c>
      <c r="S777" s="1">
        <v>44635.568749999999</v>
      </c>
      <c r="T777" t="s">
        <v>32</v>
      </c>
      <c r="U777" t="b">
        <v>0</v>
      </c>
      <c r="V777" s="2">
        <v>44634.432638888888</v>
      </c>
      <c r="W777">
        <v>3</v>
      </c>
      <c r="X777">
        <v>2022</v>
      </c>
      <c r="Y777" t="s">
        <v>35</v>
      </c>
      <c r="Z777">
        <v>1</v>
      </c>
    </row>
    <row r="778" spans="1:26" x14ac:dyDescent="0.45">
      <c r="A778">
        <v>2816</v>
      </c>
      <c r="B778">
        <v>1420</v>
      </c>
      <c r="C778" t="s">
        <v>445</v>
      </c>
      <c r="D778" t="s">
        <v>42</v>
      </c>
      <c r="E778">
        <v>23</v>
      </c>
      <c r="F778">
        <v>671</v>
      </c>
      <c r="G778" t="s">
        <v>446</v>
      </c>
      <c r="H778" t="s">
        <v>172</v>
      </c>
      <c r="I778" t="s">
        <v>173</v>
      </c>
      <c r="J778" t="s">
        <v>399</v>
      </c>
      <c r="K778" t="s">
        <v>37</v>
      </c>
      <c r="L778" t="s">
        <v>67</v>
      </c>
      <c r="M778" t="s">
        <v>233</v>
      </c>
      <c r="N778" t="s">
        <v>89</v>
      </c>
      <c r="O778" t="s">
        <v>90</v>
      </c>
      <c r="P778">
        <v>4</v>
      </c>
      <c r="Q778" t="b">
        <v>1</v>
      </c>
      <c r="R778" s="1">
        <v>44794.347222222219</v>
      </c>
      <c r="S778" s="1">
        <v>44796.180555555555</v>
      </c>
      <c r="T778" t="s">
        <v>60</v>
      </c>
      <c r="U778" t="b">
        <v>0</v>
      </c>
      <c r="V778" s="2">
        <v>44794.347222222219</v>
      </c>
      <c r="W778">
        <v>8</v>
      </c>
      <c r="X778">
        <v>2022</v>
      </c>
      <c r="Y778" t="s">
        <v>172</v>
      </c>
      <c r="Z778">
        <v>4</v>
      </c>
    </row>
    <row r="779" spans="1:26" x14ac:dyDescent="0.45">
      <c r="A779">
        <v>2817</v>
      </c>
      <c r="B779">
        <v>1433</v>
      </c>
      <c r="C779" t="s">
        <v>447</v>
      </c>
      <c r="D779" t="s">
        <v>22</v>
      </c>
      <c r="E779">
        <v>68</v>
      </c>
      <c r="F779">
        <v>742</v>
      </c>
      <c r="G779" t="s">
        <v>448</v>
      </c>
      <c r="H779" t="s">
        <v>85</v>
      </c>
      <c r="I779" t="s">
        <v>86</v>
      </c>
      <c r="J779" t="s">
        <v>87</v>
      </c>
      <c r="K779" t="s">
        <v>55</v>
      </c>
      <c r="L779" t="s">
        <v>28</v>
      </c>
      <c r="M779" t="s">
        <v>29</v>
      </c>
      <c r="N779" t="s">
        <v>30</v>
      </c>
      <c r="O779" t="s">
        <v>31</v>
      </c>
      <c r="P779">
        <v>5</v>
      </c>
      <c r="Q779" t="b">
        <v>1</v>
      </c>
      <c r="R779" s="1">
        <v>44818.439583333333</v>
      </c>
      <c r="S779" s="1">
        <v>44819.65625</v>
      </c>
      <c r="T779" t="s">
        <v>109</v>
      </c>
      <c r="U779" t="b">
        <v>0</v>
      </c>
      <c r="V779" s="2">
        <v>44818.439583333333</v>
      </c>
      <c r="W779">
        <v>9</v>
      </c>
      <c r="X779">
        <v>2022</v>
      </c>
      <c r="Y779" t="s">
        <v>85</v>
      </c>
      <c r="Z779">
        <v>5</v>
      </c>
    </row>
    <row r="780" spans="1:26" x14ac:dyDescent="0.45">
      <c r="A780">
        <v>2818</v>
      </c>
      <c r="B780">
        <v>1271</v>
      </c>
      <c r="C780" t="s">
        <v>352</v>
      </c>
      <c r="D780" t="s">
        <v>42</v>
      </c>
      <c r="E780">
        <v>54</v>
      </c>
      <c r="F780">
        <v>715</v>
      </c>
      <c r="G780" t="s">
        <v>353</v>
      </c>
      <c r="H780" t="s">
        <v>73</v>
      </c>
      <c r="I780" t="s">
        <v>74</v>
      </c>
      <c r="J780" t="s">
        <v>157</v>
      </c>
      <c r="K780" t="s">
        <v>37</v>
      </c>
      <c r="L780" t="s">
        <v>28</v>
      </c>
      <c r="M780" t="s">
        <v>29</v>
      </c>
      <c r="N780" t="s">
        <v>30</v>
      </c>
      <c r="O780" t="s">
        <v>31</v>
      </c>
      <c r="P780">
        <v>5</v>
      </c>
      <c r="Q780" t="b">
        <v>1</v>
      </c>
      <c r="R780" s="1">
        <v>44148.912499999999</v>
      </c>
      <c r="S780" s="1">
        <v>44153.995138888888</v>
      </c>
      <c r="T780" t="s">
        <v>109</v>
      </c>
      <c r="U780" t="b">
        <v>0</v>
      </c>
      <c r="V780" s="2">
        <v>44148.912499999999</v>
      </c>
      <c r="W780">
        <v>11</v>
      </c>
      <c r="X780">
        <v>2020</v>
      </c>
      <c r="Y780" t="s">
        <v>73</v>
      </c>
      <c r="Z780">
        <v>5</v>
      </c>
    </row>
    <row r="781" spans="1:26" x14ac:dyDescent="0.45">
      <c r="A781">
        <v>2819</v>
      </c>
      <c r="B781">
        <v>1300</v>
      </c>
      <c r="C781" t="s">
        <v>91</v>
      </c>
      <c r="D781" t="s">
        <v>22</v>
      </c>
      <c r="E781">
        <v>41</v>
      </c>
      <c r="F781">
        <v>682</v>
      </c>
      <c r="G781" t="s">
        <v>92</v>
      </c>
      <c r="H781" t="s">
        <v>93</v>
      </c>
      <c r="I781" t="s">
        <v>94</v>
      </c>
      <c r="J781" t="s">
        <v>95</v>
      </c>
      <c r="K781" t="s">
        <v>66</v>
      </c>
      <c r="L781" t="s">
        <v>28</v>
      </c>
      <c r="M781" t="s">
        <v>38</v>
      </c>
      <c r="N781" t="s">
        <v>31</v>
      </c>
      <c r="O781" t="s">
        <v>39</v>
      </c>
      <c r="P781">
        <v>3</v>
      </c>
      <c r="Q781" t="b">
        <v>1</v>
      </c>
      <c r="R781" s="1">
        <v>45119.664583333331</v>
      </c>
      <c r="S781" s="1">
        <v>45120.490972222222</v>
      </c>
      <c r="T781" t="s">
        <v>60</v>
      </c>
      <c r="U781" t="b">
        <v>0</v>
      </c>
      <c r="V781" s="2">
        <v>45119.664583333331</v>
      </c>
      <c r="W781">
        <v>7</v>
      </c>
      <c r="X781">
        <v>2023</v>
      </c>
      <c r="Y781" t="s">
        <v>93</v>
      </c>
      <c r="Z781">
        <v>3</v>
      </c>
    </row>
    <row r="782" spans="1:26" x14ac:dyDescent="0.45">
      <c r="A782">
        <v>2820</v>
      </c>
      <c r="B782">
        <v>1225</v>
      </c>
      <c r="C782" t="s">
        <v>449</v>
      </c>
      <c r="D782" t="s">
        <v>42</v>
      </c>
      <c r="E782">
        <v>15</v>
      </c>
      <c r="H782" t="s">
        <v>24</v>
      </c>
      <c r="I782" t="s">
        <v>44</v>
      </c>
      <c r="J782" t="s">
        <v>208</v>
      </c>
      <c r="K782" t="s">
        <v>46</v>
      </c>
      <c r="L782" t="s">
        <v>76</v>
      </c>
      <c r="M782" t="s">
        <v>77</v>
      </c>
      <c r="N782" t="s">
        <v>78</v>
      </c>
      <c r="O782" t="s">
        <v>79</v>
      </c>
      <c r="P782">
        <v>4</v>
      </c>
      <c r="Q782" t="b">
        <v>0</v>
      </c>
      <c r="R782" s="1">
        <v>44128.799305555556</v>
      </c>
      <c r="V782" s="2">
        <v>44128.799305555556</v>
      </c>
      <c r="W782">
        <v>10</v>
      </c>
      <c r="X782">
        <v>2020</v>
      </c>
      <c r="Y782" t="s">
        <v>24</v>
      </c>
      <c r="Z782">
        <v>4</v>
      </c>
    </row>
    <row r="783" spans="1:26" x14ac:dyDescent="0.45">
      <c r="A783">
        <v>2821</v>
      </c>
      <c r="B783">
        <v>1136</v>
      </c>
      <c r="C783" t="s">
        <v>450</v>
      </c>
      <c r="D783" t="s">
        <v>22</v>
      </c>
      <c r="E783">
        <v>55</v>
      </c>
      <c r="F783">
        <v>737</v>
      </c>
      <c r="G783" t="s">
        <v>451</v>
      </c>
      <c r="H783" t="s">
        <v>172</v>
      </c>
      <c r="I783" t="s">
        <v>173</v>
      </c>
      <c r="J783" t="s">
        <v>174</v>
      </c>
      <c r="K783" t="s">
        <v>37</v>
      </c>
      <c r="L783" t="s">
        <v>67</v>
      </c>
      <c r="M783" t="s">
        <v>108</v>
      </c>
      <c r="N783" t="s">
        <v>99</v>
      </c>
      <c r="O783" t="s">
        <v>30</v>
      </c>
      <c r="P783">
        <v>3</v>
      </c>
      <c r="Q783" t="b">
        <v>0</v>
      </c>
      <c r="R783" s="1">
        <v>44012.820833333331</v>
      </c>
      <c r="V783" s="2">
        <v>44012.820833333331</v>
      </c>
      <c r="W783">
        <v>6</v>
      </c>
      <c r="X783">
        <v>2020</v>
      </c>
      <c r="Y783" t="s">
        <v>172</v>
      </c>
      <c r="Z783">
        <v>3</v>
      </c>
    </row>
    <row r="784" spans="1:26" x14ac:dyDescent="0.45">
      <c r="A784">
        <v>2822</v>
      </c>
      <c r="B784">
        <v>1171</v>
      </c>
      <c r="C784" t="s">
        <v>158</v>
      </c>
      <c r="D784" t="s">
        <v>42</v>
      </c>
      <c r="E784">
        <v>65</v>
      </c>
      <c r="F784">
        <v>746</v>
      </c>
      <c r="G784" t="s">
        <v>159</v>
      </c>
      <c r="H784" t="s">
        <v>52</v>
      </c>
      <c r="I784" t="s">
        <v>150</v>
      </c>
      <c r="J784" t="s">
        <v>151</v>
      </c>
      <c r="K784" t="s">
        <v>46</v>
      </c>
      <c r="L784" t="s">
        <v>28</v>
      </c>
      <c r="M784" t="s">
        <v>47</v>
      </c>
      <c r="N784" t="s">
        <v>48</v>
      </c>
      <c r="O784" t="s">
        <v>49</v>
      </c>
      <c r="P784">
        <v>1</v>
      </c>
      <c r="Q784" t="b">
        <v>1</v>
      </c>
      <c r="R784" s="1">
        <v>45151.262499999997</v>
      </c>
      <c r="S784" s="1">
        <v>45155.018055555556</v>
      </c>
      <c r="T784" t="s">
        <v>40</v>
      </c>
      <c r="U784" t="b">
        <v>0</v>
      </c>
      <c r="V784" s="2">
        <v>45151.262499999997</v>
      </c>
      <c r="W784">
        <v>8</v>
      </c>
      <c r="X784">
        <v>2023</v>
      </c>
      <c r="Y784" t="s">
        <v>52</v>
      </c>
      <c r="Z784">
        <v>1</v>
      </c>
    </row>
    <row r="785" spans="1:26" x14ac:dyDescent="0.45">
      <c r="A785">
        <v>2823</v>
      </c>
      <c r="B785">
        <v>1482</v>
      </c>
      <c r="C785" t="s">
        <v>452</v>
      </c>
      <c r="D785" t="s">
        <v>22</v>
      </c>
      <c r="E785">
        <v>20</v>
      </c>
      <c r="F785">
        <v>679</v>
      </c>
      <c r="G785" t="s">
        <v>453</v>
      </c>
      <c r="H785" t="s">
        <v>73</v>
      </c>
      <c r="I785" t="s">
        <v>74</v>
      </c>
      <c r="J785" t="s">
        <v>75</v>
      </c>
      <c r="K785" t="s">
        <v>55</v>
      </c>
      <c r="L785" t="s">
        <v>67</v>
      </c>
      <c r="M785" t="s">
        <v>233</v>
      </c>
      <c r="N785" t="s">
        <v>89</v>
      </c>
      <c r="O785" t="s">
        <v>90</v>
      </c>
      <c r="P785">
        <v>5</v>
      </c>
      <c r="Q785" t="b">
        <v>1</v>
      </c>
      <c r="R785" s="1">
        <v>44269.527777777781</v>
      </c>
      <c r="S785" s="1">
        <v>44275.199305555558</v>
      </c>
      <c r="T785" t="s">
        <v>109</v>
      </c>
      <c r="U785" t="b">
        <v>0</v>
      </c>
      <c r="V785" s="2">
        <v>44269.527777777781</v>
      </c>
      <c r="W785">
        <v>3</v>
      </c>
      <c r="X785">
        <v>2021</v>
      </c>
      <c r="Y785" t="s">
        <v>73</v>
      </c>
      <c r="Z785">
        <v>5</v>
      </c>
    </row>
    <row r="786" spans="1:26" x14ac:dyDescent="0.45">
      <c r="A786">
        <v>2824</v>
      </c>
      <c r="B786">
        <v>1457</v>
      </c>
      <c r="C786" t="s">
        <v>454</v>
      </c>
      <c r="D786" t="s">
        <v>42</v>
      </c>
      <c r="E786">
        <v>33</v>
      </c>
      <c r="F786">
        <v>690</v>
      </c>
      <c r="G786" t="s">
        <v>377</v>
      </c>
      <c r="H786" t="s">
        <v>85</v>
      </c>
      <c r="I786" t="s">
        <v>116</v>
      </c>
      <c r="J786" t="s">
        <v>330</v>
      </c>
      <c r="K786" t="s">
        <v>66</v>
      </c>
      <c r="L786" t="s">
        <v>56</v>
      </c>
      <c r="M786" t="s">
        <v>179</v>
      </c>
      <c r="N786" t="s">
        <v>79</v>
      </c>
      <c r="O786" t="s">
        <v>161</v>
      </c>
      <c r="P786">
        <v>4</v>
      </c>
      <c r="Q786" t="b">
        <v>1</v>
      </c>
      <c r="R786" s="1">
        <v>44309.681944444441</v>
      </c>
      <c r="S786" s="1">
        <v>44314.602777777778</v>
      </c>
      <c r="T786" t="s">
        <v>32</v>
      </c>
      <c r="U786" t="b">
        <v>0</v>
      </c>
      <c r="V786" s="2">
        <v>44309.681944444441</v>
      </c>
      <c r="W786">
        <v>4</v>
      </c>
      <c r="X786">
        <v>2021</v>
      </c>
      <c r="Y786" t="s">
        <v>85</v>
      </c>
      <c r="Z786">
        <v>4</v>
      </c>
    </row>
    <row r="787" spans="1:26" x14ac:dyDescent="0.45">
      <c r="A787">
        <v>2825</v>
      </c>
      <c r="B787">
        <v>1134</v>
      </c>
      <c r="C787" t="s">
        <v>438</v>
      </c>
      <c r="D787" t="s">
        <v>22</v>
      </c>
      <c r="E787">
        <v>53</v>
      </c>
      <c r="F787">
        <v>711</v>
      </c>
      <c r="G787" t="s">
        <v>299</v>
      </c>
      <c r="H787" t="s">
        <v>85</v>
      </c>
      <c r="I787" t="s">
        <v>116</v>
      </c>
      <c r="J787" t="s">
        <v>117</v>
      </c>
      <c r="K787" t="s">
        <v>55</v>
      </c>
      <c r="L787" t="s">
        <v>28</v>
      </c>
      <c r="M787" t="s">
        <v>47</v>
      </c>
      <c r="N787" t="s">
        <v>48</v>
      </c>
      <c r="O787" t="s">
        <v>49</v>
      </c>
      <c r="P787">
        <v>5</v>
      </c>
      <c r="Q787" t="b">
        <v>0</v>
      </c>
      <c r="R787" s="1">
        <v>45257.300694444442</v>
      </c>
      <c r="V787" s="2">
        <v>45257.300694444442</v>
      </c>
      <c r="W787">
        <v>11</v>
      </c>
      <c r="X787">
        <v>2023</v>
      </c>
      <c r="Y787" t="s">
        <v>85</v>
      </c>
      <c r="Z787">
        <v>5</v>
      </c>
    </row>
    <row r="788" spans="1:26" x14ac:dyDescent="0.45">
      <c r="A788">
        <v>2827</v>
      </c>
      <c r="B788">
        <v>1255</v>
      </c>
      <c r="C788" t="s">
        <v>455</v>
      </c>
      <c r="D788" t="s">
        <v>22</v>
      </c>
      <c r="E788">
        <v>32</v>
      </c>
      <c r="F788">
        <v>691</v>
      </c>
      <c r="G788" t="s">
        <v>456</v>
      </c>
      <c r="H788" t="s">
        <v>172</v>
      </c>
      <c r="I788" t="s">
        <v>173</v>
      </c>
      <c r="J788" t="s">
        <v>423</v>
      </c>
      <c r="K788" t="s">
        <v>55</v>
      </c>
      <c r="L788" t="s">
        <v>28</v>
      </c>
      <c r="M788" t="s">
        <v>142</v>
      </c>
      <c r="N788" t="s">
        <v>143</v>
      </c>
      <c r="O788" t="s">
        <v>144</v>
      </c>
      <c r="P788">
        <v>3</v>
      </c>
      <c r="Q788" t="b">
        <v>0</v>
      </c>
      <c r="R788" s="1">
        <v>44940.902083333334</v>
      </c>
      <c r="V788" s="2">
        <v>44940.902083333334</v>
      </c>
      <c r="W788">
        <v>1</v>
      </c>
      <c r="X788">
        <v>2023</v>
      </c>
      <c r="Y788" t="s">
        <v>172</v>
      </c>
      <c r="Z788">
        <v>3</v>
      </c>
    </row>
    <row r="789" spans="1:26" x14ac:dyDescent="0.45">
      <c r="A789">
        <v>2828</v>
      </c>
      <c r="B789">
        <v>1209</v>
      </c>
      <c r="C789" t="s">
        <v>457</v>
      </c>
      <c r="D789" t="s">
        <v>42</v>
      </c>
      <c r="E789">
        <v>35</v>
      </c>
      <c r="F789">
        <v>698</v>
      </c>
      <c r="G789" t="s">
        <v>458</v>
      </c>
      <c r="H789" t="s">
        <v>85</v>
      </c>
      <c r="I789" t="s">
        <v>116</v>
      </c>
      <c r="J789" t="s">
        <v>117</v>
      </c>
      <c r="K789" t="s">
        <v>37</v>
      </c>
      <c r="L789" t="s">
        <v>67</v>
      </c>
      <c r="M789" t="s">
        <v>165</v>
      </c>
      <c r="N789" t="s">
        <v>166</v>
      </c>
      <c r="O789" t="s">
        <v>167</v>
      </c>
      <c r="P789">
        <v>2</v>
      </c>
      <c r="Q789" t="b">
        <v>0</v>
      </c>
      <c r="R789" s="1">
        <v>43984.656944444447</v>
      </c>
      <c r="V789" s="2">
        <v>43984.656944444447</v>
      </c>
      <c r="W789">
        <v>6</v>
      </c>
      <c r="X789">
        <v>2020</v>
      </c>
      <c r="Y789" t="s">
        <v>85</v>
      </c>
      <c r="Z789">
        <v>2</v>
      </c>
    </row>
    <row r="790" spans="1:26" x14ac:dyDescent="0.45">
      <c r="A790">
        <v>2829</v>
      </c>
      <c r="B790">
        <v>1316</v>
      </c>
      <c r="C790" t="s">
        <v>459</v>
      </c>
      <c r="D790" t="s">
        <v>42</v>
      </c>
      <c r="E790">
        <v>65</v>
      </c>
      <c r="F790">
        <v>745</v>
      </c>
      <c r="G790" t="s">
        <v>460</v>
      </c>
      <c r="H790" t="s">
        <v>129</v>
      </c>
      <c r="I790" t="s">
        <v>263</v>
      </c>
      <c r="J790" t="s">
        <v>278</v>
      </c>
      <c r="K790" t="s">
        <v>102</v>
      </c>
      <c r="L790" t="s">
        <v>56</v>
      </c>
      <c r="M790" t="s">
        <v>88</v>
      </c>
      <c r="N790" t="s">
        <v>89</v>
      </c>
      <c r="O790" t="s">
        <v>90</v>
      </c>
      <c r="P790">
        <v>3</v>
      </c>
      <c r="Q790" t="b">
        <v>0</v>
      </c>
      <c r="R790" s="1">
        <v>44566.179166666669</v>
      </c>
      <c r="V790" s="2">
        <v>44566.179166666669</v>
      </c>
      <c r="W790">
        <v>1</v>
      </c>
      <c r="X790">
        <v>2022</v>
      </c>
      <c r="Y790" t="s">
        <v>129</v>
      </c>
      <c r="Z790">
        <v>3</v>
      </c>
    </row>
    <row r="791" spans="1:26" x14ac:dyDescent="0.45">
      <c r="A791">
        <v>2830</v>
      </c>
      <c r="B791">
        <v>1263</v>
      </c>
      <c r="C791" t="s">
        <v>461</v>
      </c>
      <c r="D791" t="s">
        <v>22</v>
      </c>
      <c r="E791">
        <v>57</v>
      </c>
      <c r="F791">
        <v>736</v>
      </c>
      <c r="G791" t="s">
        <v>462</v>
      </c>
      <c r="H791" t="s">
        <v>73</v>
      </c>
      <c r="I791" t="s">
        <v>74</v>
      </c>
      <c r="J791" t="s">
        <v>245</v>
      </c>
      <c r="K791" t="s">
        <v>66</v>
      </c>
      <c r="L791" t="s">
        <v>28</v>
      </c>
      <c r="M791" t="s">
        <v>47</v>
      </c>
      <c r="N791" t="s">
        <v>48</v>
      </c>
      <c r="O791" t="s">
        <v>49</v>
      </c>
      <c r="P791">
        <v>4</v>
      </c>
      <c r="Q791" t="b">
        <v>1</v>
      </c>
      <c r="R791" s="1">
        <v>44214.033333333333</v>
      </c>
      <c r="S791" s="1">
        <v>44220.997916666667</v>
      </c>
      <c r="T791" t="s">
        <v>40</v>
      </c>
      <c r="U791" t="b">
        <v>1</v>
      </c>
      <c r="V791" s="2">
        <v>44214.033333333333</v>
      </c>
      <c r="W791">
        <v>1</v>
      </c>
      <c r="X791">
        <v>2021</v>
      </c>
      <c r="Y791" t="s">
        <v>73</v>
      </c>
      <c r="Z791">
        <v>4</v>
      </c>
    </row>
    <row r="792" spans="1:26" x14ac:dyDescent="0.45">
      <c r="A792">
        <v>2831</v>
      </c>
      <c r="B792">
        <v>1052</v>
      </c>
      <c r="C792" t="s">
        <v>463</v>
      </c>
      <c r="D792" t="s">
        <v>42</v>
      </c>
      <c r="E792">
        <v>60</v>
      </c>
      <c r="F792">
        <v>748</v>
      </c>
      <c r="G792" t="s">
        <v>464</v>
      </c>
      <c r="H792" t="s">
        <v>85</v>
      </c>
      <c r="I792" t="s">
        <v>86</v>
      </c>
      <c r="J792" t="s">
        <v>182</v>
      </c>
      <c r="K792" t="s">
        <v>102</v>
      </c>
      <c r="L792" t="s">
        <v>67</v>
      </c>
      <c r="M792" t="s">
        <v>233</v>
      </c>
      <c r="N792" t="s">
        <v>89</v>
      </c>
      <c r="O792" t="s">
        <v>90</v>
      </c>
      <c r="P792">
        <v>2</v>
      </c>
      <c r="Q792" t="b">
        <v>1</v>
      </c>
      <c r="R792" s="1">
        <v>44088.686805555553</v>
      </c>
      <c r="S792" s="1">
        <v>44093.96597222222</v>
      </c>
      <c r="T792" t="s">
        <v>40</v>
      </c>
      <c r="U792" t="b">
        <v>0</v>
      </c>
      <c r="V792" s="2">
        <v>44088.686805555553</v>
      </c>
      <c r="W792">
        <v>9</v>
      </c>
      <c r="X792">
        <v>2020</v>
      </c>
      <c r="Y792" t="s">
        <v>85</v>
      </c>
      <c r="Z792">
        <v>2</v>
      </c>
    </row>
    <row r="793" spans="1:26" x14ac:dyDescent="0.45">
      <c r="A793">
        <v>2832</v>
      </c>
      <c r="B793">
        <v>1217</v>
      </c>
      <c r="C793" t="s">
        <v>333</v>
      </c>
      <c r="D793" t="s">
        <v>42</v>
      </c>
      <c r="E793">
        <v>67</v>
      </c>
      <c r="F793">
        <v>743</v>
      </c>
      <c r="G793" t="s">
        <v>334</v>
      </c>
      <c r="H793" t="s">
        <v>35</v>
      </c>
      <c r="I793" t="s">
        <v>122</v>
      </c>
      <c r="J793" t="s">
        <v>82</v>
      </c>
      <c r="K793" t="s">
        <v>46</v>
      </c>
      <c r="L793" t="s">
        <v>76</v>
      </c>
      <c r="M793" t="s">
        <v>77</v>
      </c>
      <c r="N793" t="s">
        <v>78</v>
      </c>
      <c r="O793" t="s">
        <v>79</v>
      </c>
      <c r="P793">
        <v>1</v>
      </c>
      <c r="Q793" t="b">
        <v>1</v>
      </c>
      <c r="R793" s="1">
        <v>44913.285416666666</v>
      </c>
      <c r="S793" s="1">
        <v>44919.90902777778</v>
      </c>
      <c r="T793" t="s">
        <v>32</v>
      </c>
      <c r="U793" t="b">
        <v>0</v>
      </c>
      <c r="V793" s="2">
        <v>44913.285416666666</v>
      </c>
      <c r="W793">
        <v>12</v>
      </c>
      <c r="X793">
        <v>2022</v>
      </c>
      <c r="Y793" t="s">
        <v>35</v>
      </c>
      <c r="Z793">
        <v>1</v>
      </c>
    </row>
    <row r="794" spans="1:26" x14ac:dyDescent="0.45">
      <c r="A794">
        <v>2833</v>
      </c>
      <c r="B794">
        <v>1062</v>
      </c>
      <c r="C794" t="s">
        <v>465</v>
      </c>
      <c r="D794" t="s">
        <v>42</v>
      </c>
      <c r="E794">
        <v>16</v>
      </c>
      <c r="H794" t="s">
        <v>172</v>
      </c>
      <c r="I794" t="s">
        <v>177</v>
      </c>
      <c r="J794" t="s">
        <v>178</v>
      </c>
      <c r="K794" t="s">
        <v>55</v>
      </c>
      <c r="L794" t="s">
        <v>67</v>
      </c>
      <c r="M794" t="s">
        <v>165</v>
      </c>
      <c r="N794" t="s">
        <v>166</v>
      </c>
      <c r="O794" t="s">
        <v>167</v>
      </c>
      <c r="P794">
        <v>2</v>
      </c>
      <c r="Q794" t="b">
        <v>1</v>
      </c>
      <c r="R794" s="1">
        <v>44486.697222222225</v>
      </c>
      <c r="S794" s="1">
        <v>44488.526388888888</v>
      </c>
      <c r="T794" t="s">
        <v>32</v>
      </c>
      <c r="U794" t="b">
        <v>0</v>
      </c>
      <c r="V794" s="2">
        <v>44486.697222222225</v>
      </c>
      <c r="W794">
        <v>10</v>
      </c>
      <c r="X794">
        <v>2021</v>
      </c>
      <c r="Y794" t="s">
        <v>172</v>
      </c>
      <c r="Z794">
        <v>2</v>
      </c>
    </row>
    <row r="795" spans="1:26" x14ac:dyDescent="0.45">
      <c r="A795">
        <v>2834</v>
      </c>
      <c r="B795">
        <v>1133</v>
      </c>
      <c r="C795" t="s">
        <v>384</v>
      </c>
      <c r="D795" t="s">
        <v>22</v>
      </c>
      <c r="E795">
        <v>18</v>
      </c>
      <c r="F795">
        <v>633</v>
      </c>
      <c r="G795" t="s">
        <v>385</v>
      </c>
      <c r="H795" t="s">
        <v>52</v>
      </c>
      <c r="I795" t="s">
        <v>150</v>
      </c>
      <c r="J795" t="s">
        <v>151</v>
      </c>
      <c r="K795" t="s">
        <v>66</v>
      </c>
      <c r="L795" t="s">
        <v>76</v>
      </c>
      <c r="M795" t="s">
        <v>160</v>
      </c>
      <c r="N795" t="s">
        <v>79</v>
      </c>
      <c r="O795" t="s">
        <v>161</v>
      </c>
      <c r="P795">
        <v>2</v>
      </c>
      <c r="Q795" t="b">
        <v>1</v>
      </c>
      <c r="R795" s="1">
        <v>44681.11041666667</v>
      </c>
      <c r="S795" s="1">
        <v>44681.698611111111</v>
      </c>
      <c r="T795" t="s">
        <v>40</v>
      </c>
      <c r="U795" t="b">
        <v>0</v>
      </c>
      <c r="V795" s="2">
        <v>44681.11041666667</v>
      </c>
      <c r="W795">
        <v>4</v>
      </c>
      <c r="X795">
        <v>2022</v>
      </c>
      <c r="Y795" t="s">
        <v>52</v>
      </c>
      <c r="Z795">
        <v>2</v>
      </c>
    </row>
    <row r="796" spans="1:26" x14ac:dyDescent="0.45">
      <c r="A796">
        <v>2835</v>
      </c>
      <c r="B796">
        <v>1256</v>
      </c>
      <c r="C796" t="s">
        <v>466</v>
      </c>
      <c r="D796" t="s">
        <v>42</v>
      </c>
      <c r="E796">
        <v>31</v>
      </c>
      <c r="F796">
        <v>693</v>
      </c>
      <c r="G796" t="s">
        <v>467</v>
      </c>
      <c r="H796" t="s">
        <v>52</v>
      </c>
      <c r="I796" t="s">
        <v>150</v>
      </c>
      <c r="J796" t="s">
        <v>306</v>
      </c>
      <c r="K796" t="s">
        <v>37</v>
      </c>
      <c r="L796" t="s">
        <v>67</v>
      </c>
      <c r="M796" t="s">
        <v>165</v>
      </c>
      <c r="N796" t="s">
        <v>166</v>
      </c>
      <c r="O796" t="s">
        <v>167</v>
      </c>
      <c r="P796">
        <v>5</v>
      </c>
      <c r="Q796" t="b">
        <v>1</v>
      </c>
      <c r="R796" s="1">
        <v>44161.776388888888</v>
      </c>
      <c r="S796" s="1">
        <v>44167.303472222222</v>
      </c>
      <c r="T796" t="s">
        <v>60</v>
      </c>
      <c r="U796" t="b">
        <v>0</v>
      </c>
      <c r="V796" s="2">
        <v>44161.776388888888</v>
      </c>
      <c r="W796">
        <v>11</v>
      </c>
      <c r="X796">
        <v>2020</v>
      </c>
      <c r="Y796" t="s">
        <v>52</v>
      </c>
      <c r="Z796">
        <v>5</v>
      </c>
    </row>
    <row r="797" spans="1:26" x14ac:dyDescent="0.45">
      <c r="A797">
        <v>2836</v>
      </c>
      <c r="B797">
        <v>1366</v>
      </c>
      <c r="C797" t="s">
        <v>468</v>
      </c>
      <c r="D797" t="s">
        <v>22</v>
      </c>
      <c r="E797">
        <v>68</v>
      </c>
      <c r="F797">
        <v>757</v>
      </c>
      <c r="G797" t="s">
        <v>469</v>
      </c>
      <c r="H797" t="s">
        <v>85</v>
      </c>
      <c r="I797" t="s">
        <v>116</v>
      </c>
      <c r="J797" t="s">
        <v>330</v>
      </c>
      <c r="K797" t="s">
        <v>46</v>
      </c>
      <c r="L797" t="s">
        <v>67</v>
      </c>
      <c r="M797" t="s">
        <v>68</v>
      </c>
      <c r="N797" t="s">
        <v>69</v>
      </c>
      <c r="O797" t="s">
        <v>70</v>
      </c>
      <c r="P797">
        <v>2</v>
      </c>
      <c r="Q797" t="b">
        <v>1</v>
      </c>
      <c r="R797" s="1">
        <v>44386.815972222219</v>
      </c>
      <c r="S797" s="1">
        <v>44387.53125</v>
      </c>
      <c r="T797" t="s">
        <v>109</v>
      </c>
      <c r="U797" t="b">
        <v>0</v>
      </c>
      <c r="V797" s="2">
        <v>44386.815972222219</v>
      </c>
      <c r="W797">
        <v>7</v>
      </c>
      <c r="X797">
        <v>2021</v>
      </c>
      <c r="Y797" t="s">
        <v>85</v>
      </c>
      <c r="Z797">
        <v>2</v>
      </c>
    </row>
    <row r="798" spans="1:26" x14ac:dyDescent="0.45">
      <c r="A798">
        <v>2838</v>
      </c>
      <c r="B798">
        <v>1455</v>
      </c>
      <c r="C798" t="s">
        <v>470</v>
      </c>
      <c r="D798" t="s">
        <v>22</v>
      </c>
      <c r="E798">
        <v>62</v>
      </c>
      <c r="F798">
        <v>755</v>
      </c>
      <c r="G798" t="s">
        <v>471</v>
      </c>
      <c r="H798" t="s">
        <v>85</v>
      </c>
      <c r="I798" t="s">
        <v>116</v>
      </c>
      <c r="J798" t="s">
        <v>330</v>
      </c>
      <c r="K798" t="s">
        <v>55</v>
      </c>
      <c r="L798" t="s">
        <v>76</v>
      </c>
      <c r="M798" t="s">
        <v>132</v>
      </c>
      <c r="N798" t="s">
        <v>59</v>
      </c>
      <c r="O798" t="s">
        <v>98</v>
      </c>
      <c r="P798">
        <v>3</v>
      </c>
      <c r="Q798" t="b">
        <v>1</v>
      </c>
      <c r="R798" s="1">
        <v>44891.789583333331</v>
      </c>
      <c r="S798" s="1">
        <v>44893.925694444442</v>
      </c>
      <c r="T798" t="s">
        <v>60</v>
      </c>
      <c r="U798" t="b">
        <v>0</v>
      </c>
      <c r="V798" s="2">
        <v>44891.789583333331</v>
      </c>
      <c r="W798">
        <v>11</v>
      </c>
      <c r="X798">
        <v>2022</v>
      </c>
      <c r="Y798" t="s">
        <v>85</v>
      </c>
      <c r="Z798">
        <v>3</v>
      </c>
    </row>
    <row r="799" spans="1:26" x14ac:dyDescent="0.45">
      <c r="A799">
        <v>2839</v>
      </c>
      <c r="B799">
        <v>1400</v>
      </c>
      <c r="C799" t="s">
        <v>472</v>
      </c>
      <c r="D799" t="s">
        <v>42</v>
      </c>
      <c r="E799">
        <v>53</v>
      </c>
      <c r="F799">
        <v>717</v>
      </c>
      <c r="G799" t="s">
        <v>473</v>
      </c>
      <c r="H799" t="s">
        <v>24</v>
      </c>
      <c r="I799" t="s">
        <v>44</v>
      </c>
      <c r="J799" t="s">
        <v>45</v>
      </c>
      <c r="K799" t="s">
        <v>102</v>
      </c>
      <c r="L799" t="s">
        <v>28</v>
      </c>
      <c r="M799" t="s">
        <v>142</v>
      </c>
      <c r="N799" t="s">
        <v>143</v>
      </c>
      <c r="O799" t="s">
        <v>144</v>
      </c>
      <c r="P799">
        <v>1</v>
      </c>
      <c r="Q799" t="b">
        <v>1</v>
      </c>
      <c r="R799" s="1">
        <v>43837.962500000001</v>
      </c>
      <c r="S799" s="1">
        <v>43841.311111111114</v>
      </c>
      <c r="T799" t="s">
        <v>32</v>
      </c>
      <c r="U799" t="b">
        <v>0</v>
      </c>
      <c r="V799" s="2">
        <v>43837.962500000001</v>
      </c>
      <c r="W799">
        <v>1</v>
      </c>
      <c r="X799">
        <v>2020</v>
      </c>
      <c r="Y799" t="s">
        <v>24</v>
      </c>
      <c r="Z799">
        <v>1</v>
      </c>
    </row>
    <row r="800" spans="1:26" x14ac:dyDescent="0.45">
      <c r="A800">
        <v>2841</v>
      </c>
      <c r="B800">
        <v>1026</v>
      </c>
      <c r="C800" t="s">
        <v>474</v>
      </c>
      <c r="D800" t="s">
        <v>22</v>
      </c>
      <c r="E800">
        <v>18</v>
      </c>
      <c r="F800">
        <v>663</v>
      </c>
      <c r="G800" t="s">
        <v>475</v>
      </c>
      <c r="H800" t="s">
        <v>73</v>
      </c>
      <c r="I800" t="s">
        <v>74</v>
      </c>
      <c r="J800" t="s">
        <v>157</v>
      </c>
      <c r="K800" t="s">
        <v>66</v>
      </c>
      <c r="L800" t="s">
        <v>56</v>
      </c>
      <c r="M800" t="s">
        <v>197</v>
      </c>
      <c r="N800" t="s">
        <v>198</v>
      </c>
      <c r="O800" t="s">
        <v>199</v>
      </c>
      <c r="P800">
        <v>4</v>
      </c>
      <c r="Q800" t="b">
        <v>0</v>
      </c>
      <c r="R800" s="1">
        <v>44802.700694444444</v>
      </c>
      <c r="V800" s="2">
        <v>44802.700694444444</v>
      </c>
      <c r="W800">
        <v>8</v>
      </c>
      <c r="X800">
        <v>2022</v>
      </c>
      <c r="Y800" t="s">
        <v>73</v>
      </c>
      <c r="Z800">
        <v>4</v>
      </c>
    </row>
    <row r="801" spans="1:26" x14ac:dyDescent="0.45">
      <c r="A801">
        <v>2842</v>
      </c>
      <c r="B801">
        <v>1211</v>
      </c>
      <c r="C801" t="s">
        <v>476</v>
      </c>
      <c r="D801" t="s">
        <v>42</v>
      </c>
      <c r="E801">
        <v>23</v>
      </c>
      <c r="F801">
        <v>641</v>
      </c>
      <c r="G801" t="s">
        <v>477</v>
      </c>
      <c r="H801" t="s">
        <v>35</v>
      </c>
      <c r="I801" t="s">
        <v>36</v>
      </c>
      <c r="J801" t="s">
        <v>123</v>
      </c>
      <c r="K801" t="s">
        <v>102</v>
      </c>
      <c r="L801" t="s">
        <v>28</v>
      </c>
      <c r="M801" t="s">
        <v>38</v>
      </c>
      <c r="N801" t="s">
        <v>31</v>
      </c>
      <c r="O801" t="s">
        <v>39</v>
      </c>
      <c r="P801">
        <v>3</v>
      </c>
      <c r="Q801" t="b">
        <v>1</v>
      </c>
      <c r="R801" s="1">
        <v>43913.799305555556</v>
      </c>
      <c r="S801" s="1">
        <v>43915.96875</v>
      </c>
      <c r="T801" t="s">
        <v>60</v>
      </c>
      <c r="U801" t="b">
        <v>0</v>
      </c>
      <c r="V801" s="2">
        <v>43913.799305555556</v>
      </c>
      <c r="W801">
        <v>3</v>
      </c>
      <c r="X801">
        <v>2020</v>
      </c>
      <c r="Y801" t="s">
        <v>35</v>
      </c>
      <c r="Z801">
        <v>3</v>
      </c>
    </row>
    <row r="802" spans="1:26" x14ac:dyDescent="0.45">
      <c r="A802">
        <v>2843</v>
      </c>
      <c r="B802">
        <v>1079</v>
      </c>
      <c r="C802" t="s">
        <v>478</v>
      </c>
      <c r="D802" t="s">
        <v>22</v>
      </c>
      <c r="E802">
        <v>38</v>
      </c>
      <c r="F802">
        <v>686</v>
      </c>
      <c r="G802" t="s">
        <v>479</v>
      </c>
      <c r="H802" t="s">
        <v>24</v>
      </c>
      <c r="I802" t="s">
        <v>44</v>
      </c>
      <c r="J802" t="s">
        <v>225</v>
      </c>
      <c r="K802" t="s">
        <v>27</v>
      </c>
      <c r="L802" t="s">
        <v>76</v>
      </c>
      <c r="M802" t="s">
        <v>126</v>
      </c>
      <c r="N802" t="s">
        <v>98</v>
      </c>
      <c r="O802" t="s">
        <v>99</v>
      </c>
      <c r="P802">
        <v>5</v>
      </c>
      <c r="Q802" t="b">
        <v>0</v>
      </c>
      <c r="R802" s="1">
        <v>45103.060416666667</v>
      </c>
      <c r="V802" s="2">
        <v>45103.060416666667</v>
      </c>
      <c r="W802">
        <v>6</v>
      </c>
      <c r="X802">
        <v>2023</v>
      </c>
      <c r="Y802" t="s">
        <v>24</v>
      </c>
      <c r="Z802">
        <v>5</v>
      </c>
    </row>
    <row r="803" spans="1:26" x14ac:dyDescent="0.45">
      <c r="A803">
        <v>2844</v>
      </c>
      <c r="B803">
        <v>1341</v>
      </c>
      <c r="C803" t="s">
        <v>480</v>
      </c>
      <c r="D803" t="s">
        <v>42</v>
      </c>
      <c r="E803">
        <v>40</v>
      </c>
      <c r="F803">
        <v>696</v>
      </c>
      <c r="G803" t="s">
        <v>481</v>
      </c>
      <c r="H803" t="s">
        <v>85</v>
      </c>
      <c r="I803" t="s">
        <v>86</v>
      </c>
      <c r="J803" t="s">
        <v>87</v>
      </c>
      <c r="K803" t="s">
        <v>66</v>
      </c>
      <c r="L803" t="s">
        <v>96</v>
      </c>
      <c r="M803" t="s">
        <v>97</v>
      </c>
      <c r="N803" t="s">
        <v>98</v>
      </c>
      <c r="O803" t="s">
        <v>99</v>
      </c>
      <c r="P803">
        <v>2</v>
      </c>
      <c r="Q803" t="b">
        <v>1</v>
      </c>
      <c r="R803" s="1">
        <v>44301.875</v>
      </c>
      <c r="S803" s="1">
        <v>44302.4375</v>
      </c>
      <c r="T803" t="s">
        <v>40</v>
      </c>
      <c r="U803" t="b">
        <v>1</v>
      </c>
      <c r="V803" s="2">
        <v>44301.875</v>
      </c>
      <c r="W803">
        <v>4</v>
      </c>
      <c r="X803">
        <v>2021</v>
      </c>
      <c r="Y803" t="s">
        <v>85</v>
      </c>
      <c r="Z803">
        <v>2</v>
      </c>
    </row>
    <row r="804" spans="1:26" x14ac:dyDescent="0.45">
      <c r="A804">
        <v>2845</v>
      </c>
      <c r="B804">
        <v>1408</v>
      </c>
      <c r="C804" t="s">
        <v>482</v>
      </c>
      <c r="D804" t="s">
        <v>42</v>
      </c>
      <c r="E804">
        <v>62</v>
      </c>
      <c r="F804">
        <v>752</v>
      </c>
      <c r="G804" t="s">
        <v>483</v>
      </c>
      <c r="H804" t="s">
        <v>172</v>
      </c>
      <c r="I804" t="s">
        <v>173</v>
      </c>
      <c r="J804" t="s">
        <v>423</v>
      </c>
      <c r="K804" t="s">
        <v>102</v>
      </c>
      <c r="L804" t="s">
        <v>67</v>
      </c>
      <c r="M804" t="s">
        <v>108</v>
      </c>
      <c r="N804" t="s">
        <v>99</v>
      </c>
      <c r="O804" t="s">
        <v>30</v>
      </c>
      <c r="P804">
        <v>3</v>
      </c>
      <c r="Q804" t="b">
        <v>1</v>
      </c>
      <c r="R804" s="1">
        <v>45080.606944444444</v>
      </c>
      <c r="S804" s="1">
        <v>45084.472222222219</v>
      </c>
      <c r="T804" t="s">
        <v>40</v>
      </c>
      <c r="U804" t="b">
        <v>0</v>
      </c>
      <c r="V804" s="2">
        <v>45080.606944444444</v>
      </c>
      <c r="W804">
        <v>6</v>
      </c>
      <c r="X804">
        <v>2023</v>
      </c>
      <c r="Y804" t="s">
        <v>172</v>
      </c>
      <c r="Z804">
        <v>3</v>
      </c>
    </row>
    <row r="805" spans="1:26" x14ac:dyDescent="0.45">
      <c r="A805">
        <v>2846</v>
      </c>
      <c r="B805">
        <v>1345</v>
      </c>
      <c r="C805" t="s">
        <v>484</v>
      </c>
      <c r="D805" t="s">
        <v>42</v>
      </c>
      <c r="E805">
        <v>46</v>
      </c>
      <c r="F805">
        <v>709</v>
      </c>
      <c r="G805" t="s">
        <v>485</v>
      </c>
      <c r="H805" t="s">
        <v>73</v>
      </c>
      <c r="I805" t="s">
        <v>74</v>
      </c>
      <c r="J805" t="s">
        <v>245</v>
      </c>
      <c r="K805" t="s">
        <v>27</v>
      </c>
      <c r="L805" t="s">
        <v>28</v>
      </c>
      <c r="M805" t="s">
        <v>142</v>
      </c>
      <c r="N805" t="s">
        <v>143</v>
      </c>
      <c r="O805" t="s">
        <v>144</v>
      </c>
      <c r="P805">
        <v>4</v>
      </c>
      <c r="Q805" t="b">
        <v>1</v>
      </c>
      <c r="R805" s="1">
        <v>44183.179861111108</v>
      </c>
      <c r="S805" s="1">
        <v>44187.852083333331</v>
      </c>
      <c r="T805" t="s">
        <v>60</v>
      </c>
      <c r="U805" t="b">
        <v>0</v>
      </c>
      <c r="V805" s="2">
        <v>44183.179861111108</v>
      </c>
      <c r="W805">
        <v>12</v>
      </c>
      <c r="X805">
        <v>2020</v>
      </c>
      <c r="Y805" t="s">
        <v>73</v>
      </c>
      <c r="Z805">
        <v>4</v>
      </c>
    </row>
    <row r="806" spans="1:26" x14ac:dyDescent="0.45">
      <c r="A806">
        <v>2847</v>
      </c>
      <c r="B806">
        <v>1003</v>
      </c>
      <c r="C806" t="s">
        <v>368</v>
      </c>
      <c r="D806" t="s">
        <v>42</v>
      </c>
      <c r="E806">
        <v>46</v>
      </c>
      <c r="F806">
        <v>708</v>
      </c>
      <c r="G806" t="s">
        <v>369</v>
      </c>
      <c r="H806" t="s">
        <v>35</v>
      </c>
      <c r="I806" t="s">
        <v>122</v>
      </c>
      <c r="J806" t="s">
        <v>123</v>
      </c>
      <c r="K806" t="s">
        <v>46</v>
      </c>
      <c r="L806" t="s">
        <v>28</v>
      </c>
      <c r="M806" t="s">
        <v>38</v>
      </c>
      <c r="N806" t="s">
        <v>31</v>
      </c>
      <c r="O806" t="s">
        <v>39</v>
      </c>
      <c r="P806">
        <v>1</v>
      </c>
      <c r="Q806" t="b">
        <v>0</v>
      </c>
      <c r="R806" s="1">
        <v>45116.015277777777</v>
      </c>
      <c r="V806" s="2">
        <v>45116.015277777777</v>
      </c>
      <c r="W806">
        <v>7</v>
      </c>
      <c r="X806">
        <v>2023</v>
      </c>
      <c r="Y806" t="s">
        <v>35</v>
      </c>
      <c r="Z806">
        <v>1</v>
      </c>
    </row>
    <row r="807" spans="1:26" x14ac:dyDescent="0.45">
      <c r="A807">
        <v>2848</v>
      </c>
      <c r="B807">
        <v>1183</v>
      </c>
      <c r="C807" t="s">
        <v>486</v>
      </c>
      <c r="D807" t="s">
        <v>22</v>
      </c>
      <c r="E807">
        <v>25</v>
      </c>
      <c r="F807">
        <v>632</v>
      </c>
      <c r="G807" t="s">
        <v>487</v>
      </c>
      <c r="H807" t="s">
        <v>24</v>
      </c>
      <c r="I807" t="s">
        <v>44</v>
      </c>
      <c r="J807" t="s">
        <v>208</v>
      </c>
      <c r="K807" t="s">
        <v>46</v>
      </c>
      <c r="L807" t="s">
        <v>96</v>
      </c>
      <c r="M807" t="s">
        <v>97</v>
      </c>
      <c r="N807" t="s">
        <v>98</v>
      </c>
      <c r="O807" t="s">
        <v>99</v>
      </c>
      <c r="P807">
        <v>3</v>
      </c>
      <c r="Q807" t="b">
        <v>1</v>
      </c>
      <c r="R807" s="1">
        <v>44390.920138888891</v>
      </c>
      <c r="S807" s="1">
        <v>44395.492361111108</v>
      </c>
      <c r="T807" t="s">
        <v>40</v>
      </c>
      <c r="U807" t="b">
        <v>0</v>
      </c>
      <c r="V807" s="2">
        <v>44390.920138888891</v>
      </c>
      <c r="W807">
        <v>7</v>
      </c>
      <c r="X807">
        <v>2021</v>
      </c>
      <c r="Y807" t="s">
        <v>24</v>
      </c>
      <c r="Z807">
        <v>3</v>
      </c>
    </row>
    <row r="808" spans="1:26" x14ac:dyDescent="0.45">
      <c r="A808">
        <v>2849</v>
      </c>
      <c r="B808">
        <v>1035</v>
      </c>
      <c r="C808" t="s">
        <v>488</v>
      </c>
      <c r="D808" t="s">
        <v>42</v>
      </c>
      <c r="E808">
        <v>66</v>
      </c>
      <c r="F808">
        <v>758</v>
      </c>
      <c r="G808" t="s">
        <v>489</v>
      </c>
      <c r="H808" t="s">
        <v>172</v>
      </c>
      <c r="I808" t="s">
        <v>173</v>
      </c>
      <c r="J808" t="s">
        <v>174</v>
      </c>
      <c r="K808" t="s">
        <v>46</v>
      </c>
      <c r="L808" t="s">
        <v>67</v>
      </c>
      <c r="M808" t="s">
        <v>165</v>
      </c>
      <c r="N808" t="s">
        <v>166</v>
      </c>
      <c r="O808" t="s">
        <v>167</v>
      </c>
      <c r="P808">
        <v>1</v>
      </c>
      <c r="Q808" t="b">
        <v>1</v>
      </c>
      <c r="R808" s="1">
        <v>44276.177083333336</v>
      </c>
      <c r="S808" s="1">
        <v>44280.425000000003</v>
      </c>
      <c r="T808" t="s">
        <v>40</v>
      </c>
      <c r="U808" t="b">
        <v>0</v>
      </c>
      <c r="V808" s="2">
        <v>44276.177083333336</v>
      </c>
      <c r="W808">
        <v>3</v>
      </c>
      <c r="X808">
        <v>2021</v>
      </c>
      <c r="Y808" t="s">
        <v>172</v>
      </c>
      <c r="Z808">
        <v>1</v>
      </c>
    </row>
    <row r="809" spans="1:26" x14ac:dyDescent="0.45">
      <c r="A809">
        <v>2850</v>
      </c>
      <c r="B809">
        <v>1365</v>
      </c>
      <c r="C809" t="s">
        <v>490</v>
      </c>
      <c r="D809" t="s">
        <v>42</v>
      </c>
      <c r="E809">
        <v>59</v>
      </c>
      <c r="F809">
        <v>741</v>
      </c>
      <c r="G809" t="s">
        <v>491</v>
      </c>
      <c r="H809" t="s">
        <v>93</v>
      </c>
      <c r="I809" t="s">
        <v>94</v>
      </c>
      <c r="J809" t="s">
        <v>107</v>
      </c>
      <c r="K809" t="s">
        <v>66</v>
      </c>
      <c r="L809" t="s">
        <v>67</v>
      </c>
      <c r="M809" t="s">
        <v>233</v>
      </c>
      <c r="N809" t="s">
        <v>89</v>
      </c>
      <c r="O809" t="s">
        <v>90</v>
      </c>
      <c r="P809">
        <v>1</v>
      </c>
      <c r="Q809" t="b">
        <v>1</v>
      </c>
      <c r="R809" s="1">
        <v>43868.26458333333</v>
      </c>
      <c r="S809" s="1">
        <v>43870.759722222225</v>
      </c>
      <c r="T809" t="s">
        <v>32</v>
      </c>
      <c r="U809" t="b">
        <v>1</v>
      </c>
      <c r="V809" s="2">
        <v>43868.26458333333</v>
      </c>
      <c r="W809">
        <v>2</v>
      </c>
      <c r="X809">
        <v>2020</v>
      </c>
      <c r="Y809" t="s">
        <v>93</v>
      </c>
      <c r="Z809">
        <v>1</v>
      </c>
    </row>
    <row r="810" spans="1:26" x14ac:dyDescent="0.45">
      <c r="A810">
        <v>2851</v>
      </c>
      <c r="B810">
        <v>1441</v>
      </c>
      <c r="C810" t="s">
        <v>492</v>
      </c>
      <c r="D810" t="s">
        <v>42</v>
      </c>
      <c r="E810">
        <v>42</v>
      </c>
      <c r="F810">
        <v>686</v>
      </c>
      <c r="G810" t="s">
        <v>493</v>
      </c>
      <c r="H810" t="s">
        <v>63</v>
      </c>
      <c r="I810" t="s">
        <v>64</v>
      </c>
      <c r="J810" t="s">
        <v>65</v>
      </c>
      <c r="K810" t="s">
        <v>55</v>
      </c>
      <c r="L810" t="s">
        <v>96</v>
      </c>
      <c r="M810" t="s">
        <v>97</v>
      </c>
      <c r="N810" t="s">
        <v>98</v>
      </c>
      <c r="O810" t="s">
        <v>99</v>
      </c>
      <c r="P810">
        <v>3</v>
      </c>
      <c r="Q810" t="b">
        <v>1</v>
      </c>
      <c r="R810" s="1">
        <v>45257.477083333331</v>
      </c>
      <c r="S810" s="1">
        <v>45260.732638888891</v>
      </c>
      <c r="T810" t="s">
        <v>109</v>
      </c>
      <c r="U810" t="b">
        <v>0</v>
      </c>
      <c r="V810" s="2">
        <v>45257.477083333331</v>
      </c>
      <c r="W810">
        <v>11</v>
      </c>
      <c r="X810">
        <v>2023</v>
      </c>
      <c r="Y810" t="s">
        <v>63</v>
      </c>
      <c r="Z810">
        <v>3</v>
      </c>
    </row>
    <row r="811" spans="1:26" x14ac:dyDescent="0.45">
      <c r="A811">
        <v>2852</v>
      </c>
      <c r="B811">
        <v>1159</v>
      </c>
      <c r="C811" t="s">
        <v>494</v>
      </c>
      <c r="D811" t="s">
        <v>42</v>
      </c>
      <c r="E811">
        <v>45</v>
      </c>
      <c r="F811">
        <v>713</v>
      </c>
      <c r="G811" t="s">
        <v>495</v>
      </c>
      <c r="H811" t="s">
        <v>35</v>
      </c>
      <c r="I811" t="s">
        <v>122</v>
      </c>
      <c r="J811" t="s">
        <v>123</v>
      </c>
      <c r="K811" t="s">
        <v>37</v>
      </c>
      <c r="L811" t="s">
        <v>67</v>
      </c>
      <c r="M811" t="s">
        <v>233</v>
      </c>
      <c r="N811" t="s">
        <v>89</v>
      </c>
      <c r="O811" t="s">
        <v>90</v>
      </c>
      <c r="P811">
        <v>3</v>
      </c>
      <c r="Q811" t="b">
        <v>0</v>
      </c>
      <c r="R811" s="1">
        <v>45261.300694444442</v>
      </c>
      <c r="V811" s="2">
        <v>45261.300694444442</v>
      </c>
      <c r="W811">
        <v>12</v>
      </c>
      <c r="X811">
        <v>2023</v>
      </c>
      <c r="Y811" t="s">
        <v>35</v>
      </c>
      <c r="Z811">
        <v>3</v>
      </c>
    </row>
    <row r="812" spans="1:26" x14ac:dyDescent="0.45">
      <c r="A812">
        <v>2853</v>
      </c>
      <c r="B812">
        <v>1176</v>
      </c>
      <c r="C812" t="s">
        <v>496</v>
      </c>
      <c r="D812" t="s">
        <v>22</v>
      </c>
      <c r="E812">
        <v>30</v>
      </c>
      <c r="F812">
        <v>690</v>
      </c>
      <c r="G812" t="s">
        <v>497</v>
      </c>
      <c r="H812" t="s">
        <v>73</v>
      </c>
      <c r="I812" t="s">
        <v>140</v>
      </c>
      <c r="J812" t="s">
        <v>141</v>
      </c>
      <c r="K812" t="s">
        <v>55</v>
      </c>
      <c r="L812" t="s">
        <v>67</v>
      </c>
      <c r="M812" t="s">
        <v>68</v>
      </c>
      <c r="N812" t="s">
        <v>69</v>
      </c>
      <c r="O812" t="s">
        <v>70</v>
      </c>
      <c r="P812">
        <v>1</v>
      </c>
      <c r="Q812" t="b">
        <v>0</v>
      </c>
      <c r="R812" s="1">
        <v>44540.1875</v>
      </c>
      <c r="V812" s="2">
        <v>44540.1875</v>
      </c>
      <c r="W812">
        <v>12</v>
      </c>
      <c r="X812">
        <v>2021</v>
      </c>
      <c r="Y812" t="s">
        <v>73</v>
      </c>
      <c r="Z812">
        <v>1</v>
      </c>
    </row>
    <row r="813" spans="1:26" x14ac:dyDescent="0.45">
      <c r="A813">
        <v>2854</v>
      </c>
      <c r="B813">
        <v>1205</v>
      </c>
      <c r="C813" t="s">
        <v>395</v>
      </c>
      <c r="D813" t="s">
        <v>42</v>
      </c>
      <c r="E813">
        <v>27</v>
      </c>
      <c r="F813">
        <v>693</v>
      </c>
      <c r="G813" t="s">
        <v>396</v>
      </c>
      <c r="H813" t="s">
        <v>172</v>
      </c>
      <c r="I813" t="s">
        <v>177</v>
      </c>
      <c r="J813" t="s">
        <v>178</v>
      </c>
      <c r="K813" t="s">
        <v>102</v>
      </c>
      <c r="L813" t="s">
        <v>56</v>
      </c>
      <c r="M813" t="s">
        <v>197</v>
      </c>
      <c r="N813" t="s">
        <v>198</v>
      </c>
      <c r="O813" t="s">
        <v>199</v>
      </c>
      <c r="P813">
        <v>1</v>
      </c>
      <c r="Q813" t="b">
        <v>0</v>
      </c>
      <c r="R813" s="1">
        <v>44444.737500000003</v>
      </c>
      <c r="V813" s="2">
        <v>44444.737500000003</v>
      </c>
      <c r="W813">
        <v>9</v>
      </c>
      <c r="X813">
        <v>2021</v>
      </c>
      <c r="Y813" t="s">
        <v>172</v>
      </c>
      <c r="Z813">
        <v>1</v>
      </c>
    </row>
    <row r="814" spans="1:26" x14ac:dyDescent="0.45">
      <c r="A814">
        <v>2855</v>
      </c>
      <c r="B814">
        <v>1396</v>
      </c>
      <c r="C814" t="s">
        <v>498</v>
      </c>
      <c r="D814" t="s">
        <v>42</v>
      </c>
      <c r="E814">
        <v>63</v>
      </c>
      <c r="F814">
        <v>754</v>
      </c>
      <c r="G814" t="s">
        <v>499</v>
      </c>
      <c r="H814" t="s">
        <v>63</v>
      </c>
      <c r="I814" t="s">
        <v>64</v>
      </c>
      <c r="J814" t="s">
        <v>281</v>
      </c>
      <c r="K814" t="s">
        <v>55</v>
      </c>
      <c r="L814" t="s">
        <v>96</v>
      </c>
      <c r="M814" t="s">
        <v>97</v>
      </c>
      <c r="N814" t="s">
        <v>98</v>
      </c>
      <c r="O814" t="s">
        <v>99</v>
      </c>
      <c r="P814">
        <v>4</v>
      </c>
      <c r="Q814" t="b">
        <v>0</v>
      </c>
      <c r="R814" s="1">
        <v>43891.059027777781</v>
      </c>
      <c r="V814" s="2">
        <v>43891.059027777781</v>
      </c>
      <c r="W814">
        <v>3</v>
      </c>
      <c r="X814">
        <v>2020</v>
      </c>
      <c r="Y814" t="s">
        <v>63</v>
      </c>
      <c r="Z814">
        <v>4</v>
      </c>
    </row>
    <row r="815" spans="1:26" x14ac:dyDescent="0.45">
      <c r="A815">
        <v>2856</v>
      </c>
      <c r="B815">
        <v>1046</v>
      </c>
      <c r="C815" t="s">
        <v>500</v>
      </c>
      <c r="D815" t="s">
        <v>22</v>
      </c>
      <c r="E815">
        <v>43</v>
      </c>
      <c r="F815">
        <v>710</v>
      </c>
      <c r="G815" t="s">
        <v>501</v>
      </c>
      <c r="H815" t="s">
        <v>52</v>
      </c>
      <c r="I815" t="s">
        <v>53</v>
      </c>
      <c r="J815" t="s">
        <v>54</v>
      </c>
      <c r="K815" t="s">
        <v>66</v>
      </c>
      <c r="L815" t="s">
        <v>96</v>
      </c>
      <c r="M815" t="s">
        <v>103</v>
      </c>
      <c r="N815" t="s">
        <v>31</v>
      </c>
      <c r="O815" t="s">
        <v>104</v>
      </c>
      <c r="P815">
        <v>2</v>
      </c>
      <c r="Q815" t="b">
        <v>1</v>
      </c>
      <c r="R815" s="1">
        <v>45110.369444444441</v>
      </c>
      <c r="S815" s="1">
        <v>45111.519444444442</v>
      </c>
      <c r="T815" t="s">
        <v>109</v>
      </c>
      <c r="U815" t="b">
        <v>0</v>
      </c>
      <c r="V815" s="2">
        <v>45110.369444444441</v>
      </c>
      <c r="W815">
        <v>7</v>
      </c>
      <c r="X815">
        <v>2023</v>
      </c>
      <c r="Y815" t="s">
        <v>52</v>
      </c>
      <c r="Z815">
        <v>2</v>
      </c>
    </row>
    <row r="816" spans="1:26" x14ac:dyDescent="0.45">
      <c r="A816">
        <v>2857</v>
      </c>
      <c r="B816">
        <v>1254</v>
      </c>
      <c r="C816" t="s">
        <v>502</v>
      </c>
      <c r="D816" t="s">
        <v>42</v>
      </c>
      <c r="E816">
        <v>29</v>
      </c>
      <c r="F816">
        <v>690</v>
      </c>
      <c r="G816" t="s">
        <v>503</v>
      </c>
      <c r="H816" t="s">
        <v>24</v>
      </c>
      <c r="I816" t="s">
        <v>44</v>
      </c>
      <c r="J816" t="s">
        <v>208</v>
      </c>
      <c r="K816" t="s">
        <v>46</v>
      </c>
      <c r="L816" t="s">
        <v>28</v>
      </c>
      <c r="M816" t="s">
        <v>38</v>
      </c>
      <c r="N816" t="s">
        <v>31</v>
      </c>
      <c r="O816" t="s">
        <v>39</v>
      </c>
      <c r="P816">
        <v>2</v>
      </c>
      <c r="Q816" t="b">
        <v>1</v>
      </c>
      <c r="R816" s="1">
        <v>44592.629166666666</v>
      </c>
      <c r="S816" s="1">
        <v>44596.230555555558</v>
      </c>
      <c r="T816" t="s">
        <v>60</v>
      </c>
      <c r="U816" t="b">
        <v>0</v>
      </c>
      <c r="V816" s="2">
        <v>44592.629166666666</v>
      </c>
      <c r="W816">
        <v>1</v>
      </c>
      <c r="X816">
        <v>2022</v>
      </c>
      <c r="Y816" t="s">
        <v>24</v>
      </c>
      <c r="Z816">
        <v>2</v>
      </c>
    </row>
    <row r="817" spans="1:26" x14ac:dyDescent="0.45">
      <c r="A817">
        <v>2858</v>
      </c>
      <c r="B817">
        <v>1418</v>
      </c>
      <c r="C817" t="s">
        <v>285</v>
      </c>
      <c r="D817" t="s">
        <v>22</v>
      </c>
      <c r="E817">
        <v>28</v>
      </c>
      <c r="F817">
        <v>682</v>
      </c>
      <c r="G817" t="s">
        <v>286</v>
      </c>
      <c r="H817" t="s">
        <v>35</v>
      </c>
      <c r="I817" t="s">
        <v>122</v>
      </c>
      <c r="J817" t="s">
        <v>135</v>
      </c>
      <c r="K817" t="s">
        <v>27</v>
      </c>
      <c r="L817" t="s">
        <v>76</v>
      </c>
      <c r="M817" t="s">
        <v>126</v>
      </c>
      <c r="N817" t="s">
        <v>98</v>
      </c>
      <c r="O817" t="s">
        <v>99</v>
      </c>
      <c r="P817">
        <v>3</v>
      </c>
      <c r="Q817" t="b">
        <v>1</v>
      </c>
      <c r="R817" s="1">
        <v>44403.478472222225</v>
      </c>
      <c r="S817" s="1">
        <v>44408.536805555559</v>
      </c>
      <c r="T817" t="s">
        <v>32</v>
      </c>
      <c r="U817" t="b">
        <v>0</v>
      </c>
      <c r="V817" s="2">
        <v>44403.478472222225</v>
      </c>
      <c r="W817">
        <v>7</v>
      </c>
      <c r="X817">
        <v>2021</v>
      </c>
      <c r="Y817" t="s">
        <v>35</v>
      </c>
      <c r="Z817">
        <v>3</v>
      </c>
    </row>
    <row r="818" spans="1:26" x14ac:dyDescent="0.45">
      <c r="A818">
        <v>2859</v>
      </c>
      <c r="B818">
        <v>1117</v>
      </c>
      <c r="C818" t="s">
        <v>243</v>
      </c>
      <c r="D818" t="s">
        <v>22</v>
      </c>
      <c r="E818">
        <v>53</v>
      </c>
      <c r="F818">
        <v>727</v>
      </c>
      <c r="G818" t="s">
        <v>244</v>
      </c>
      <c r="H818" t="s">
        <v>73</v>
      </c>
      <c r="I818" t="s">
        <v>74</v>
      </c>
      <c r="J818" t="s">
        <v>245</v>
      </c>
      <c r="K818" t="s">
        <v>46</v>
      </c>
      <c r="L818" t="s">
        <v>67</v>
      </c>
      <c r="M818" t="s">
        <v>68</v>
      </c>
      <c r="N818" t="s">
        <v>69</v>
      </c>
      <c r="O818" t="s">
        <v>70</v>
      </c>
      <c r="P818">
        <v>5</v>
      </c>
      <c r="Q818" t="b">
        <v>1</v>
      </c>
      <c r="R818" s="1">
        <v>44249.327777777777</v>
      </c>
      <c r="S818" s="1">
        <v>44253.131249999999</v>
      </c>
      <c r="T818" t="s">
        <v>40</v>
      </c>
      <c r="U818" t="b">
        <v>0</v>
      </c>
      <c r="V818" s="2">
        <v>44249.327777777777</v>
      </c>
      <c r="W818">
        <v>2</v>
      </c>
      <c r="X818">
        <v>2021</v>
      </c>
      <c r="Y818" t="s">
        <v>73</v>
      </c>
      <c r="Z818">
        <v>5</v>
      </c>
    </row>
    <row r="819" spans="1:26" x14ac:dyDescent="0.45">
      <c r="A819">
        <v>2860</v>
      </c>
      <c r="B819">
        <v>1278</v>
      </c>
      <c r="C819" t="s">
        <v>61</v>
      </c>
      <c r="D819" t="s">
        <v>42</v>
      </c>
      <c r="E819">
        <v>18</v>
      </c>
      <c r="F819">
        <v>607</v>
      </c>
      <c r="G819" t="s">
        <v>62</v>
      </c>
      <c r="H819" t="s">
        <v>63</v>
      </c>
      <c r="I819" t="s">
        <v>64</v>
      </c>
      <c r="J819" t="s">
        <v>65</v>
      </c>
      <c r="K819" t="s">
        <v>66</v>
      </c>
      <c r="L819" t="s">
        <v>67</v>
      </c>
      <c r="M819" t="s">
        <v>233</v>
      </c>
      <c r="N819" t="s">
        <v>89</v>
      </c>
      <c r="O819" t="s">
        <v>90</v>
      </c>
      <c r="P819">
        <v>1</v>
      </c>
      <c r="Q819" t="b">
        <v>0</v>
      </c>
      <c r="R819" s="1">
        <v>45233.904861111114</v>
      </c>
      <c r="V819" s="2">
        <v>45233.904861111114</v>
      </c>
      <c r="W819">
        <v>11</v>
      </c>
      <c r="X819">
        <v>2023</v>
      </c>
      <c r="Y819" t="s">
        <v>63</v>
      </c>
      <c r="Z819">
        <v>1</v>
      </c>
    </row>
    <row r="820" spans="1:26" x14ac:dyDescent="0.45">
      <c r="A820">
        <v>2861</v>
      </c>
      <c r="B820">
        <v>1166</v>
      </c>
      <c r="C820" t="s">
        <v>397</v>
      </c>
      <c r="D820" t="s">
        <v>22</v>
      </c>
      <c r="E820">
        <v>70</v>
      </c>
      <c r="F820">
        <v>754</v>
      </c>
      <c r="G820" t="s">
        <v>398</v>
      </c>
      <c r="H820" t="s">
        <v>172</v>
      </c>
      <c r="I820" t="s">
        <v>173</v>
      </c>
      <c r="J820" t="s">
        <v>399</v>
      </c>
      <c r="K820" t="s">
        <v>37</v>
      </c>
      <c r="L820" t="s">
        <v>56</v>
      </c>
      <c r="M820" t="s">
        <v>197</v>
      </c>
      <c r="N820" t="s">
        <v>198</v>
      </c>
      <c r="O820" t="s">
        <v>199</v>
      </c>
      <c r="P820">
        <v>3</v>
      </c>
      <c r="Q820" t="b">
        <v>1</v>
      </c>
      <c r="R820" s="1">
        <v>45159.970833333333</v>
      </c>
      <c r="S820" s="1">
        <v>45161.195833333331</v>
      </c>
      <c r="T820" t="s">
        <v>40</v>
      </c>
      <c r="U820" t="b">
        <v>0</v>
      </c>
      <c r="V820" s="2">
        <v>45159.970833333333</v>
      </c>
      <c r="W820">
        <v>8</v>
      </c>
      <c r="X820">
        <v>2023</v>
      </c>
      <c r="Y820" t="s">
        <v>172</v>
      </c>
      <c r="Z820">
        <v>3</v>
      </c>
    </row>
    <row r="821" spans="1:26" x14ac:dyDescent="0.45">
      <c r="A821">
        <v>2862</v>
      </c>
      <c r="B821">
        <v>1358</v>
      </c>
      <c r="C821" t="s">
        <v>504</v>
      </c>
      <c r="D821" t="s">
        <v>42</v>
      </c>
      <c r="E821">
        <v>40</v>
      </c>
      <c r="F821">
        <v>697</v>
      </c>
      <c r="G821" t="s">
        <v>505</v>
      </c>
      <c r="H821" t="s">
        <v>52</v>
      </c>
      <c r="I821" t="s">
        <v>150</v>
      </c>
      <c r="J821" t="s">
        <v>151</v>
      </c>
      <c r="K821" t="s">
        <v>55</v>
      </c>
      <c r="L821" t="s">
        <v>96</v>
      </c>
      <c r="M821" t="s">
        <v>118</v>
      </c>
      <c r="N821" t="s">
        <v>90</v>
      </c>
      <c r="O821" t="s">
        <v>119</v>
      </c>
      <c r="P821">
        <v>1</v>
      </c>
      <c r="Q821" t="b">
        <v>1</v>
      </c>
      <c r="R821" s="1">
        <v>44416.811111111114</v>
      </c>
      <c r="S821" s="1">
        <v>44417.064583333333</v>
      </c>
      <c r="T821" t="s">
        <v>32</v>
      </c>
      <c r="U821" t="b">
        <v>0</v>
      </c>
      <c r="V821" s="2">
        <v>44416.811111111114</v>
      </c>
      <c r="W821">
        <v>8</v>
      </c>
      <c r="X821">
        <v>2021</v>
      </c>
      <c r="Y821" t="s">
        <v>52</v>
      </c>
      <c r="Z821">
        <v>1</v>
      </c>
    </row>
    <row r="822" spans="1:26" x14ac:dyDescent="0.45">
      <c r="A822">
        <v>2863</v>
      </c>
      <c r="B822">
        <v>1435</v>
      </c>
      <c r="C822" t="s">
        <v>273</v>
      </c>
      <c r="D822" t="s">
        <v>22</v>
      </c>
      <c r="E822">
        <v>52</v>
      </c>
      <c r="F822">
        <v>715</v>
      </c>
      <c r="G822" t="s">
        <v>274</v>
      </c>
      <c r="H822" t="s">
        <v>172</v>
      </c>
      <c r="I822" t="s">
        <v>177</v>
      </c>
      <c r="J822" t="s">
        <v>178</v>
      </c>
      <c r="K822" t="s">
        <v>102</v>
      </c>
      <c r="L822" t="s">
        <v>56</v>
      </c>
      <c r="M822" t="s">
        <v>197</v>
      </c>
      <c r="N822" t="s">
        <v>198</v>
      </c>
      <c r="O822" t="s">
        <v>199</v>
      </c>
      <c r="P822">
        <v>4</v>
      </c>
      <c r="Q822" t="b">
        <v>0</v>
      </c>
      <c r="R822" s="1">
        <v>44631.570138888892</v>
      </c>
      <c r="V822" s="2">
        <v>44631.570138888892</v>
      </c>
      <c r="W822">
        <v>3</v>
      </c>
      <c r="X822">
        <v>2022</v>
      </c>
      <c r="Y822" t="s">
        <v>172</v>
      </c>
      <c r="Z822">
        <v>4</v>
      </c>
    </row>
    <row r="823" spans="1:26" x14ac:dyDescent="0.45">
      <c r="A823">
        <v>2864</v>
      </c>
      <c r="B823">
        <v>1314</v>
      </c>
      <c r="C823" t="s">
        <v>506</v>
      </c>
      <c r="D823" t="s">
        <v>42</v>
      </c>
      <c r="E823">
        <v>54</v>
      </c>
      <c r="F823">
        <v>738</v>
      </c>
      <c r="G823" t="s">
        <v>507</v>
      </c>
      <c r="H823" t="s">
        <v>93</v>
      </c>
      <c r="I823" t="s">
        <v>94</v>
      </c>
      <c r="J823" t="s">
        <v>107</v>
      </c>
      <c r="K823" t="s">
        <v>102</v>
      </c>
      <c r="L823" t="s">
        <v>67</v>
      </c>
      <c r="M823" t="s">
        <v>233</v>
      </c>
      <c r="N823" t="s">
        <v>89</v>
      </c>
      <c r="O823" t="s">
        <v>90</v>
      </c>
      <c r="P823">
        <v>5</v>
      </c>
      <c r="Q823" t="b">
        <v>1</v>
      </c>
      <c r="R823" s="1">
        <v>44485.588888888888</v>
      </c>
      <c r="S823" s="1">
        <v>44488.425000000003</v>
      </c>
      <c r="T823" t="s">
        <v>32</v>
      </c>
      <c r="U823" t="b">
        <v>0</v>
      </c>
      <c r="V823" s="2">
        <v>44485.588888888888</v>
      </c>
      <c r="W823">
        <v>10</v>
      </c>
      <c r="X823">
        <v>2021</v>
      </c>
      <c r="Y823" t="s">
        <v>93</v>
      </c>
      <c r="Z823">
        <v>5</v>
      </c>
    </row>
    <row r="824" spans="1:26" x14ac:dyDescent="0.45">
      <c r="A824">
        <v>2865</v>
      </c>
      <c r="B824">
        <v>1161</v>
      </c>
      <c r="C824" t="s">
        <v>508</v>
      </c>
      <c r="D824" t="s">
        <v>22</v>
      </c>
      <c r="E824">
        <v>72</v>
      </c>
      <c r="F824">
        <v>759</v>
      </c>
      <c r="G824" t="s">
        <v>509</v>
      </c>
      <c r="H824" t="s">
        <v>85</v>
      </c>
      <c r="I824" t="s">
        <v>116</v>
      </c>
      <c r="J824" t="s">
        <v>154</v>
      </c>
      <c r="K824" t="s">
        <v>46</v>
      </c>
      <c r="L824" t="s">
        <v>28</v>
      </c>
      <c r="M824" t="s">
        <v>38</v>
      </c>
      <c r="N824" t="s">
        <v>31</v>
      </c>
      <c r="O824" t="s">
        <v>39</v>
      </c>
      <c r="P824">
        <v>2</v>
      </c>
      <c r="Q824" t="b">
        <v>1</v>
      </c>
      <c r="R824" s="1">
        <v>44247.85</v>
      </c>
      <c r="S824" s="1">
        <v>44254.159722222219</v>
      </c>
      <c r="T824" t="s">
        <v>32</v>
      </c>
      <c r="U824" t="b">
        <v>0</v>
      </c>
      <c r="V824" s="2">
        <v>44247.85</v>
      </c>
      <c r="W824">
        <v>2</v>
      </c>
      <c r="X824">
        <v>2021</v>
      </c>
      <c r="Y824" t="s">
        <v>85</v>
      </c>
      <c r="Z824">
        <v>2</v>
      </c>
    </row>
    <row r="825" spans="1:26" x14ac:dyDescent="0.45">
      <c r="A825">
        <v>2866</v>
      </c>
      <c r="B825">
        <v>1100</v>
      </c>
      <c r="C825" t="s">
        <v>510</v>
      </c>
      <c r="D825" t="s">
        <v>42</v>
      </c>
      <c r="E825">
        <v>48</v>
      </c>
      <c r="F825">
        <v>734</v>
      </c>
      <c r="G825" t="s">
        <v>511</v>
      </c>
      <c r="H825" t="s">
        <v>93</v>
      </c>
      <c r="I825" t="s">
        <v>112</v>
      </c>
      <c r="J825" t="s">
        <v>147</v>
      </c>
      <c r="K825" t="s">
        <v>102</v>
      </c>
      <c r="L825" t="s">
        <v>67</v>
      </c>
      <c r="M825" t="s">
        <v>233</v>
      </c>
      <c r="N825" t="s">
        <v>89</v>
      </c>
      <c r="O825" t="s">
        <v>90</v>
      </c>
      <c r="P825">
        <v>4</v>
      </c>
      <c r="Q825" t="b">
        <v>1</v>
      </c>
      <c r="R825" s="1">
        <v>44076.963888888888</v>
      </c>
      <c r="S825" s="1">
        <v>44081.667361111111</v>
      </c>
      <c r="T825" t="s">
        <v>32</v>
      </c>
      <c r="U825" t="b">
        <v>0</v>
      </c>
      <c r="V825" s="2">
        <v>44076.963888888888</v>
      </c>
      <c r="W825">
        <v>9</v>
      </c>
      <c r="X825">
        <v>2020</v>
      </c>
      <c r="Y825" t="s">
        <v>93</v>
      </c>
      <c r="Z825">
        <v>4</v>
      </c>
    </row>
    <row r="826" spans="1:26" x14ac:dyDescent="0.45">
      <c r="A826">
        <v>2867</v>
      </c>
      <c r="B826">
        <v>1255</v>
      </c>
      <c r="C826" t="s">
        <v>455</v>
      </c>
      <c r="D826" t="s">
        <v>22</v>
      </c>
      <c r="E826">
        <v>32</v>
      </c>
      <c r="F826">
        <v>691</v>
      </c>
      <c r="G826" t="s">
        <v>456</v>
      </c>
      <c r="H826" t="s">
        <v>172</v>
      </c>
      <c r="I826" t="s">
        <v>173</v>
      </c>
      <c r="J826" t="s">
        <v>423</v>
      </c>
      <c r="K826" t="s">
        <v>37</v>
      </c>
      <c r="L826" t="s">
        <v>96</v>
      </c>
      <c r="M826" t="s">
        <v>136</v>
      </c>
      <c r="N826" t="s">
        <v>30</v>
      </c>
      <c r="O826" t="s">
        <v>137</v>
      </c>
      <c r="P826">
        <v>2</v>
      </c>
      <c r="Q826" t="b">
        <v>1</v>
      </c>
      <c r="R826" s="1">
        <v>44216.953472222223</v>
      </c>
      <c r="S826" s="1">
        <v>44219.772916666669</v>
      </c>
      <c r="T826" t="s">
        <v>32</v>
      </c>
      <c r="U826" t="b">
        <v>0</v>
      </c>
      <c r="V826" s="2">
        <v>44216.953472222223</v>
      </c>
      <c r="W826">
        <v>1</v>
      </c>
      <c r="X826">
        <v>2021</v>
      </c>
      <c r="Y826" t="s">
        <v>172</v>
      </c>
      <c r="Z826">
        <v>2</v>
      </c>
    </row>
    <row r="827" spans="1:26" x14ac:dyDescent="0.45">
      <c r="A827">
        <v>2868</v>
      </c>
      <c r="B827">
        <v>1272</v>
      </c>
      <c r="C827" t="s">
        <v>512</v>
      </c>
      <c r="D827" t="s">
        <v>42</v>
      </c>
      <c r="E827">
        <v>49</v>
      </c>
      <c r="F827">
        <v>734</v>
      </c>
      <c r="G827" t="s">
        <v>513</v>
      </c>
      <c r="H827" t="s">
        <v>63</v>
      </c>
      <c r="I827" t="s">
        <v>300</v>
      </c>
      <c r="J827" t="s">
        <v>514</v>
      </c>
      <c r="K827" t="s">
        <v>46</v>
      </c>
      <c r="L827" t="s">
        <v>56</v>
      </c>
      <c r="M827" t="s">
        <v>197</v>
      </c>
      <c r="N827" t="s">
        <v>198</v>
      </c>
      <c r="O827" t="s">
        <v>199</v>
      </c>
      <c r="P827">
        <v>4</v>
      </c>
      <c r="Q827" t="b">
        <v>1</v>
      </c>
      <c r="R827" s="1">
        <v>43872.823611111111</v>
      </c>
      <c r="S827" s="1">
        <v>43874.867361111108</v>
      </c>
      <c r="T827" t="s">
        <v>109</v>
      </c>
      <c r="U827" t="b">
        <v>0</v>
      </c>
      <c r="V827" s="2">
        <v>43872.823611111111</v>
      </c>
      <c r="W827">
        <v>2</v>
      </c>
      <c r="X827">
        <v>2020</v>
      </c>
      <c r="Y827" t="s">
        <v>63</v>
      </c>
      <c r="Z827">
        <v>4</v>
      </c>
    </row>
    <row r="828" spans="1:26" x14ac:dyDescent="0.45">
      <c r="A828">
        <v>2870</v>
      </c>
      <c r="B828">
        <v>1483</v>
      </c>
      <c r="C828" t="s">
        <v>515</v>
      </c>
      <c r="D828" t="s">
        <v>22</v>
      </c>
      <c r="E828">
        <v>61</v>
      </c>
      <c r="F828">
        <v>751</v>
      </c>
      <c r="G828" t="s">
        <v>516</v>
      </c>
      <c r="H828" t="s">
        <v>24</v>
      </c>
      <c r="I828" t="s">
        <v>25</v>
      </c>
      <c r="J828" t="s">
        <v>188</v>
      </c>
      <c r="K828" t="s">
        <v>46</v>
      </c>
      <c r="L828" t="s">
        <v>28</v>
      </c>
      <c r="M828" t="s">
        <v>142</v>
      </c>
      <c r="N828" t="s">
        <v>143</v>
      </c>
      <c r="O828" t="s">
        <v>144</v>
      </c>
      <c r="P828">
        <v>2</v>
      </c>
      <c r="Q828" t="b">
        <v>1</v>
      </c>
      <c r="R828" s="1">
        <v>44731.477083333331</v>
      </c>
      <c r="S828" s="1">
        <v>44734.302777777775</v>
      </c>
      <c r="T828" t="s">
        <v>32</v>
      </c>
      <c r="U828" t="b">
        <v>0</v>
      </c>
      <c r="V828" s="2">
        <v>44731.477083333331</v>
      </c>
      <c r="W828">
        <v>6</v>
      </c>
      <c r="X828">
        <v>2022</v>
      </c>
      <c r="Y828" t="s">
        <v>24</v>
      </c>
      <c r="Z828">
        <v>2</v>
      </c>
    </row>
    <row r="829" spans="1:26" x14ac:dyDescent="0.45">
      <c r="A829">
        <v>2871</v>
      </c>
      <c r="B829">
        <v>1421</v>
      </c>
      <c r="C829" t="s">
        <v>517</v>
      </c>
      <c r="D829" t="s">
        <v>22</v>
      </c>
      <c r="E829">
        <v>74</v>
      </c>
      <c r="F829">
        <v>760</v>
      </c>
      <c r="G829" t="s">
        <v>518</v>
      </c>
      <c r="H829" t="s">
        <v>63</v>
      </c>
      <c r="I829" t="s">
        <v>64</v>
      </c>
      <c r="J829" t="s">
        <v>164</v>
      </c>
      <c r="K829" t="s">
        <v>102</v>
      </c>
      <c r="L829" t="s">
        <v>76</v>
      </c>
      <c r="M829" t="s">
        <v>132</v>
      </c>
      <c r="N829" t="s">
        <v>59</v>
      </c>
      <c r="O829" t="s">
        <v>98</v>
      </c>
      <c r="P829">
        <v>2</v>
      </c>
      <c r="Q829" t="b">
        <v>1</v>
      </c>
      <c r="R829" s="1">
        <v>45121.711805555555</v>
      </c>
      <c r="S829" s="1">
        <v>45126.835416666669</v>
      </c>
      <c r="T829" t="s">
        <v>109</v>
      </c>
      <c r="U829" t="b">
        <v>0</v>
      </c>
      <c r="V829" s="2">
        <v>45121.711805555555</v>
      </c>
      <c r="W829">
        <v>7</v>
      </c>
      <c r="X829">
        <v>2023</v>
      </c>
      <c r="Y829" t="s">
        <v>63</v>
      </c>
      <c r="Z829">
        <v>2</v>
      </c>
    </row>
    <row r="830" spans="1:26" x14ac:dyDescent="0.45">
      <c r="A830">
        <v>2872</v>
      </c>
      <c r="B830">
        <v>1332</v>
      </c>
      <c r="C830" t="s">
        <v>406</v>
      </c>
      <c r="D830" t="s">
        <v>22</v>
      </c>
      <c r="E830">
        <v>33</v>
      </c>
      <c r="F830">
        <v>699</v>
      </c>
      <c r="G830" t="s">
        <v>407</v>
      </c>
      <c r="H830" t="s">
        <v>129</v>
      </c>
      <c r="I830" t="s">
        <v>130</v>
      </c>
      <c r="J830" t="s">
        <v>131</v>
      </c>
      <c r="K830" t="s">
        <v>66</v>
      </c>
      <c r="L830" t="s">
        <v>96</v>
      </c>
      <c r="M830" t="s">
        <v>97</v>
      </c>
      <c r="N830" t="s">
        <v>98</v>
      </c>
      <c r="O830" t="s">
        <v>99</v>
      </c>
      <c r="P830">
        <v>5</v>
      </c>
      <c r="Q830" t="b">
        <v>0</v>
      </c>
      <c r="R830" s="1">
        <v>44125.729166666664</v>
      </c>
      <c r="V830" s="2">
        <v>44125.729166666664</v>
      </c>
      <c r="W830">
        <v>10</v>
      </c>
      <c r="X830">
        <v>2020</v>
      </c>
      <c r="Y830" t="s">
        <v>129</v>
      </c>
      <c r="Z830">
        <v>5</v>
      </c>
    </row>
    <row r="831" spans="1:26" x14ac:dyDescent="0.45">
      <c r="A831">
        <v>2873</v>
      </c>
      <c r="B831">
        <v>1074</v>
      </c>
      <c r="C831" t="s">
        <v>519</v>
      </c>
      <c r="D831" t="s">
        <v>22</v>
      </c>
      <c r="E831">
        <v>46</v>
      </c>
      <c r="F831">
        <v>732</v>
      </c>
      <c r="G831" t="s">
        <v>520</v>
      </c>
      <c r="H831" t="s">
        <v>172</v>
      </c>
      <c r="I831" t="s">
        <v>177</v>
      </c>
      <c r="J831" t="s">
        <v>356</v>
      </c>
      <c r="K831" t="s">
        <v>66</v>
      </c>
      <c r="L831" t="s">
        <v>96</v>
      </c>
      <c r="M831" t="s">
        <v>136</v>
      </c>
      <c r="N831" t="s">
        <v>30</v>
      </c>
      <c r="O831" t="s">
        <v>137</v>
      </c>
      <c r="P831">
        <v>1</v>
      </c>
      <c r="Q831" t="b">
        <v>1</v>
      </c>
      <c r="R831" s="1">
        <v>44244.42083333333</v>
      </c>
      <c r="S831" s="1">
        <v>44250.642361111109</v>
      </c>
      <c r="T831" t="s">
        <v>109</v>
      </c>
      <c r="U831" t="b">
        <v>0</v>
      </c>
      <c r="V831" s="2">
        <v>44244.42083333333</v>
      </c>
      <c r="W831">
        <v>2</v>
      </c>
      <c r="X831">
        <v>2021</v>
      </c>
      <c r="Y831" t="s">
        <v>172</v>
      </c>
      <c r="Z831">
        <v>1</v>
      </c>
    </row>
    <row r="832" spans="1:26" x14ac:dyDescent="0.45">
      <c r="A832">
        <v>2874</v>
      </c>
      <c r="B832">
        <v>1185</v>
      </c>
      <c r="C832" t="s">
        <v>248</v>
      </c>
      <c r="D832" t="s">
        <v>22</v>
      </c>
      <c r="E832">
        <v>49</v>
      </c>
      <c r="F832">
        <v>701</v>
      </c>
      <c r="G832" t="s">
        <v>249</v>
      </c>
      <c r="H832" t="s">
        <v>35</v>
      </c>
      <c r="I832" t="s">
        <v>36</v>
      </c>
      <c r="J832" t="s">
        <v>36</v>
      </c>
      <c r="K832" t="s">
        <v>102</v>
      </c>
      <c r="L832" t="s">
        <v>28</v>
      </c>
      <c r="M832" t="s">
        <v>38</v>
      </c>
      <c r="N832" t="s">
        <v>31</v>
      </c>
      <c r="O832" t="s">
        <v>39</v>
      </c>
      <c r="P832">
        <v>4</v>
      </c>
      <c r="Q832" t="b">
        <v>0</v>
      </c>
      <c r="R832" s="1">
        <v>44386.064583333333</v>
      </c>
      <c r="V832" s="2">
        <v>44386.064583333333</v>
      </c>
      <c r="W832">
        <v>7</v>
      </c>
      <c r="X832">
        <v>2021</v>
      </c>
      <c r="Y832" t="s">
        <v>35</v>
      </c>
      <c r="Z832">
        <v>4</v>
      </c>
    </row>
    <row r="833" spans="1:26" x14ac:dyDescent="0.45">
      <c r="A833">
        <v>2875</v>
      </c>
      <c r="B833">
        <v>1167</v>
      </c>
      <c r="C833" t="s">
        <v>521</v>
      </c>
      <c r="D833" t="s">
        <v>22</v>
      </c>
      <c r="E833">
        <v>45</v>
      </c>
      <c r="F833">
        <v>736</v>
      </c>
      <c r="G833" t="s">
        <v>522</v>
      </c>
      <c r="H833" t="s">
        <v>129</v>
      </c>
      <c r="I833" t="s">
        <v>130</v>
      </c>
      <c r="J833" t="s">
        <v>131</v>
      </c>
      <c r="K833" t="s">
        <v>55</v>
      </c>
      <c r="L833" t="s">
        <v>96</v>
      </c>
      <c r="M833" t="s">
        <v>97</v>
      </c>
      <c r="N833" t="s">
        <v>98</v>
      </c>
      <c r="O833" t="s">
        <v>99</v>
      </c>
      <c r="P833">
        <v>1</v>
      </c>
      <c r="Q833" t="b">
        <v>0</v>
      </c>
      <c r="R833" s="1">
        <v>45019.52847222222</v>
      </c>
      <c r="V833" s="2">
        <v>45019.52847222222</v>
      </c>
      <c r="W833">
        <v>4</v>
      </c>
      <c r="X833">
        <v>2023</v>
      </c>
      <c r="Y833" t="s">
        <v>129</v>
      </c>
      <c r="Z833">
        <v>1</v>
      </c>
    </row>
    <row r="834" spans="1:26" x14ac:dyDescent="0.45">
      <c r="A834">
        <v>2876</v>
      </c>
      <c r="B834">
        <v>1335</v>
      </c>
      <c r="C834" t="s">
        <v>523</v>
      </c>
      <c r="D834" t="s">
        <v>42</v>
      </c>
      <c r="E834">
        <v>51</v>
      </c>
      <c r="F834">
        <v>736</v>
      </c>
      <c r="G834" t="s">
        <v>524</v>
      </c>
      <c r="H834" t="s">
        <v>85</v>
      </c>
      <c r="I834" t="s">
        <v>116</v>
      </c>
      <c r="J834" t="s">
        <v>154</v>
      </c>
      <c r="K834" t="s">
        <v>102</v>
      </c>
      <c r="L834" t="s">
        <v>76</v>
      </c>
      <c r="M834" t="s">
        <v>132</v>
      </c>
      <c r="N834" t="s">
        <v>59</v>
      </c>
      <c r="O834" t="s">
        <v>98</v>
      </c>
      <c r="P834">
        <v>2</v>
      </c>
      <c r="Q834" t="b">
        <v>1</v>
      </c>
      <c r="R834" s="1">
        <v>44152.737500000003</v>
      </c>
      <c r="S834" s="1">
        <v>44158.977777777778</v>
      </c>
      <c r="T834" t="s">
        <v>109</v>
      </c>
      <c r="U834" t="b">
        <v>0</v>
      </c>
      <c r="V834" s="2">
        <v>44152.737500000003</v>
      </c>
      <c r="W834">
        <v>11</v>
      </c>
      <c r="X834">
        <v>2020</v>
      </c>
      <c r="Y834" t="s">
        <v>85</v>
      </c>
      <c r="Z834">
        <v>2</v>
      </c>
    </row>
    <row r="835" spans="1:26" x14ac:dyDescent="0.45">
      <c r="A835">
        <v>2877</v>
      </c>
      <c r="B835">
        <v>1448</v>
      </c>
      <c r="C835" t="s">
        <v>525</v>
      </c>
      <c r="D835" t="s">
        <v>22</v>
      </c>
      <c r="E835">
        <v>43</v>
      </c>
      <c r="F835">
        <v>732</v>
      </c>
      <c r="G835" t="s">
        <v>526</v>
      </c>
      <c r="H835" t="s">
        <v>24</v>
      </c>
      <c r="I835" t="s">
        <v>44</v>
      </c>
      <c r="J835" t="s">
        <v>208</v>
      </c>
      <c r="K835" t="s">
        <v>66</v>
      </c>
      <c r="L835" t="s">
        <v>76</v>
      </c>
      <c r="M835" t="s">
        <v>132</v>
      </c>
      <c r="N835" t="s">
        <v>59</v>
      </c>
      <c r="O835" t="s">
        <v>98</v>
      </c>
      <c r="P835">
        <v>1</v>
      </c>
      <c r="Q835" t="b">
        <v>1</v>
      </c>
      <c r="R835" s="1">
        <v>44341.050694444442</v>
      </c>
      <c r="S835" s="1">
        <v>44345.688194444447</v>
      </c>
      <c r="T835" t="s">
        <v>40</v>
      </c>
      <c r="U835" t="b">
        <v>0</v>
      </c>
      <c r="V835" s="2">
        <v>44341.050694444442</v>
      </c>
      <c r="W835">
        <v>5</v>
      </c>
      <c r="X835">
        <v>2021</v>
      </c>
      <c r="Y835" t="s">
        <v>24</v>
      </c>
      <c r="Z835">
        <v>1</v>
      </c>
    </row>
    <row r="836" spans="1:26" x14ac:dyDescent="0.45">
      <c r="A836">
        <v>2878</v>
      </c>
      <c r="B836">
        <v>1388</v>
      </c>
      <c r="C836" t="s">
        <v>527</v>
      </c>
      <c r="D836" t="s">
        <v>22</v>
      </c>
      <c r="E836">
        <v>18</v>
      </c>
      <c r="F836">
        <v>627</v>
      </c>
      <c r="G836" t="s">
        <v>528</v>
      </c>
      <c r="H836" t="s">
        <v>52</v>
      </c>
      <c r="I836" t="s">
        <v>53</v>
      </c>
      <c r="J836" t="s">
        <v>196</v>
      </c>
      <c r="K836" t="s">
        <v>66</v>
      </c>
      <c r="L836" t="s">
        <v>67</v>
      </c>
      <c r="M836" t="s">
        <v>233</v>
      </c>
      <c r="N836" t="s">
        <v>89</v>
      </c>
      <c r="O836" t="s">
        <v>90</v>
      </c>
      <c r="P836">
        <v>3</v>
      </c>
      <c r="Q836" t="b">
        <v>1</v>
      </c>
      <c r="R836" s="1">
        <v>44416.386111111111</v>
      </c>
      <c r="S836" s="1">
        <v>44422.962500000001</v>
      </c>
      <c r="T836" t="s">
        <v>32</v>
      </c>
      <c r="U836" t="b">
        <v>0</v>
      </c>
      <c r="V836" s="2">
        <v>44416.386111111111</v>
      </c>
      <c r="W836">
        <v>8</v>
      </c>
      <c r="X836">
        <v>2021</v>
      </c>
      <c r="Y836" t="s">
        <v>52</v>
      </c>
      <c r="Z836">
        <v>3</v>
      </c>
    </row>
    <row r="837" spans="1:26" x14ac:dyDescent="0.45">
      <c r="A837">
        <v>2879</v>
      </c>
      <c r="B837">
        <v>1149</v>
      </c>
      <c r="C837" t="s">
        <v>529</v>
      </c>
      <c r="D837" t="s">
        <v>22</v>
      </c>
      <c r="E837">
        <v>20</v>
      </c>
      <c r="F837">
        <v>633</v>
      </c>
      <c r="G837" t="s">
        <v>530</v>
      </c>
      <c r="H837" t="s">
        <v>93</v>
      </c>
      <c r="I837" t="s">
        <v>112</v>
      </c>
      <c r="J837" t="s">
        <v>113</v>
      </c>
      <c r="K837" t="s">
        <v>27</v>
      </c>
      <c r="L837" t="s">
        <v>76</v>
      </c>
      <c r="M837" t="s">
        <v>132</v>
      </c>
      <c r="N837" t="s">
        <v>59</v>
      </c>
      <c r="O837" t="s">
        <v>98</v>
      </c>
      <c r="P837">
        <v>1</v>
      </c>
      <c r="Q837" t="b">
        <v>1</v>
      </c>
      <c r="R837" s="1">
        <v>44690.138888888891</v>
      </c>
      <c r="S837" s="1">
        <v>44695.806944444441</v>
      </c>
      <c r="T837" t="s">
        <v>109</v>
      </c>
      <c r="U837" t="b">
        <v>0</v>
      </c>
      <c r="V837" s="2">
        <v>44690.138888888891</v>
      </c>
      <c r="W837">
        <v>5</v>
      </c>
      <c r="X837">
        <v>2022</v>
      </c>
      <c r="Y837" t="s">
        <v>93</v>
      </c>
      <c r="Z837">
        <v>1</v>
      </c>
    </row>
    <row r="838" spans="1:26" x14ac:dyDescent="0.45">
      <c r="A838">
        <v>2880</v>
      </c>
      <c r="B838">
        <v>1071</v>
      </c>
      <c r="C838" t="s">
        <v>531</v>
      </c>
      <c r="D838" t="s">
        <v>42</v>
      </c>
      <c r="E838">
        <v>54</v>
      </c>
      <c r="F838">
        <v>729</v>
      </c>
      <c r="G838" t="s">
        <v>532</v>
      </c>
      <c r="H838" t="s">
        <v>63</v>
      </c>
      <c r="I838" t="s">
        <v>64</v>
      </c>
      <c r="J838" t="s">
        <v>281</v>
      </c>
      <c r="K838" t="s">
        <v>46</v>
      </c>
      <c r="L838" t="s">
        <v>28</v>
      </c>
      <c r="M838" t="s">
        <v>38</v>
      </c>
      <c r="N838" t="s">
        <v>31</v>
      </c>
      <c r="O838" t="s">
        <v>39</v>
      </c>
      <c r="P838">
        <v>3</v>
      </c>
      <c r="Q838" t="b">
        <v>0</v>
      </c>
      <c r="R838" s="1">
        <v>44840.436805555553</v>
      </c>
      <c r="V838" s="2">
        <v>44840.436805555553</v>
      </c>
      <c r="W838">
        <v>10</v>
      </c>
      <c r="X838">
        <v>2022</v>
      </c>
      <c r="Y838" t="s">
        <v>63</v>
      </c>
      <c r="Z838">
        <v>3</v>
      </c>
    </row>
    <row r="839" spans="1:26" x14ac:dyDescent="0.45">
      <c r="A839">
        <v>2881</v>
      </c>
      <c r="B839">
        <v>1472</v>
      </c>
      <c r="C839" t="s">
        <v>209</v>
      </c>
      <c r="D839" t="s">
        <v>42</v>
      </c>
      <c r="E839">
        <v>46</v>
      </c>
      <c r="F839">
        <v>733</v>
      </c>
      <c r="G839" t="s">
        <v>210</v>
      </c>
      <c r="H839" t="s">
        <v>63</v>
      </c>
      <c r="I839" t="s">
        <v>64</v>
      </c>
      <c r="J839" t="s">
        <v>164</v>
      </c>
      <c r="K839" t="s">
        <v>66</v>
      </c>
      <c r="L839" t="s">
        <v>96</v>
      </c>
      <c r="M839" t="s">
        <v>97</v>
      </c>
      <c r="N839" t="s">
        <v>98</v>
      </c>
      <c r="O839" t="s">
        <v>99</v>
      </c>
      <c r="P839">
        <v>5</v>
      </c>
      <c r="Q839" t="b">
        <v>1</v>
      </c>
      <c r="R839" s="1">
        <v>45066.288888888892</v>
      </c>
      <c r="S839" s="1">
        <v>45068.458333333336</v>
      </c>
      <c r="T839" t="s">
        <v>32</v>
      </c>
      <c r="U839" t="b">
        <v>0</v>
      </c>
      <c r="V839" s="2">
        <v>45066.288888888892</v>
      </c>
      <c r="W839">
        <v>5</v>
      </c>
      <c r="X839">
        <v>2023</v>
      </c>
      <c r="Y839" t="s">
        <v>63</v>
      </c>
      <c r="Z839">
        <v>5</v>
      </c>
    </row>
    <row r="840" spans="1:26" x14ac:dyDescent="0.45">
      <c r="A840">
        <v>2882</v>
      </c>
      <c r="B840">
        <v>1497</v>
      </c>
      <c r="C840" t="s">
        <v>533</v>
      </c>
      <c r="D840" t="s">
        <v>22</v>
      </c>
      <c r="E840">
        <v>23</v>
      </c>
      <c r="F840">
        <v>625</v>
      </c>
      <c r="G840" t="s">
        <v>534</v>
      </c>
      <c r="H840" t="s">
        <v>85</v>
      </c>
      <c r="I840" t="s">
        <v>86</v>
      </c>
      <c r="J840" t="s">
        <v>182</v>
      </c>
      <c r="K840" t="s">
        <v>37</v>
      </c>
      <c r="L840" t="s">
        <v>96</v>
      </c>
      <c r="M840" t="s">
        <v>97</v>
      </c>
      <c r="N840" t="s">
        <v>98</v>
      </c>
      <c r="O840" t="s">
        <v>99</v>
      </c>
      <c r="P840">
        <v>4</v>
      </c>
      <c r="Q840" t="b">
        <v>0</v>
      </c>
      <c r="R840" s="1">
        <v>44753.656944444447</v>
      </c>
      <c r="V840" s="2">
        <v>44753.656944444447</v>
      </c>
      <c r="W840">
        <v>7</v>
      </c>
      <c r="X840">
        <v>2022</v>
      </c>
      <c r="Y840" t="s">
        <v>85</v>
      </c>
      <c r="Z840">
        <v>4</v>
      </c>
    </row>
    <row r="841" spans="1:26" x14ac:dyDescent="0.45">
      <c r="A841">
        <v>2883</v>
      </c>
      <c r="B841">
        <v>1345</v>
      </c>
      <c r="C841" t="s">
        <v>484</v>
      </c>
      <c r="D841" t="s">
        <v>42</v>
      </c>
      <c r="E841">
        <v>46</v>
      </c>
      <c r="F841">
        <v>709</v>
      </c>
      <c r="G841" t="s">
        <v>485</v>
      </c>
      <c r="H841" t="s">
        <v>73</v>
      </c>
      <c r="I841" t="s">
        <v>74</v>
      </c>
      <c r="J841" t="s">
        <v>245</v>
      </c>
      <c r="K841" t="s">
        <v>66</v>
      </c>
      <c r="L841" t="s">
        <v>56</v>
      </c>
      <c r="M841" t="s">
        <v>179</v>
      </c>
      <c r="N841" t="s">
        <v>79</v>
      </c>
      <c r="O841" t="s">
        <v>161</v>
      </c>
      <c r="P841">
        <v>2</v>
      </c>
      <c r="Q841" t="b">
        <v>1</v>
      </c>
      <c r="R841" s="1">
        <v>44705.305555555555</v>
      </c>
      <c r="S841" s="1">
        <v>44706.800694444442</v>
      </c>
      <c r="T841" t="s">
        <v>40</v>
      </c>
      <c r="U841" t="b">
        <v>1</v>
      </c>
      <c r="V841" s="2">
        <v>44705.305555555555</v>
      </c>
      <c r="W841">
        <v>5</v>
      </c>
      <c r="X841">
        <v>2022</v>
      </c>
      <c r="Y841" t="s">
        <v>73</v>
      </c>
      <c r="Z841">
        <v>2</v>
      </c>
    </row>
    <row r="842" spans="1:26" x14ac:dyDescent="0.45">
      <c r="A842">
        <v>2884</v>
      </c>
      <c r="B842">
        <v>1061</v>
      </c>
      <c r="C842" t="s">
        <v>535</v>
      </c>
      <c r="D842" t="s">
        <v>22</v>
      </c>
      <c r="E842">
        <v>28</v>
      </c>
      <c r="F842">
        <v>688</v>
      </c>
      <c r="G842" t="s">
        <v>536</v>
      </c>
      <c r="H842" t="s">
        <v>129</v>
      </c>
      <c r="I842" t="s">
        <v>263</v>
      </c>
      <c r="J842" t="s">
        <v>278</v>
      </c>
      <c r="K842" t="s">
        <v>37</v>
      </c>
      <c r="L842" t="s">
        <v>96</v>
      </c>
      <c r="M842" t="s">
        <v>118</v>
      </c>
      <c r="N842" t="s">
        <v>90</v>
      </c>
      <c r="O842" t="s">
        <v>119</v>
      </c>
      <c r="P842">
        <v>4</v>
      </c>
      <c r="Q842" t="b">
        <v>1</v>
      </c>
      <c r="R842" s="1">
        <v>44329.76458333333</v>
      </c>
      <c r="S842" s="1">
        <v>44333.965277777781</v>
      </c>
      <c r="T842" t="s">
        <v>40</v>
      </c>
      <c r="U842" t="b">
        <v>0</v>
      </c>
      <c r="V842" s="2">
        <v>44329.76458333333</v>
      </c>
      <c r="W842">
        <v>5</v>
      </c>
      <c r="X842">
        <v>2021</v>
      </c>
      <c r="Y842" t="s">
        <v>129</v>
      </c>
      <c r="Z842">
        <v>4</v>
      </c>
    </row>
    <row r="843" spans="1:26" x14ac:dyDescent="0.45">
      <c r="A843">
        <v>2885</v>
      </c>
      <c r="B843">
        <v>1298</v>
      </c>
      <c r="C843" t="s">
        <v>537</v>
      </c>
      <c r="D843" t="s">
        <v>42</v>
      </c>
      <c r="E843">
        <v>71</v>
      </c>
      <c r="F843">
        <v>757</v>
      </c>
      <c r="G843" t="s">
        <v>538</v>
      </c>
      <c r="H843" t="s">
        <v>172</v>
      </c>
      <c r="I843" t="s">
        <v>173</v>
      </c>
      <c r="J843" t="s">
        <v>174</v>
      </c>
      <c r="K843" t="s">
        <v>102</v>
      </c>
      <c r="L843" t="s">
        <v>76</v>
      </c>
      <c r="M843" t="s">
        <v>132</v>
      </c>
      <c r="N843" t="s">
        <v>59</v>
      </c>
      <c r="O843" t="s">
        <v>98</v>
      </c>
      <c r="P843">
        <v>4</v>
      </c>
      <c r="Q843" t="b">
        <v>1</v>
      </c>
      <c r="R843" s="1">
        <v>43988.397916666669</v>
      </c>
      <c r="S843" s="1">
        <v>43990.267361111109</v>
      </c>
      <c r="T843" t="s">
        <v>60</v>
      </c>
      <c r="U843" t="b">
        <v>0</v>
      </c>
      <c r="V843" s="2">
        <v>43988.397916666669</v>
      </c>
      <c r="W843">
        <v>6</v>
      </c>
      <c r="X843">
        <v>2020</v>
      </c>
      <c r="Y843" t="s">
        <v>172</v>
      </c>
      <c r="Z843">
        <v>4</v>
      </c>
    </row>
    <row r="844" spans="1:26" x14ac:dyDescent="0.45">
      <c r="A844">
        <v>2886</v>
      </c>
      <c r="B844">
        <v>1178</v>
      </c>
      <c r="C844" t="s">
        <v>539</v>
      </c>
      <c r="D844" t="s">
        <v>22</v>
      </c>
      <c r="E844">
        <v>16</v>
      </c>
      <c r="H844" t="s">
        <v>93</v>
      </c>
      <c r="I844" t="s">
        <v>112</v>
      </c>
      <c r="J844" t="s">
        <v>242</v>
      </c>
      <c r="K844" t="s">
        <v>27</v>
      </c>
      <c r="L844" t="s">
        <v>56</v>
      </c>
      <c r="M844" t="s">
        <v>88</v>
      </c>
      <c r="N844" t="s">
        <v>89</v>
      </c>
      <c r="O844" t="s">
        <v>90</v>
      </c>
      <c r="P844">
        <v>3</v>
      </c>
      <c r="Q844" t="b">
        <v>1</v>
      </c>
      <c r="R844" s="1">
        <v>44533.495138888888</v>
      </c>
      <c r="S844" s="1">
        <v>44533.978472222225</v>
      </c>
      <c r="T844" t="s">
        <v>60</v>
      </c>
      <c r="U844" t="b">
        <v>0</v>
      </c>
      <c r="V844" s="2">
        <v>44533.495138888888</v>
      </c>
      <c r="W844">
        <v>12</v>
      </c>
      <c r="X844">
        <v>2021</v>
      </c>
      <c r="Y844" t="s">
        <v>93</v>
      </c>
      <c r="Z844">
        <v>3</v>
      </c>
    </row>
    <row r="845" spans="1:26" x14ac:dyDescent="0.45">
      <c r="A845">
        <v>2887</v>
      </c>
      <c r="B845">
        <v>1481</v>
      </c>
      <c r="C845" t="s">
        <v>288</v>
      </c>
      <c r="D845" t="s">
        <v>42</v>
      </c>
      <c r="E845">
        <v>34</v>
      </c>
      <c r="F845">
        <v>697</v>
      </c>
      <c r="G845" t="s">
        <v>289</v>
      </c>
      <c r="H845" t="s">
        <v>35</v>
      </c>
      <c r="I845" t="s">
        <v>36</v>
      </c>
      <c r="J845" t="s">
        <v>123</v>
      </c>
      <c r="K845" t="s">
        <v>66</v>
      </c>
      <c r="L845" t="s">
        <v>56</v>
      </c>
      <c r="M845" t="s">
        <v>179</v>
      </c>
      <c r="N845" t="s">
        <v>79</v>
      </c>
      <c r="O845" t="s">
        <v>161</v>
      </c>
      <c r="P845">
        <v>3</v>
      </c>
      <c r="Q845" t="b">
        <v>0</v>
      </c>
      <c r="R845" s="1">
        <v>44467.638888888891</v>
      </c>
      <c r="V845" s="2">
        <v>44467.638888888891</v>
      </c>
      <c r="W845">
        <v>9</v>
      </c>
      <c r="X845">
        <v>2021</v>
      </c>
      <c r="Y845" t="s">
        <v>35</v>
      </c>
      <c r="Z845">
        <v>3</v>
      </c>
    </row>
    <row r="846" spans="1:26" x14ac:dyDescent="0.45">
      <c r="A846">
        <v>2888</v>
      </c>
      <c r="B846">
        <v>1317</v>
      </c>
      <c r="C846" t="s">
        <v>540</v>
      </c>
      <c r="D846" t="s">
        <v>22</v>
      </c>
      <c r="E846">
        <v>53</v>
      </c>
      <c r="F846">
        <v>709</v>
      </c>
      <c r="G846" t="s">
        <v>541</v>
      </c>
      <c r="H846" t="s">
        <v>172</v>
      </c>
      <c r="I846" t="s">
        <v>173</v>
      </c>
      <c r="J846" t="s">
        <v>399</v>
      </c>
      <c r="K846" t="s">
        <v>102</v>
      </c>
      <c r="L846" t="s">
        <v>67</v>
      </c>
      <c r="M846" t="s">
        <v>165</v>
      </c>
      <c r="N846" t="s">
        <v>166</v>
      </c>
      <c r="O846" t="s">
        <v>167</v>
      </c>
      <c r="P846">
        <v>4</v>
      </c>
      <c r="Q846" t="b">
        <v>1</v>
      </c>
      <c r="R846" s="1">
        <v>43916.382638888892</v>
      </c>
      <c r="S846" s="1">
        <v>43920.572222222225</v>
      </c>
      <c r="T846" t="s">
        <v>40</v>
      </c>
      <c r="U846" t="b">
        <v>0</v>
      </c>
      <c r="V846" s="2">
        <v>43916.382638888892</v>
      </c>
      <c r="W846">
        <v>3</v>
      </c>
      <c r="X846">
        <v>2020</v>
      </c>
      <c r="Y846" t="s">
        <v>172</v>
      </c>
      <c r="Z846">
        <v>4</v>
      </c>
    </row>
    <row r="847" spans="1:26" x14ac:dyDescent="0.45">
      <c r="A847">
        <v>2889</v>
      </c>
      <c r="B847">
        <v>1208</v>
      </c>
      <c r="C847" t="s">
        <v>542</v>
      </c>
      <c r="D847" t="s">
        <v>22</v>
      </c>
      <c r="E847">
        <v>24</v>
      </c>
      <c r="F847">
        <v>620</v>
      </c>
      <c r="G847" t="s">
        <v>543</v>
      </c>
      <c r="H847" t="s">
        <v>35</v>
      </c>
      <c r="I847" t="s">
        <v>36</v>
      </c>
      <c r="J847" t="s">
        <v>82</v>
      </c>
      <c r="K847" t="s">
        <v>27</v>
      </c>
      <c r="L847" t="s">
        <v>56</v>
      </c>
      <c r="M847" t="s">
        <v>197</v>
      </c>
      <c r="N847" t="s">
        <v>198</v>
      </c>
      <c r="O847" t="s">
        <v>199</v>
      </c>
      <c r="P847">
        <v>2</v>
      </c>
      <c r="Q847" t="b">
        <v>1</v>
      </c>
      <c r="R847" s="1">
        <v>44089.8125</v>
      </c>
      <c r="S847" s="1">
        <v>44091.829861111109</v>
      </c>
      <c r="T847" t="s">
        <v>109</v>
      </c>
      <c r="U847" t="b">
        <v>0</v>
      </c>
      <c r="V847" s="2">
        <v>44089.8125</v>
      </c>
      <c r="W847">
        <v>9</v>
      </c>
      <c r="X847">
        <v>2020</v>
      </c>
      <c r="Y847" t="s">
        <v>35</v>
      </c>
      <c r="Z847">
        <v>2</v>
      </c>
    </row>
    <row r="848" spans="1:26" x14ac:dyDescent="0.45">
      <c r="A848">
        <v>2890</v>
      </c>
      <c r="B848">
        <v>1172</v>
      </c>
      <c r="C848" t="s">
        <v>200</v>
      </c>
      <c r="D848" t="s">
        <v>22</v>
      </c>
      <c r="E848">
        <v>18</v>
      </c>
      <c r="F848">
        <v>653</v>
      </c>
      <c r="G848" t="s">
        <v>201</v>
      </c>
      <c r="H848" t="s">
        <v>172</v>
      </c>
      <c r="I848" t="s">
        <v>177</v>
      </c>
      <c r="J848" t="s">
        <v>202</v>
      </c>
      <c r="K848" t="s">
        <v>46</v>
      </c>
      <c r="L848" t="s">
        <v>28</v>
      </c>
      <c r="M848" t="s">
        <v>47</v>
      </c>
      <c r="N848" t="s">
        <v>48</v>
      </c>
      <c r="O848" t="s">
        <v>49</v>
      </c>
      <c r="P848">
        <v>3</v>
      </c>
      <c r="Q848" t="b">
        <v>1</v>
      </c>
      <c r="R848" s="1">
        <v>43905.53125</v>
      </c>
      <c r="S848" s="1">
        <v>43911.481249999997</v>
      </c>
      <c r="T848" t="s">
        <v>32</v>
      </c>
      <c r="U848" t="b">
        <v>0</v>
      </c>
      <c r="V848" s="2">
        <v>43905.53125</v>
      </c>
      <c r="W848">
        <v>3</v>
      </c>
      <c r="X848">
        <v>2020</v>
      </c>
      <c r="Y848" t="s">
        <v>172</v>
      </c>
      <c r="Z848">
        <v>3</v>
      </c>
    </row>
    <row r="849" spans="1:26" x14ac:dyDescent="0.45">
      <c r="A849">
        <v>2891</v>
      </c>
      <c r="B849">
        <v>1118</v>
      </c>
      <c r="C849" t="s">
        <v>544</v>
      </c>
      <c r="D849" t="s">
        <v>42</v>
      </c>
      <c r="E849">
        <v>48</v>
      </c>
      <c r="F849">
        <v>711</v>
      </c>
      <c r="G849" t="s">
        <v>545</v>
      </c>
      <c r="H849" t="s">
        <v>63</v>
      </c>
      <c r="I849" t="s">
        <v>300</v>
      </c>
      <c r="J849" t="s">
        <v>301</v>
      </c>
      <c r="K849" t="s">
        <v>46</v>
      </c>
      <c r="L849" t="s">
        <v>28</v>
      </c>
      <c r="M849" t="s">
        <v>47</v>
      </c>
      <c r="N849" t="s">
        <v>48</v>
      </c>
      <c r="O849" t="s">
        <v>49</v>
      </c>
      <c r="P849">
        <v>4</v>
      </c>
      <c r="Q849" t="b">
        <v>1</v>
      </c>
      <c r="R849" s="1">
        <v>44089.018055555556</v>
      </c>
      <c r="S849" s="1">
        <v>44093.870833333334</v>
      </c>
      <c r="T849" t="s">
        <v>32</v>
      </c>
      <c r="U849" t="b">
        <v>1</v>
      </c>
      <c r="V849" s="2">
        <v>44089.018055555556</v>
      </c>
      <c r="W849">
        <v>9</v>
      </c>
      <c r="X849">
        <v>2020</v>
      </c>
      <c r="Y849" t="s">
        <v>63</v>
      </c>
      <c r="Z849">
        <v>4</v>
      </c>
    </row>
    <row r="850" spans="1:26" x14ac:dyDescent="0.45">
      <c r="A850">
        <v>2892</v>
      </c>
      <c r="B850">
        <v>1051</v>
      </c>
      <c r="C850" t="s">
        <v>279</v>
      </c>
      <c r="D850" t="s">
        <v>42</v>
      </c>
      <c r="E850">
        <v>41</v>
      </c>
      <c r="F850">
        <v>697</v>
      </c>
      <c r="G850" t="s">
        <v>280</v>
      </c>
      <c r="H850" t="s">
        <v>63</v>
      </c>
      <c r="I850" t="s">
        <v>64</v>
      </c>
      <c r="J850" t="s">
        <v>281</v>
      </c>
      <c r="K850" t="s">
        <v>27</v>
      </c>
      <c r="L850" t="s">
        <v>96</v>
      </c>
      <c r="M850" t="s">
        <v>118</v>
      </c>
      <c r="N850" t="s">
        <v>90</v>
      </c>
      <c r="O850" t="s">
        <v>119</v>
      </c>
      <c r="P850">
        <v>4</v>
      </c>
      <c r="Q850" t="b">
        <v>1</v>
      </c>
      <c r="R850" s="1">
        <v>44122.754861111112</v>
      </c>
      <c r="S850" s="1">
        <v>44128.276388888888</v>
      </c>
      <c r="T850" t="s">
        <v>32</v>
      </c>
      <c r="U850" t="b">
        <v>0</v>
      </c>
      <c r="V850" s="2">
        <v>44122.754861111112</v>
      </c>
      <c r="W850">
        <v>10</v>
      </c>
      <c r="X850">
        <v>2020</v>
      </c>
      <c r="Y850" t="s">
        <v>63</v>
      </c>
      <c r="Z850">
        <v>4</v>
      </c>
    </row>
    <row r="851" spans="1:26" x14ac:dyDescent="0.45">
      <c r="A851">
        <v>2893</v>
      </c>
      <c r="B851">
        <v>1077</v>
      </c>
      <c r="C851" t="s">
        <v>546</v>
      </c>
      <c r="D851" t="s">
        <v>42</v>
      </c>
      <c r="E851">
        <v>28</v>
      </c>
      <c r="F851">
        <v>694</v>
      </c>
      <c r="G851" t="s">
        <v>547</v>
      </c>
      <c r="H851" t="s">
        <v>85</v>
      </c>
      <c r="I851" t="s">
        <v>86</v>
      </c>
      <c r="J851" t="s">
        <v>87</v>
      </c>
      <c r="K851" t="s">
        <v>102</v>
      </c>
      <c r="L851" t="s">
        <v>96</v>
      </c>
      <c r="M851" t="s">
        <v>103</v>
      </c>
      <c r="N851" t="s">
        <v>31</v>
      </c>
      <c r="O851" t="s">
        <v>104</v>
      </c>
      <c r="P851">
        <v>4</v>
      </c>
      <c r="Q851" t="b">
        <v>0</v>
      </c>
      <c r="R851" s="1">
        <v>44852.015277777777</v>
      </c>
      <c r="V851" s="2">
        <v>44852.015277777777</v>
      </c>
      <c r="W851">
        <v>10</v>
      </c>
      <c r="X851">
        <v>2022</v>
      </c>
      <c r="Y851" t="s">
        <v>85</v>
      </c>
      <c r="Z851">
        <v>4</v>
      </c>
    </row>
    <row r="852" spans="1:26" x14ac:dyDescent="0.45">
      <c r="A852">
        <v>2894</v>
      </c>
      <c r="B852">
        <v>1056</v>
      </c>
      <c r="C852" t="s">
        <v>548</v>
      </c>
      <c r="D852" t="s">
        <v>22</v>
      </c>
      <c r="E852">
        <v>18</v>
      </c>
      <c r="F852">
        <v>648</v>
      </c>
      <c r="G852" t="s">
        <v>549</v>
      </c>
      <c r="H852" t="s">
        <v>172</v>
      </c>
      <c r="I852" t="s">
        <v>177</v>
      </c>
      <c r="J852" t="s">
        <v>356</v>
      </c>
      <c r="K852" t="s">
        <v>55</v>
      </c>
      <c r="L852" t="s">
        <v>28</v>
      </c>
      <c r="M852" t="s">
        <v>47</v>
      </c>
      <c r="N852" t="s">
        <v>48</v>
      </c>
      <c r="O852" t="s">
        <v>49</v>
      </c>
      <c r="P852">
        <v>5</v>
      </c>
      <c r="Q852" t="b">
        <v>1</v>
      </c>
      <c r="R852" s="1">
        <v>45090.678472222222</v>
      </c>
      <c r="S852" s="1">
        <v>45093.652777777781</v>
      </c>
      <c r="T852" t="s">
        <v>40</v>
      </c>
      <c r="U852" t="b">
        <v>0</v>
      </c>
      <c r="V852" s="2">
        <v>45090.678472222222</v>
      </c>
      <c r="W852">
        <v>6</v>
      </c>
      <c r="X852">
        <v>2023</v>
      </c>
      <c r="Y852" t="s">
        <v>172</v>
      </c>
      <c r="Z852">
        <v>5</v>
      </c>
    </row>
    <row r="853" spans="1:26" x14ac:dyDescent="0.45">
      <c r="A853">
        <v>2895</v>
      </c>
      <c r="B853">
        <v>1168</v>
      </c>
      <c r="C853" t="s">
        <v>550</v>
      </c>
      <c r="D853" t="s">
        <v>22</v>
      </c>
      <c r="E853">
        <v>28</v>
      </c>
      <c r="F853">
        <v>694</v>
      </c>
      <c r="G853" t="s">
        <v>551</v>
      </c>
      <c r="H853" t="s">
        <v>24</v>
      </c>
      <c r="I853" t="s">
        <v>25</v>
      </c>
      <c r="J853" t="s">
        <v>26</v>
      </c>
      <c r="K853" t="s">
        <v>46</v>
      </c>
      <c r="L853" t="s">
        <v>28</v>
      </c>
      <c r="M853" t="s">
        <v>29</v>
      </c>
      <c r="N853" t="s">
        <v>30</v>
      </c>
      <c r="O853" t="s">
        <v>31</v>
      </c>
      <c r="P853">
        <v>2</v>
      </c>
      <c r="Q853" t="b">
        <v>1</v>
      </c>
      <c r="R853" s="1">
        <v>43988.461805555555</v>
      </c>
      <c r="S853" s="1">
        <v>43990.405555555553</v>
      </c>
      <c r="T853" t="s">
        <v>109</v>
      </c>
      <c r="U853" t="b">
        <v>0</v>
      </c>
      <c r="V853" s="2">
        <v>43988.461805555555</v>
      </c>
      <c r="W853">
        <v>6</v>
      </c>
      <c r="X853">
        <v>2020</v>
      </c>
      <c r="Y853" t="s">
        <v>24</v>
      </c>
      <c r="Z853">
        <v>2</v>
      </c>
    </row>
    <row r="854" spans="1:26" x14ac:dyDescent="0.45">
      <c r="A854">
        <v>2896</v>
      </c>
      <c r="B854">
        <v>1112</v>
      </c>
      <c r="C854" t="s">
        <v>552</v>
      </c>
      <c r="D854" t="s">
        <v>22</v>
      </c>
      <c r="E854">
        <v>33</v>
      </c>
      <c r="F854">
        <v>685</v>
      </c>
      <c r="G854" t="s">
        <v>553</v>
      </c>
      <c r="H854" t="s">
        <v>129</v>
      </c>
      <c r="I854" t="s">
        <v>263</v>
      </c>
      <c r="J854" t="s">
        <v>278</v>
      </c>
      <c r="K854" t="s">
        <v>37</v>
      </c>
      <c r="L854" t="s">
        <v>56</v>
      </c>
      <c r="M854" t="s">
        <v>197</v>
      </c>
      <c r="N854" t="s">
        <v>198</v>
      </c>
      <c r="O854" t="s">
        <v>199</v>
      </c>
      <c r="P854">
        <v>4</v>
      </c>
      <c r="Q854" t="b">
        <v>0</v>
      </c>
      <c r="R854" s="1">
        <v>44514.28125</v>
      </c>
      <c r="V854" s="2">
        <v>44514.28125</v>
      </c>
      <c r="W854">
        <v>11</v>
      </c>
      <c r="X854">
        <v>2021</v>
      </c>
      <c r="Y854" t="s">
        <v>129</v>
      </c>
      <c r="Z854">
        <v>4</v>
      </c>
    </row>
    <row r="855" spans="1:26" x14ac:dyDescent="0.45">
      <c r="A855">
        <v>2897</v>
      </c>
      <c r="B855">
        <v>1408</v>
      </c>
      <c r="C855" t="s">
        <v>482</v>
      </c>
      <c r="D855" t="s">
        <v>42</v>
      </c>
      <c r="E855">
        <v>62</v>
      </c>
      <c r="F855">
        <v>752</v>
      </c>
      <c r="G855" t="s">
        <v>483</v>
      </c>
      <c r="H855" t="s">
        <v>172</v>
      </c>
      <c r="I855" t="s">
        <v>173</v>
      </c>
      <c r="J855" t="s">
        <v>423</v>
      </c>
      <c r="K855" t="s">
        <v>46</v>
      </c>
      <c r="L855" t="s">
        <v>96</v>
      </c>
      <c r="M855" t="s">
        <v>118</v>
      </c>
      <c r="N855" t="s">
        <v>90</v>
      </c>
      <c r="O855" t="s">
        <v>119</v>
      </c>
      <c r="P855">
        <v>5</v>
      </c>
      <c r="Q855" t="b">
        <v>1</v>
      </c>
      <c r="R855" s="1">
        <v>45181.855555555558</v>
      </c>
      <c r="S855" s="1">
        <v>45182.681944444441</v>
      </c>
      <c r="T855" t="s">
        <v>60</v>
      </c>
      <c r="U855" t="b">
        <v>0</v>
      </c>
      <c r="V855" s="2">
        <v>45181.855555555558</v>
      </c>
      <c r="W855">
        <v>9</v>
      </c>
      <c r="X855">
        <v>2023</v>
      </c>
      <c r="Y855" t="s">
        <v>172</v>
      </c>
      <c r="Z855">
        <v>5</v>
      </c>
    </row>
    <row r="856" spans="1:26" x14ac:dyDescent="0.45">
      <c r="A856">
        <v>2898</v>
      </c>
      <c r="B856">
        <v>1047</v>
      </c>
      <c r="C856" t="s">
        <v>554</v>
      </c>
      <c r="D856" t="s">
        <v>22</v>
      </c>
      <c r="E856">
        <v>17</v>
      </c>
      <c r="H856" t="s">
        <v>63</v>
      </c>
      <c r="I856" t="s">
        <v>64</v>
      </c>
      <c r="J856" t="s">
        <v>65</v>
      </c>
      <c r="K856" t="s">
        <v>37</v>
      </c>
      <c r="L856" t="s">
        <v>28</v>
      </c>
      <c r="M856" t="s">
        <v>38</v>
      </c>
      <c r="N856" t="s">
        <v>31</v>
      </c>
      <c r="O856" t="s">
        <v>39</v>
      </c>
      <c r="P856">
        <v>2</v>
      </c>
      <c r="Q856" t="b">
        <v>0</v>
      </c>
      <c r="R856" s="1">
        <v>44674.522916666669</v>
      </c>
      <c r="V856" s="2">
        <v>44674.522916666669</v>
      </c>
      <c r="W856">
        <v>4</v>
      </c>
      <c r="X856">
        <v>2022</v>
      </c>
      <c r="Y856" t="s">
        <v>63</v>
      </c>
      <c r="Z856">
        <v>2</v>
      </c>
    </row>
    <row r="857" spans="1:26" x14ac:dyDescent="0.45">
      <c r="A857">
        <v>2899</v>
      </c>
      <c r="B857">
        <v>1406</v>
      </c>
      <c r="C857" t="s">
        <v>555</v>
      </c>
      <c r="D857" t="s">
        <v>22</v>
      </c>
      <c r="E857">
        <v>76</v>
      </c>
      <c r="F857">
        <v>757</v>
      </c>
      <c r="G857" t="s">
        <v>483</v>
      </c>
      <c r="H857" t="s">
        <v>63</v>
      </c>
      <c r="I857" t="s">
        <v>64</v>
      </c>
      <c r="J857" t="s">
        <v>281</v>
      </c>
      <c r="K857" t="s">
        <v>46</v>
      </c>
      <c r="L857" t="s">
        <v>28</v>
      </c>
      <c r="M857" t="s">
        <v>29</v>
      </c>
      <c r="N857" t="s">
        <v>30</v>
      </c>
      <c r="O857" t="s">
        <v>31</v>
      </c>
      <c r="P857">
        <v>5</v>
      </c>
      <c r="Q857" t="b">
        <v>1</v>
      </c>
      <c r="R857" s="1">
        <v>44680.695833333331</v>
      </c>
      <c r="S857" s="1">
        <v>44683.384722222225</v>
      </c>
      <c r="T857" t="s">
        <v>109</v>
      </c>
      <c r="U857" t="b">
        <v>0</v>
      </c>
      <c r="V857" s="2">
        <v>44680.695833333331</v>
      </c>
      <c r="W857">
        <v>4</v>
      </c>
      <c r="X857">
        <v>2022</v>
      </c>
      <c r="Y857" t="s">
        <v>63</v>
      </c>
      <c r="Z857">
        <v>5</v>
      </c>
    </row>
    <row r="858" spans="1:26" x14ac:dyDescent="0.45">
      <c r="A858">
        <v>2900</v>
      </c>
      <c r="B858">
        <v>1127</v>
      </c>
      <c r="C858" t="s">
        <v>259</v>
      </c>
      <c r="D858" t="s">
        <v>22</v>
      </c>
      <c r="E858">
        <v>71</v>
      </c>
      <c r="F858">
        <v>752</v>
      </c>
      <c r="G858" t="s">
        <v>260</v>
      </c>
      <c r="H858" t="s">
        <v>73</v>
      </c>
      <c r="I858" t="s">
        <v>74</v>
      </c>
      <c r="J858" t="s">
        <v>245</v>
      </c>
      <c r="K858" t="s">
        <v>27</v>
      </c>
      <c r="L858" t="s">
        <v>28</v>
      </c>
      <c r="M858" t="s">
        <v>29</v>
      </c>
      <c r="N858" t="s">
        <v>30</v>
      </c>
      <c r="O858" t="s">
        <v>31</v>
      </c>
      <c r="P858">
        <v>1</v>
      </c>
      <c r="Q858" t="b">
        <v>1</v>
      </c>
      <c r="R858" s="1">
        <v>44775.959027777775</v>
      </c>
      <c r="S858" s="1">
        <v>44782.482638888891</v>
      </c>
      <c r="T858" t="s">
        <v>60</v>
      </c>
      <c r="U858" t="b">
        <v>0</v>
      </c>
      <c r="V858" s="2">
        <v>44775.959027777775</v>
      </c>
      <c r="W858">
        <v>8</v>
      </c>
      <c r="X858">
        <v>2022</v>
      </c>
      <c r="Y858" t="s">
        <v>73</v>
      </c>
      <c r="Z858">
        <v>1</v>
      </c>
    </row>
    <row r="859" spans="1:26" x14ac:dyDescent="0.45">
      <c r="A859">
        <v>2901</v>
      </c>
      <c r="B859">
        <v>1081</v>
      </c>
      <c r="C859" t="s">
        <v>344</v>
      </c>
      <c r="D859" t="s">
        <v>22</v>
      </c>
      <c r="E859">
        <v>36</v>
      </c>
      <c r="F859">
        <v>686</v>
      </c>
      <c r="G859" t="s">
        <v>345</v>
      </c>
      <c r="H859" t="s">
        <v>73</v>
      </c>
      <c r="I859" t="s">
        <v>140</v>
      </c>
      <c r="J859" t="s">
        <v>141</v>
      </c>
      <c r="K859" t="s">
        <v>46</v>
      </c>
      <c r="L859" t="s">
        <v>28</v>
      </c>
      <c r="M859" t="s">
        <v>38</v>
      </c>
      <c r="N859" t="s">
        <v>31</v>
      </c>
      <c r="O859" t="s">
        <v>39</v>
      </c>
      <c r="P859">
        <v>2</v>
      </c>
      <c r="Q859" t="b">
        <v>0</v>
      </c>
      <c r="R859" s="1">
        <v>44696.757638888892</v>
      </c>
      <c r="V859" s="2">
        <v>44696.757638888892</v>
      </c>
      <c r="W859">
        <v>5</v>
      </c>
      <c r="X859">
        <v>2022</v>
      </c>
      <c r="Y859" t="s">
        <v>73</v>
      </c>
      <c r="Z859">
        <v>2</v>
      </c>
    </row>
    <row r="860" spans="1:26" x14ac:dyDescent="0.45">
      <c r="A860">
        <v>2902</v>
      </c>
      <c r="B860">
        <v>1379</v>
      </c>
      <c r="C860" t="s">
        <v>556</v>
      </c>
      <c r="D860" t="s">
        <v>42</v>
      </c>
      <c r="E860">
        <v>44</v>
      </c>
      <c r="F860">
        <v>714</v>
      </c>
      <c r="G860" t="s">
        <v>557</v>
      </c>
      <c r="H860" t="s">
        <v>129</v>
      </c>
      <c r="I860" t="s">
        <v>263</v>
      </c>
      <c r="J860" t="s">
        <v>264</v>
      </c>
      <c r="K860" t="s">
        <v>55</v>
      </c>
      <c r="L860" t="s">
        <v>76</v>
      </c>
      <c r="M860" t="s">
        <v>132</v>
      </c>
      <c r="N860" t="s">
        <v>59</v>
      </c>
      <c r="O860" t="s">
        <v>98</v>
      </c>
      <c r="P860">
        <v>5</v>
      </c>
      <c r="Q860" t="b">
        <v>0</v>
      </c>
      <c r="R860" s="1">
        <v>45004.117361111108</v>
      </c>
      <c r="V860" s="2">
        <v>45004.117361111108</v>
      </c>
      <c r="W860">
        <v>3</v>
      </c>
      <c r="X860">
        <v>2023</v>
      </c>
      <c r="Y860" t="s">
        <v>129</v>
      </c>
      <c r="Z860">
        <v>5</v>
      </c>
    </row>
    <row r="861" spans="1:26" x14ac:dyDescent="0.45">
      <c r="A861">
        <v>2903</v>
      </c>
      <c r="B861">
        <v>1098</v>
      </c>
      <c r="C861" t="s">
        <v>71</v>
      </c>
      <c r="D861" t="s">
        <v>22</v>
      </c>
      <c r="E861">
        <v>22</v>
      </c>
      <c r="F861">
        <v>628</v>
      </c>
      <c r="G861" t="s">
        <v>72</v>
      </c>
      <c r="H861" t="s">
        <v>73</v>
      </c>
      <c r="I861" t="s">
        <v>74</v>
      </c>
      <c r="J861" t="s">
        <v>75</v>
      </c>
      <c r="K861" t="s">
        <v>66</v>
      </c>
      <c r="L861" t="s">
        <v>96</v>
      </c>
      <c r="M861" t="s">
        <v>118</v>
      </c>
      <c r="N861" t="s">
        <v>90</v>
      </c>
      <c r="O861" t="s">
        <v>119</v>
      </c>
      <c r="P861">
        <v>5</v>
      </c>
      <c r="Q861" t="b">
        <v>1</v>
      </c>
      <c r="R861" s="1">
        <v>43860.890972222223</v>
      </c>
      <c r="S861" s="1">
        <v>43863.896527777775</v>
      </c>
      <c r="T861" t="s">
        <v>60</v>
      </c>
      <c r="U861" t="b">
        <v>0</v>
      </c>
      <c r="V861" s="2">
        <v>43860.890972222223</v>
      </c>
      <c r="W861">
        <v>1</v>
      </c>
      <c r="X861">
        <v>2020</v>
      </c>
      <c r="Y861" t="s">
        <v>73</v>
      </c>
      <c r="Z861">
        <v>5</v>
      </c>
    </row>
    <row r="862" spans="1:26" x14ac:dyDescent="0.45">
      <c r="A862">
        <v>2904</v>
      </c>
      <c r="B862">
        <v>1417</v>
      </c>
      <c r="C862" t="s">
        <v>558</v>
      </c>
      <c r="D862" t="s">
        <v>42</v>
      </c>
      <c r="E862">
        <v>25</v>
      </c>
      <c r="F862">
        <v>664</v>
      </c>
      <c r="G862" t="s">
        <v>559</v>
      </c>
      <c r="H862" t="s">
        <v>63</v>
      </c>
      <c r="I862" t="s">
        <v>64</v>
      </c>
      <c r="J862" t="s">
        <v>164</v>
      </c>
      <c r="K862" t="s">
        <v>102</v>
      </c>
      <c r="L862" t="s">
        <v>76</v>
      </c>
      <c r="M862" t="s">
        <v>132</v>
      </c>
      <c r="N862" t="s">
        <v>59</v>
      </c>
      <c r="O862" t="s">
        <v>98</v>
      </c>
      <c r="P862">
        <v>1</v>
      </c>
      <c r="Q862" t="b">
        <v>1</v>
      </c>
      <c r="R862" s="1">
        <v>45021.520833333336</v>
      </c>
      <c r="S862" s="1">
        <v>45024.25</v>
      </c>
      <c r="T862" t="s">
        <v>40</v>
      </c>
      <c r="U862" t="b">
        <v>1</v>
      </c>
      <c r="V862" s="2">
        <v>45021.520833333336</v>
      </c>
      <c r="W862">
        <v>4</v>
      </c>
      <c r="X862">
        <v>2023</v>
      </c>
      <c r="Y862" t="s">
        <v>63</v>
      </c>
      <c r="Z862">
        <v>1</v>
      </c>
    </row>
    <row r="863" spans="1:26" x14ac:dyDescent="0.45">
      <c r="A863">
        <v>2905</v>
      </c>
      <c r="B863">
        <v>1439</v>
      </c>
      <c r="C863" t="s">
        <v>560</v>
      </c>
      <c r="D863" t="s">
        <v>42</v>
      </c>
      <c r="E863">
        <v>68</v>
      </c>
      <c r="F863">
        <v>760</v>
      </c>
      <c r="G863" t="s">
        <v>561</v>
      </c>
      <c r="H863" t="s">
        <v>172</v>
      </c>
      <c r="I863" t="s">
        <v>173</v>
      </c>
      <c r="J863" t="s">
        <v>174</v>
      </c>
      <c r="K863" t="s">
        <v>55</v>
      </c>
      <c r="L863" t="s">
        <v>28</v>
      </c>
      <c r="M863" t="s">
        <v>142</v>
      </c>
      <c r="N863" t="s">
        <v>143</v>
      </c>
      <c r="O863" t="s">
        <v>144</v>
      </c>
      <c r="P863">
        <v>4</v>
      </c>
      <c r="Q863" t="b">
        <v>1</v>
      </c>
      <c r="R863" s="1">
        <v>45052.914583333331</v>
      </c>
      <c r="S863" s="1">
        <v>45056.929861111108</v>
      </c>
      <c r="T863" t="s">
        <v>40</v>
      </c>
      <c r="U863" t="b">
        <v>0</v>
      </c>
      <c r="V863" s="2">
        <v>45052.914583333331</v>
      </c>
      <c r="W863">
        <v>5</v>
      </c>
      <c r="X863">
        <v>2023</v>
      </c>
      <c r="Y863" t="s">
        <v>172</v>
      </c>
      <c r="Z863">
        <v>4</v>
      </c>
    </row>
    <row r="864" spans="1:26" x14ac:dyDescent="0.45">
      <c r="A864">
        <v>2906</v>
      </c>
      <c r="B864">
        <v>1339</v>
      </c>
      <c r="C864" t="s">
        <v>562</v>
      </c>
      <c r="D864" t="s">
        <v>42</v>
      </c>
      <c r="E864">
        <v>28</v>
      </c>
      <c r="F864">
        <v>692</v>
      </c>
      <c r="G864" t="s">
        <v>563</v>
      </c>
      <c r="H864" t="s">
        <v>93</v>
      </c>
      <c r="I864" t="s">
        <v>112</v>
      </c>
      <c r="J864" t="s">
        <v>242</v>
      </c>
      <c r="K864" t="s">
        <v>55</v>
      </c>
      <c r="L864" t="s">
        <v>76</v>
      </c>
      <c r="M864" t="s">
        <v>160</v>
      </c>
      <c r="N864" t="s">
        <v>79</v>
      </c>
      <c r="O864" t="s">
        <v>161</v>
      </c>
      <c r="P864">
        <v>2</v>
      </c>
      <c r="Q864" t="b">
        <v>1</v>
      </c>
      <c r="R864" s="1">
        <v>44676.11041666667</v>
      </c>
      <c r="S864" s="1">
        <v>44678.476388888892</v>
      </c>
      <c r="T864" t="s">
        <v>40</v>
      </c>
      <c r="U864" t="b">
        <v>0</v>
      </c>
      <c r="V864" s="2">
        <v>44676.11041666667</v>
      </c>
      <c r="W864">
        <v>4</v>
      </c>
      <c r="X864">
        <v>2022</v>
      </c>
      <c r="Y864" t="s">
        <v>93</v>
      </c>
      <c r="Z864">
        <v>2</v>
      </c>
    </row>
    <row r="865" spans="1:26" x14ac:dyDescent="0.45">
      <c r="A865">
        <v>2907</v>
      </c>
      <c r="B865">
        <v>1389</v>
      </c>
      <c r="C865" t="s">
        <v>255</v>
      </c>
      <c r="D865" t="s">
        <v>22</v>
      </c>
      <c r="E865">
        <v>69</v>
      </c>
      <c r="F865">
        <v>748</v>
      </c>
      <c r="G865" t="s">
        <v>256</v>
      </c>
      <c r="H865" t="s">
        <v>73</v>
      </c>
      <c r="I865" t="s">
        <v>74</v>
      </c>
      <c r="J865" t="s">
        <v>75</v>
      </c>
      <c r="K865" t="s">
        <v>66</v>
      </c>
      <c r="L865" t="s">
        <v>67</v>
      </c>
      <c r="M865" t="s">
        <v>68</v>
      </c>
      <c r="N865" t="s">
        <v>69</v>
      </c>
      <c r="O865" t="s">
        <v>70</v>
      </c>
      <c r="P865">
        <v>1</v>
      </c>
      <c r="Q865" t="b">
        <v>1</v>
      </c>
      <c r="R865" s="1">
        <v>44215.46597222222</v>
      </c>
      <c r="S865" s="1">
        <v>44215.967361111114</v>
      </c>
      <c r="T865" t="s">
        <v>109</v>
      </c>
      <c r="U865" t="b">
        <v>0</v>
      </c>
      <c r="V865" s="2">
        <v>44215.46597222222</v>
      </c>
      <c r="W865">
        <v>1</v>
      </c>
      <c r="X865">
        <v>2021</v>
      </c>
      <c r="Y865" t="s">
        <v>73</v>
      </c>
      <c r="Z865">
        <v>1</v>
      </c>
    </row>
    <row r="866" spans="1:26" x14ac:dyDescent="0.45">
      <c r="A866">
        <v>2908</v>
      </c>
      <c r="B866">
        <v>1388</v>
      </c>
      <c r="C866" t="s">
        <v>527</v>
      </c>
      <c r="D866" t="s">
        <v>22</v>
      </c>
      <c r="E866">
        <v>18</v>
      </c>
      <c r="F866">
        <v>627</v>
      </c>
      <c r="G866" t="s">
        <v>528</v>
      </c>
      <c r="H866" t="s">
        <v>52</v>
      </c>
      <c r="I866" t="s">
        <v>53</v>
      </c>
      <c r="J866" t="s">
        <v>196</v>
      </c>
      <c r="K866" t="s">
        <v>37</v>
      </c>
      <c r="L866" t="s">
        <v>67</v>
      </c>
      <c r="M866" t="s">
        <v>165</v>
      </c>
      <c r="N866" t="s">
        <v>166</v>
      </c>
      <c r="O866" t="s">
        <v>167</v>
      </c>
      <c r="P866">
        <v>4</v>
      </c>
      <c r="Q866" t="b">
        <v>1</v>
      </c>
      <c r="R866" s="1">
        <v>44168.87222222222</v>
      </c>
      <c r="S866" s="1">
        <v>44170.446527777778</v>
      </c>
      <c r="T866" t="s">
        <v>109</v>
      </c>
      <c r="U866" t="b">
        <v>0</v>
      </c>
      <c r="V866" s="2">
        <v>44168.87222222222</v>
      </c>
      <c r="W866">
        <v>12</v>
      </c>
      <c r="X866">
        <v>2020</v>
      </c>
      <c r="Y866" t="s">
        <v>52</v>
      </c>
      <c r="Z866">
        <v>4</v>
      </c>
    </row>
    <row r="867" spans="1:26" x14ac:dyDescent="0.45">
      <c r="A867">
        <v>2909</v>
      </c>
      <c r="B867">
        <v>1026</v>
      </c>
      <c r="C867" t="s">
        <v>474</v>
      </c>
      <c r="D867" t="s">
        <v>22</v>
      </c>
      <c r="E867">
        <v>18</v>
      </c>
      <c r="F867">
        <v>663</v>
      </c>
      <c r="G867" t="s">
        <v>475</v>
      </c>
      <c r="H867" t="s">
        <v>73</v>
      </c>
      <c r="I867" t="s">
        <v>74</v>
      </c>
      <c r="J867" t="s">
        <v>157</v>
      </c>
      <c r="K867" t="s">
        <v>27</v>
      </c>
      <c r="L867" t="s">
        <v>56</v>
      </c>
      <c r="M867" t="s">
        <v>179</v>
      </c>
      <c r="N867" t="s">
        <v>79</v>
      </c>
      <c r="O867" t="s">
        <v>161</v>
      </c>
      <c r="P867">
        <v>1</v>
      </c>
      <c r="Q867" t="b">
        <v>1</v>
      </c>
      <c r="R867" s="1">
        <v>45103.46597222222</v>
      </c>
      <c r="S867" s="1">
        <v>45106.501388888886</v>
      </c>
      <c r="T867" t="s">
        <v>109</v>
      </c>
      <c r="U867" t="b">
        <v>0</v>
      </c>
      <c r="V867" s="2">
        <v>45103.46597222222</v>
      </c>
      <c r="W867">
        <v>6</v>
      </c>
      <c r="X867">
        <v>2023</v>
      </c>
      <c r="Y867" t="s">
        <v>73</v>
      </c>
      <c r="Z867">
        <v>1</v>
      </c>
    </row>
    <row r="868" spans="1:26" x14ac:dyDescent="0.45">
      <c r="A868">
        <v>2910</v>
      </c>
      <c r="B868">
        <v>1437</v>
      </c>
      <c r="C868" t="s">
        <v>564</v>
      </c>
      <c r="D868" t="s">
        <v>22</v>
      </c>
      <c r="E868">
        <v>80</v>
      </c>
      <c r="F868">
        <v>756</v>
      </c>
      <c r="G868" t="s">
        <v>565</v>
      </c>
      <c r="H868" t="s">
        <v>73</v>
      </c>
      <c r="I868" t="s">
        <v>140</v>
      </c>
      <c r="J868" t="s">
        <v>228</v>
      </c>
      <c r="K868" t="s">
        <v>27</v>
      </c>
      <c r="L868" t="s">
        <v>76</v>
      </c>
      <c r="M868" t="s">
        <v>160</v>
      </c>
      <c r="N868" t="s">
        <v>79</v>
      </c>
      <c r="O868" t="s">
        <v>161</v>
      </c>
      <c r="P868">
        <v>1</v>
      </c>
      <c r="Q868" t="b">
        <v>0</v>
      </c>
      <c r="R868" s="1">
        <v>45220.459722222222</v>
      </c>
      <c r="V868" s="2">
        <v>45220.459722222222</v>
      </c>
      <c r="W868">
        <v>10</v>
      </c>
      <c r="X868">
        <v>2023</v>
      </c>
      <c r="Y868" t="s">
        <v>73</v>
      </c>
      <c r="Z868">
        <v>1</v>
      </c>
    </row>
    <row r="869" spans="1:26" x14ac:dyDescent="0.45">
      <c r="A869">
        <v>2911</v>
      </c>
      <c r="B869">
        <v>1102</v>
      </c>
      <c r="C869" t="s">
        <v>566</v>
      </c>
      <c r="D869" t="s">
        <v>42</v>
      </c>
      <c r="E869">
        <v>25</v>
      </c>
      <c r="F869">
        <v>633</v>
      </c>
      <c r="G869" t="s">
        <v>567</v>
      </c>
      <c r="H869" t="s">
        <v>85</v>
      </c>
      <c r="I869" t="s">
        <v>116</v>
      </c>
      <c r="J869" t="s">
        <v>330</v>
      </c>
      <c r="K869" t="s">
        <v>66</v>
      </c>
      <c r="L869" t="s">
        <v>28</v>
      </c>
      <c r="M869" t="s">
        <v>142</v>
      </c>
      <c r="N869" t="s">
        <v>143</v>
      </c>
      <c r="O869" t="s">
        <v>144</v>
      </c>
      <c r="P869">
        <v>1</v>
      </c>
      <c r="Q869" t="b">
        <v>1</v>
      </c>
      <c r="R869" s="1">
        <v>44021.293749999997</v>
      </c>
      <c r="S869" s="1">
        <v>44028.010416666664</v>
      </c>
      <c r="T869" t="s">
        <v>32</v>
      </c>
      <c r="U869" t="b">
        <v>1</v>
      </c>
      <c r="V869" s="2">
        <v>44021.293749999997</v>
      </c>
      <c r="W869">
        <v>7</v>
      </c>
      <c r="X869">
        <v>2020</v>
      </c>
      <c r="Y869" t="s">
        <v>85</v>
      </c>
      <c r="Z869">
        <v>1</v>
      </c>
    </row>
    <row r="870" spans="1:26" x14ac:dyDescent="0.45">
      <c r="A870">
        <v>2912</v>
      </c>
      <c r="B870">
        <v>1368</v>
      </c>
      <c r="C870" t="s">
        <v>568</v>
      </c>
      <c r="D870" t="s">
        <v>42</v>
      </c>
      <c r="E870">
        <v>16</v>
      </c>
      <c r="H870" t="s">
        <v>35</v>
      </c>
      <c r="I870" t="s">
        <v>122</v>
      </c>
      <c r="J870" t="s">
        <v>123</v>
      </c>
      <c r="K870" t="s">
        <v>46</v>
      </c>
      <c r="L870" t="s">
        <v>56</v>
      </c>
      <c r="M870" t="s">
        <v>179</v>
      </c>
      <c r="N870" t="s">
        <v>79</v>
      </c>
      <c r="O870" t="s">
        <v>161</v>
      </c>
      <c r="P870">
        <v>1</v>
      </c>
      <c r="Q870" t="b">
        <v>1</v>
      </c>
      <c r="R870" s="1">
        <v>44180.188888888886</v>
      </c>
      <c r="S870" s="1">
        <v>44186.37777777778</v>
      </c>
      <c r="T870" t="s">
        <v>32</v>
      </c>
      <c r="U870" t="b">
        <v>0</v>
      </c>
      <c r="V870" s="2">
        <v>44180.188888888886</v>
      </c>
      <c r="W870">
        <v>12</v>
      </c>
      <c r="X870">
        <v>2020</v>
      </c>
      <c r="Y870" t="s">
        <v>35</v>
      </c>
      <c r="Z870">
        <v>1</v>
      </c>
    </row>
    <row r="871" spans="1:26" x14ac:dyDescent="0.45">
      <c r="A871">
        <v>2913</v>
      </c>
      <c r="B871">
        <v>1085</v>
      </c>
      <c r="C871" t="s">
        <v>418</v>
      </c>
      <c r="D871" t="s">
        <v>22</v>
      </c>
      <c r="E871">
        <v>45</v>
      </c>
      <c r="F871">
        <v>726</v>
      </c>
      <c r="G871" t="s">
        <v>419</v>
      </c>
      <c r="H871" t="s">
        <v>35</v>
      </c>
      <c r="I871" t="s">
        <v>36</v>
      </c>
      <c r="J871" t="s">
        <v>36</v>
      </c>
      <c r="K871" t="s">
        <v>46</v>
      </c>
      <c r="L871" t="s">
        <v>76</v>
      </c>
      <c r="M871" t="s">
        <v>126</v>
      </c>
      <c r="N871" t="s">
        <v>98</v>
      </c>
      <c r="O871" t="s">
        <v>99</v>
      </c>
      <c r="P871">
        <v>3</v>
      </c>
      <c r="Q871" t="b">
        <v>1</v>
      </c>
      <c r="R871" s="1">
        <v>44795.102083333331</v>
      </c>
      <c r="S871" s="1">
        <v>44798.444444444445</v>
      </c>
      <c r="T871" t="s">
        <v>109</v>
      </c>
      <c r="U871" t="b">
        <v>0</v>
      </c>
      <c r="V871" s="2">
        <v>44795.102083333331</v>
      </c>
      <c r="W871">
        <v>8</v>
      </c>
      <c r="X871">
        <v>2022</v>
      </c>
      <c r="Y871" t="s">
        <v>35</v>
      </c>
      <c r="Z871">
        <v>3</v>
      </c>
    </row>
    <row r="872" spans="1:26" x14ac:dyDescent="0.45">
      <c r="A872">
        <v>2914</v>
      </c>
      <c r="B872">
        <v>1061</v>
      </c>
      <c r="C872" t="s">
        <v>535</v>
      </c>
      <c r="D872" t="s">
        <v>22</v>
      </c>
      <c r="E872">
        <v>28</v>
      </c>
      <c r="F872">
        <v>688</v>
      </c>
      <c r="G872" t="s">
        <v>536</v>
      </c>
      <c r="H872" t="s">
        <v>129</v>
      </c>
      <c r="I872" t="s">
        <v>263</v>
      </c>
      <c r="J872" t="s">
        <v>278</v>
      </c>
      <c r="K872" t="s">
        <v>37</v>
      </c>
      <c r="L872" t="s">
        <v>56</v>
      </c>
      <c r="M872" t="s">
        <v>179</v>
      </c>
      <c r="N872" t="s">
        <v>79</v>
      </c>
      <c r="O872" t="s">
        <v>161</v>
      </c>
      <c r="P872">
        <v>3</v>
      </c>
      <c r="Q872" t="b">
        <v>1</v>
      </c>
      <c r="R872" s="1">
        <v>45144.454861111109</v>
      </c>
      <c r="S872" s="1">
        <v>45148.349305555559</v>
      </c>
      <c r="T872" t="s">
        <v>109</v>
      </c>
      <c r="U872" t="b">
        <v>0</v>
      </c>
      <c r="V872" s="2">
        <v>45144.454861111109</v>
      </c>
      <c r="W872">
        <v>8</v>
      </c>
      <c r="X872">
        <v>2023</v>
      </c>
      <c r="Y872" t="s">
        <v>129</v>
      </c>
      <c r="Z872">
        <v>3</v>
      </c>
    </row>
    <row r="873" spans="1:26" x14ac:dyDescent="0.45">
      <c r="A873">
        <v>2915</v>
      </c>
      <c r="B873">
        <v>1049</v>
      </c>
      <c r="C873" t="s">
        <v>342</v>
      </c>
      <c r="D873" t="s">
        <v>42</v>
      </c>
      <c r="E873">
        <v>56</v>
      </c>
      <c r="F873">
        <v>724</v>
      </c>
      <c r="G873" t="s">
        <v>343</v>
      </c>
      <c r="H873" t="s">
        <v>63</v>
      </c>
      <c r="I873" t="s">
        <v>64</v>
      </c>
      <c r="J873" t="s">
        <v>281</v>
      </c>
      <c r="K873" t="s">
        <v>55</v>
      </c>
      <c r="L873" t="s">
        <v>76</v>
      </c>
      <c r="M873" t="s">
        <v>160</v>
      </c>
      <c r="N873" t="s">
        <v>79</v>
      </c>
      <c r="O873" t="s">
        <v>161</v>
      </c>
      <c r="P873">
        <v>5</v>
      </c>
      <c r="Q873" t="b">
        <v>1</v>
      </c>
      <c r="R873" s="1">
        <v>45285.96597222222</v>
      </c>
      <c r="S873" s="1">
        <v>45292.104166666664</v>
      </c>
      <c r="T873" t="s">
        <v>40</v>
      </c>
      <c r="U873" t="b">
        <v>0</v>
      </c>
      <c r="V873" s="2">
        <v>45285.96597222222</v>
      </c>
      <c r="W873">
        <v>12</v>
      </c>
      <c r="X873">
        <v>2023</v>
      </c>
      <c r="Y873" t="s">
        <v>63</v>
      </c>
      <c r="Z873">
        <v>5</v>
      </c>
    </row>
    <row r="874" spans="1:26" x14ac:dyDescent="0.45">
      <c r="A874">
        <v>2916</v>
      </c>
      <c r="B874">
        <v>1010</v>
      </c>
      <c r="C874" t="s">
        <v>569</v>
      </c>
      <c r="D874" t="s">
        <v>42</v>
      </c>
      <c r="E874">
        <v>32</v>
      </c>
      <c r="F874">
        <v>698</v>
      </c>
      <c r="G874" t="s">
        <v>570</v>
      </c>
      <c r="H874" t="s">
        <v>63</v>
      </c>
      <c r="I874" t="s">
        <v>300</v>
      </c>
      <c r="J874" t="s">
        <v>388</v>
      </c>
      <c r="K874" t="s">
        <v>37</v>
      </c>
      <c r="L874" t="s">
        <v>28</v>
      </c>
      <c r="M874" t="s">
        <v>142</v>
      </c>
      <c r="N874" t="s">
        <v>143</v>
      </c>
      <c r="O874" t="s">
        <v>144</v>
      </c>
      <c r="P874">
        <v>5</v>
      </c>
      <c r="Q874" t="b">
        <v>0</v>
      </c>
      <c r="R874" s="1">
        <v>45145.997916666667</v>
      </c>
      <c r="V874" s="2">
        <v>45145.997916666667</v>
      </c>
      <c r="W874">
        <v>8</v>
      </c>
      <c r="X874">
        <v>2023</v>
      </c>
      <c r="Y874" t="s">
        <v>63</v>
      </c>
      <c r="Z874">
        <v>5</v>
      </c>
    </row>
    <row r="875" spans="1:26" x14ac:dyDescent="0.45">
      <c r="A875">
        <v>2917</v>
      </c>
      <c r="B875">
        <v>1169</v>
      </c>
      <c r="C875" t="s">
        <v>571</v>
      </c>
      <c r="D875" t="s">
        <v>22</v>
      </c>
      <c r="E875">
        <v>29</v>
      </c>
      <c r="F875">
        <v>684</v>
      </c>
      <c r="G875" t="s">
        <v>572</v>
      </c>
      <c r="H875" t="s">
        <v>24</v>
      </c>
      <c r="I875" t="s">
        <v>25</v>
      </c>
      <c r="J875" t="s">
        <v>222</v>
      </c>
      <c r="K875" t="s">
        <v>37</v>
      </c>
      <c r="L875" t="s">
        <v>67</v>
      </c>
      <c r="M875" t="s">
        <v>68</v>
      </c>
      <c r="N875" t="s">
        <v>69</v>
      </c>
      <c r="O875" t="s">
        <v>70</v>
      </c>
      <c r="P875">
        <v>5</v>
      </c>
      <c r="Q875" t="b">
        <v>1</v>
      </c>
      <c r="R875" s="1">
        <v>44461.13958333333</v>
      </c>
      <c r="S875" s="1">
        <v>44462.060416666667</v>
      </c>
      <c r="T875" t="s">
        <v>32</v>
      </c>
      <c r="U875" t="b">
        <v>0</v>
      </c>
      <c r="V875" s="2">
        <v>44461.13958333333</v>
      </c>
      <c r="W875">
        <v>9</v>
      </c>
      <c r="X875">
        <v>2021</v>
      </c>
      <c r="Y875" t="s">
        <v>24</v>
      </c>
      <c r="Z875">
        <v>5</v>
      </c>
    </row>
    <row r="876" spans="1:26" x14ac:dyDescent="0.45">
      <c r="A876">
        <v>2918</v>
      </c>
      <c r="B876">
        <v>1046</v>
      </c>
      <c r="C876" t="s">
        <v>500</v>
      </c>
      <c r="D876" t="s">
        <v>22</v>
      </c>
      <c r="E876">
        <v>43</v>
      </c>
      <c r="F876">
        <v>710</v>
      </c>
      <c r="G876" t="s">
        <v>501</v>
      </c>
      <c r="H876" t="s">
        <v>52</v>
      </c>
      <c r="I876" t="s">
        <v>53</v>
      </c>
      <c r="J876" t="s">
        <v>54</v>
      </c>
      <c r="K876" t="s">
        <v>27</v>
      </c>
      <c r="L876" t="s">
        <v>96</v>
      </c>
      <c r="M876" t="s">
        <v>103</v>
      </c>
      <c r="N876" t="s">
        <v>31</v>
      </c>
      <c r="O876" t="s">
        <v>104</v>
      </c>
      <c r="P876">
        <v>4</v>
      </c>
      <c r="Q876" t="b">
        <v>0</v>
      </c>
      <c r="R876" s="1">
        <v>44753.745833333334</v>
      </c>
      <c r="V876" s="2">
        <v>44753.745833333334</v>
      </c>
      <c r="W876">
        <v>7</v>
      </c>
      <c r="X876">
        <v>2022</v>
      </c>
      <c r="Y876" t="s">
        <v>52</v>
      </c>
      <c r="Z876">
        <v>4</v>
      </c>
    </row>
    <row r="877" spans="1:26" x14ac:dyDescent="0.45">
      <c r="A877">
        <v>2919</v>
      </c>
      <c r="B877">
        <v>1402</v>
      </c>
      <c r="C877" t="s">
        <v>380</v>
      </c>
      <c r="D877" t="s">
        <v>22</v>
      </c>
      <c r="E877">
        <v>21</v>
      </c>
      <c r="F877">
        <v>661</v>
      </c>
      <c r="G877" t="s">
        <v>381</v>
      </c>
      <c r="H877" t="s">
        <v>172</v>
      </c>
      <c r="I877" t="s">
        <v>173</v>
      </c>
      <c r="J877" t="s">
        <v>174</v>
      </c>
      <c r="K877" t="s">
        <v>66</v>
      </c>
      <c r="L877" t="s">
        <v>96</v>
      </c>
      <c r="M877" t="s">
        <v>118</v>
      </c>
      <c r="N877" t="s">
        <v>90</v>
      </c>
      <c r="O877" t="s">
        <v>119</v>
      </c>
      <c r="P877">
        <v>4</v>
      </c>
      <c r="Q877" t="b">
        <v>1</v>
      </c>
      <c r="R877" s="1">
        <v>44787.499305555553</v>
      </c>
      <c r="S877" s="1">
        <v>44793.808333333334</v>
      </c>
      <c r="T877" t="s">
        <v>32</v>
      </c>
      <c r="U877" t="b">
        <v>0</v>
      </c>
      <c r="V877" s="2">
        <v>44787.499305555553</v>
      </c>
      <c r="W877">
        <v>8</v>
      </c>
      <c r="X877">
        <v>2022</v>
      </c>
      <c r="Y877" t="s">
        <v>172</v>
      </c>
      <c r="Z877">
        <v>4</v>
      </c>
    </row>
    <row r="878" spans="1:26" x14ac:dyDescent="0.45">
      <c r="A878">
        <v>2920</v>
      </c>
      <c r="B878">
        <v>1170</v>
      </c>
      <c r="C878" t="s">
        <v>573</v>
      </c>
      <c r="D878" t="s">
        <v>42</v>
      </c>
      <c r="E878">
        <v>37</v>
      </c>
      <c r="F878">
        <v>681</v>
      </c>
      <c r="G878" t="s">
        <v>574</v>
      </c>
      <c r="H878" t="s">
        <v>35</v>
      </c>
      <c r="I878" t="s">
        <v>36</v>
      </c>
      <c r="J878" t="s">
        <v>82</v>
      </c>
      <c r="K878" t="s">
        <v>27</v>
      </c>
      <c r="L878" t="s">
        <v>56</v>
      </c>
      <c r="M878" t="s">
        <v>179</v>
      </c>
      <c r="N878" t="s">
        <v>79</v>
      </c>
      <c r="O878" t="s">
        <v>161</v>
      </c>
      <c r="P878">
        <v>5</v>
      </c>
      <c r="Q878" t="b">
        <v>1</v>
      </c>
      <c r="R878" s="1">
        <v>45228.579861111109</v>
      </c>
      <c r="S878" s="1">
        <v>45230.344444444447</v>
      </c>
      <c r="T878" t="s">
        <v>40</v>
      </c>
      <c r="U878" t="b">
        <v>0</v>
      </c>
      <c r="V878" s="2">
        <v>45228.579861111109</v>
      </c>
      <c r="W878">
        <v>10</v>
      </c>
      <c r="X878">
        <v>2023</v>
      </c>
      <c r="Y878" t="s">
        <v>35</v>
      </c>
      <c r="Z878">
        <v>5</v>
      </c>
    </row>
    <row r="879" spans="1:26" x14ac:dyDescent="0.45">
      <c r="A879">
        <v>2921</v>
      </c>
      <c r="B879">
        <v>1435</v>
      </c>
      <c r="C879" t="s">
        <v>273</v>
      </c>
      <c r="D879" t="s">
        <v>22</v>
      </c>
      <c r="E879">
        <v>52</v>
      </c>
      <c r="F879">
        <v>715</v>
      </c>
      <c r="G879" t="s">
        <v>274</v>
      </c>
      <c r="H879" t="s">
        <v>172</v>
      </c>
      <c r="I879" t="s">
        <v>177</v>
      </c>
      <c r="J879" t="s">
        <v>178</v>
      </c>
      <c r="K879" t="s">
        <v>27</v>
      </c>
      <c r="L879" t="s">
        <v>67</v>
      </c>
      <c r="M879" t="s">
        <v>165</v>
      </c>
      <c r="N879" t="s">
        <v>166</v>
      </c>
      <c r="O879" t="s">
        <v>167</v>
      </c>
      <c r="P879">
        <v>1</v>
      </c>
      <c r="Q879" t="b">
        <v>1</v>
      </c>
      <c r="R879" s="1">
        <v>44054.779166666667</v>
      </c>
      <c r="S879" s="1">
        <v>44059.363194444442</v>
      </c>
      <c r="T879" t="s">
        <v>32</v>
      </c>
      <c r="U879" t="b">
        <v>1</v>
      </c>
      <c r="V879" s="2">
        <v>44054.779166666667</v>
      </c>
      <c r="W879">
        <v>8</v>
      </c>
      <c r="X879">
        <v>2020</v>
      </c>
      <c r="Y879" t="s">
        <v>172</v>
      </c>
      <c r="Z879">
        <v>1</v>
      </c>
    </row>
    <row r="880" spans="1:26" x14ac:dyDescent="0.45">
      <c r="A880">
        <v>2922</v>
      </c>
      <c r="B880">
        <v>1255</v>
      </c>
      <c r="C880" t="s">
        <v>455</v>
      </c>
      <c r="D880" t="s">
        <v>22</v>
      </c>
      <c r="E880">
        <v>32</v>
      </c>
      <c r="F880">
        <v>691</v>
      </c>
      <c r="G880" t="s">
        <v>456</v>
      </c>
      <c r="H880" t="s">
        <v>172</v>
      </c>
      <c r="I880" t="s">
        <v>173</v>
      </c>
      <c r="J880" t="s">
        <v>423</v>
      </c>
      <c r="K880" t="s">
        <v>66</v>
      </c>
      <c r="L880" t="s">
        <v>76</v>
      </c>
      <c r="M880" t="s">
        <v>126</v>
      </c>
      <c r="N880" t="s">
        <v>98</v>
      </c>
      <c r="O880" t="s">
        <v>99</v>
      </c>
      <c r="P880">
        <v>3</v>
      </c>
      <c r="Q880" t="b">
        <v>1</v>
      </c>
      <c r="R880" s="1">
        <v>44384.012499999997</v>
      </c>
      <c r="S880" s="1">
        <v>44389.963888888888</v>
      </c>
      <c r="T880" t="s">
        <v>109</v>
      </c>
      <c r="U880" t="b">
        <v>1</v>
      </c>
      <c r="V880" s="2">
        <v>44384.012499999997</v>
      </c>
      <c r="W880">
        <v>7</v>
      </c>
      <c r="X880">
        <v>2021</v>
      </c>
      <c r="Y880" t="s">
        <v>172</v>
      </c>
      <c r="Z880">
        <v>3</v>
      </c>
    </row>
    <row r="881" spans="1:26" x14ac:dyDescent="0.45">
      <c r="A881">
        <v>2923</v>
      </c>
      <c r="B881">
        <v>1475</v>
      </c>
      <c r="C881" t="s">
        <v>575</v>
      </c>
      <c r="D881" t="s">
        <v>22</v>
      </c>
      <c r="E881">
        <v>46</v>
      </c>
      <c r="F881">
        <v>728</v>
      </c>
      <c r="G881" t="s">
        <v>576</v>
      </c>
      <c r="H881" t="s">
        <v>93</v>
      </c>
      <c r="I881" t="s">
        <v>112</v>
      </c>
      <c r="J881" t="s">
        <v>242</v>
      </c>
      <c r="K881" t="s">
        <v>55</v>
      </c>
      <c r="L881" t="s">
        <v>76</v>
      </c>
      <c r="M881" t="s">
        <v>132</v>
      </c>
      <c r="N881" t="s">
        <v>59</v>
      </c>
      <c r="O881" t="s">
        <v>98</v>
      </c>
      <c r="P881">
        <v>5</v>
      </c>
      <c r="Q881" t="b">
        <v>1</v>
      </c>
      <c r="R881" s="1">
        <v>43971.911805555559</v>
      </c>
      <c r="S881" s="1">
        <v>43972.180555555555</v>
      </c>
      <c r="T881" t="s">
        <v>32</v>
      </c>
      <c r="U881" t="b">
        <v>0</v>
      </c>
      <c r="V881" s="2">
        <v>43971.911805555559</v>
      </c>
      <c r="W881">
        <v>5</v>
      </c>
      <c r="X881">
        <v>2020</v>
      </c>
      <c r="Y881" t="s">
        <v>93</v>
      </c>
      <c r="Z881">
        <v>5</v>
      </c>
    </row>
    <row r="882" spans="1:26" x14ac:dyDescent="0.45">
      <c r="A882">
        <v>2924</v>
      </c>
      <c r="B882">
        <v>1448</v>
      </c>
      <c r="C882" t="s">
        <v>525</v>
      </c>
      <c r="D882" t="s">
        <v>22</v>
      </c>
      <c r="E882">
        <v>43</v>
      </c>
      <c r="F882">
        <v>732</v>
      </c>
      <c r="G882" t="s">
        <v>526</v>
      </c>
      <c r="H882" t="s">
        <v>24</v>
      </c>
      <c r="I882" t="s">
        <v>44</v>
      </c>
      <c r="J882" t="s">
        <v>208</v>
      </c>
      <c r="K882" t="s">
        <v>102</v>
      </c>
      <c r="L882" t="s">
        <v>67</v>
      </c>
      <c r="M882" t="s">
        <v>233</v>
      </c>
      <c r="N882" t="s">
        <v>89</v>
      </c>
      <c r="O882" t="s">
        <v>90</v>
      </c>
      <c r="P882">
        <v>1</v>
      </c>
      <c r="Q882" t="b">
        <v>1</v>
      </c>
      <c r="R882" s="1">
        <v>44520.097916666666</v>
      </c>
      <c r="S882" s="1">
        <v>44524.865277777775</v>
      </c>
      <c r="T882" t="s">
        <v>109</v>
      </c>
      <c r="U882" t="b">
        <v>0</v>
      </c>
      <c r="V882" s="2">
        <v>44520.097916666666</v>
      </c>
      <c r="W882">
        <v>11</v>
      </c>
      <c r="X882">
        <v>2021</v>
      </c>
      <c r="Y882" t="s">
        <v>24</v>
      </c>
      <c r="Z882">
        <v>1</v>
      </c>
    </row>
    <row r="883" spans="1:26" x14ac:dyDescent="0.45">
      <c r="A883">
        <v>2925</v>
      </c>
      <c r="B883">
        <v>1385</v>
      </c>
      <c r="C883" t="s">
        <v>180</v>
      </c>
      <c r="D883" t="s">
        <v>22</v>
      </c>
      <c r="E883">
        <v>57</v>
      </c>
      <c r="F883">
        <v>732</v>
      </c>
      <c r="G883" t="s">
        <v>181</v>
      </c>
      <c r="H883" t="s">
        <v>85</v>
      </c>
      <c r="I883" t="s">
        <v>86</v>
      </c>
      <c r="J883" t="s">
        <v>182</v>
      </c>
      <c r="K883" t="s">
        <v>102</v>
      </c>
      <c r="L883" t="s">
        <v>96</v>
      </c>
      <c r="M883" t="s">
        <v>103</v>
      </c>
      <c r="N883" t="s">
        <v>31</v>
      </c>
      <c r="O883" t="s">
        <v>104</v>
      </c>
      <c r="P883">
        <v>2</v>
      </c>
      <c r="Q883" t="b">
        <v>1</v>
      </c>
      <c r="R883" s="1">
        <v>44010.999305555553</v>
      </c>
      <c r="S883" s="1">
        <v>44015.43472222222</v>
      </c>
      <c r="T883" t="s">
        <v>60</v>
      </c>
      <c r="U883" t="b">
        <v>0</v>
      </c>
      <c r="V883" s="2">
        <v>44010.999305555553</v>
      </c>
      <c r="W883">
        <v>6</v>
      </c>
      <c r="X883">
        <v>2020</v>
      </c>
      <c r="Y883" t="s">
        <v>85</v>
      </c>
      <c r="Z883">
        <v>2</v>
      </c>
    </row>
    <row r="884" spans="1:26" x14ac:dyDescent="0.45">
      <c r="A884">
        <v>2926</v>
      </c>
      <c r="B884">
        <v>1148</v>
      </c>
      <c r="C884" t="s">
        <v>292</v>
      </c>
      <c r="D884" t="s">
        <v>22</v>
      </c>
      <c r="E884">
        <v>38</v>
      </c>
      <c r="F884">
        <v>687</v>
      </c>
      <c r="G884" t="s">
        <v>293</v>
      </c>
      <c r="H884" t="s">
        <v>129</v>
      </c>
      <c r="I884" t="s">
        <v>130</v>
      </c>
      <c r="J884" t="s">
        <v>252</v>
      </c>
      <c r="K884" t="s">
        <v>66</v>
      </c>
      <c r="L884" t="s">
        <v>28</v>
      </c>
      <c r="M884" t="s">
        <v>29</v>
      </c>
      <c r="N884" t="s">
        <v>30</v>
      </c>
      <c r="O884" t="s">
        <v>31</v>
      </c>
      <c r="P884">
        <v>3</v>
      </c>
      <c r="Q884" t="b">
        <v>0</v>
      </c>
      <c r="R884" s="1">
        <v>44929.478472222225</v>
      </c>
      <c r="V884" s="2">
        <v>44929.478472222225</v>
      </c>
      <c r="W884">
        <v>1</v>
      </c>
      <c r="X884">
        <v>2023</v>
      </c>
      <c r="Y884" t="s">
        <v>129</v>
      </c>
      <c r="Z884">
        <v>3</v>
      </c>
    </row>
    <row r="885" spans="1:26" x14ac:dyDescent="0.45">
      <c r="A885">
        <v>2927</v>
      </c>
      <c r="B885">
        <v>1241</v>
      </c>
      <c r="C885" t="s">
        <v>577</v>
      </c>
      <c r="D885" t="s">
        <v>42</v>
      </c>
      <c r="E885">
        <v>77</v>
      </c>
      <c r="F885">
        <v>751</v>
      </c>
      <c r="G885" t="s">
        <v>578</v>
      </c>
      <c r="H885" t="s">
        <v>52</v>
      </c>
      <c r="I885" t="s">
        <v>150</v>
      </c>
      <c r="J885" t="s">
        <v>205</v>
      </c>
      <c r="K885" t="s">
        <v>27</v>
      </c>
      <c r="L885" t="s">
        <v>76</v>
      </c>
      <c r="M885" t="s">
        <v>77</v>
      </c>
      <c r="N885" t="s">
        <v>78</v>
      </c>
      <c r="O885" t="s">
        <v>79</v>
      </c>
      <c r="P885">
        <v>1</v>
      </c>
      <c r="Q885" t="b">
        <v>1</v>
      </c>
      <c r="R885" s="1">
        <v>43983.386111111111</v>
      </c>
      <c r="S885" s="1">
        <v>43984.215277777781</v>
      </c>
      <c r="T885" t="s">
        <v>109</v>
      </c>
      <c r="U885" t="b">
        <v>0</v>
      </c>
      <c r="V885" s="2">
        <v>43983.386111111111</v>
      </c>
      <c r="W885">
        <v>6</v>
      </c>
      <c r="X885">
        <v>2020</v>
      </c>
      <c r="Y885" t="s">
        <v>52</v>
      </c>
      <c r="Z885">
        <v>1</v>
      </c>
    </row>
    <row r="886" spans="1:26" x14ac:dyDescent="0.45">
      <c r="A886">
        <v>2928</v>
      </c>
      <c r="B886">
        <v>1002</v>
      </c>
      <c r="C886" t="s">
        <v>579</v>
      </c>
      <c r="D886" t="s">
        <v>42</v>
      </c>
      <c r="E886">
        <v>24</v>
      </c>
      <c r="F886">
        <v>605</v>
      </c>
      <c r="G886" t="s">
        <v>580</v>
      </c>
      <c r="H886" t="s">
        <v>35</v>
      </c>
      <c r="I886" t="s">
        <v>122</v>
      </c>
      <c r="J886" t="s">
        <v>123</v>
      </c>
      <c r="K886" t="s">
        <v>46</v>
      </c>
      <c r="L886" t="s">
        <v>67</v>
      </c>
      <c r="M886" t="s">
        <v>165</v>
      </c>
      <c r="N886" t="s">
        <v>166</v>
      </c>
      <c r="O886" t="s">
        <v>167</v>
      </c>
      <c r="P886">
        <v>4</v>
      </c>
      <c r="Q886" t="b">
        <v>1</v>
      </c>
      <c r="R886" s="1">
        <v>44264.925000000003</v>
      </c>
      <c r="S886" s="1">
        <v>44266.830555555556</v>
      </c>
      <c r="T886" t="s">
        <v>60</v>
      </c>
      <c r="U886" t="b">
        <v>0</v>
      </c>
      <c r="V886" s="2">
        <v>44264.925000000003</v>
      </c>
      <c r="W886">
        <v>3</v>
      </c>
      <c r="X886">
        <v>2021</v>
      </c>
      <c r="Y886" t="s">
        <v>35</v>
      </c>
      <c r="Z886">
        <v>4</v>
      </c>
    </row>
    <row r="887" spans="1:26" x14ac:dyDescent="0.45">
      <c r="A887">
        <v>2929</v>
      </c>
      <c r="B887">
        <v>1034</v>
      </c>
      <c r="C887" t="s">
        <v>581</v>
      </c>
      <c r="D887" t="s">
        <v>22</v>
      </c>
      <c r="E887">
        <v>60</v>
      </c>
      <c r="F887">
        <v>742</v>
      </c>
      <c r="G887" t="s">
        <v>582</v>
      </c>
      <c r="H887" t="s">
        <v>93</v>
      </c>
      <c r="I887" t="s">
        <v>112</v>
      </c>
      <c r="J887" t="s">
        <v>113</v>
      </c>
      <c r="K887" t="s">
        <v>37</v>
      </c>
      <c r="L887" t="s">
        <v>56</v>
      </c>
      <c r="M887" t="s">
        <v>197</v>
      </c>
      <c r="N887" t="s">
        <v>198</v>
      </c>
      <c r="O887" t="s">
        <v>199</v>
      </c>
      <c r="P887">
        <v>3</v>
      </c>
      <c r="Q887" t="b">
        <v>1</v>
      </c>
      <c r="R887" s="1">
        <v>44125.060416666667</v>
      </c>
      <c r="S887" s="1">
        <v>44127.72152777778</v>
      </c>
      <c r="T887" t="s">
        <v>40</v>
      </c>
      <c r="U887" t="b">
        <v>0</v>
      </c>
      <c r="V887" s="2">
        <v>44125.060416666667</v>
      </c>
      <c r="W887">
        <v>10</v>
      </c>
      <c r="X887">
        <v>2020</v>
      </c>
      <c r="Y887" t="s">
        <v>93</v>
      </c>
      <c r="Z887">
        <v>3</v>
      </c>
    </row>
    <row r="888" spans="1:26" x14ac:dyDescent="0.45">
      <c r="A888">
        <v>2930</v>
      </c>
      <c r="B888">
        <v>1231</v>
      </c>
      <c r="C888" t="s">
        <v>583</v>
      </c>
      <c r="D888" t="s">
        <v>42</v>
      </c>
      <c r="E888">
        <v>40</v>
      </c>
      <c r="F888">
        <v>690</v>
      </c>
      <c r="G888" t="s">
        <v>584</v>
      </c>
      <c r="H888" t="s">
        <v>24</v>
      </c>
      <c r="I888" t="s">
        <v>44</v>
      </c>
      <c r="J888" t="s">
        <v>225</v>
      </c>
      <c r="K888" t="s">
        <v>27</v>
      </c>
      <c r="L888" t="s">
        <v>56</v>
      </c>
      <c r="M888" t="s">
        <v>197</v>
      </c>
      <c r="N888" t="s">
        <v>198</v>
      </c>
      <c r="O888" t="s">
        <v>199</v>
      </c>
      <c r="P888">
        <v>1</v>
      </c>
      <c r="Q888" t="b">
        <v>0</v>
      </c>
      <c r="R888" s="1">
        <v>44736.867361111108</v>
      </c>
      <c r="V888" s="2">
        <v>44736.867361111108</v>
      </c>
      <c r="W888">
        <v>6</v>
      </c>
      <c r="X888">
        <v>2022</v>
      </c>
      <c r="Y888" t="s">
        <v>24</v>
      </c>
      <c r="Z888">
        <v>1</v>
      </c>
    </row>
    <row r="889" spans="1:26" x14ac:dyDescent="0.45">
      <c r="A889">
        <v>2931</v>
      </c>
      <c r="B889">
        <v>1089</v>
      </c>
      <c r="C889" t="s">
        <v>585</v>
      </c>
      <c r="D889" t="s">
        <v>22</v>
      </c>
      <c r="E889">
        <v>56</v>
      </c>
      <c r="F889">
        <v>719</v>
      </c>
      <c r="G889" t="s">
        <v>586</v>
      </c>
      <c r="H889" t="s">
        <v>24</v>
      </c>
      <c r="I889" t="s">
        <v>44</v>
      </c>
      <c r="J889" t="s">
        <v>45</v>
      </c>
      <c r="K889" t="s">
        <v>55</v>
      </c>
      <c r="L889" t="s">
        <v>28</v>
      </c>
      <c r="M889" t="s">
        <v>142</v>
      </c>
      <c r="N889" t="s">
        <v>143</v>
      </c>
      <c r="O889" t="s">
        <v>144</v>
      </c>
      <c r="P889">
        <v>3</v>
      </c>
      <c r="Q889" t="b">
        <v>1</v>
      </c>
      <c r="R889" s="1">
        <v>45171.015972222223</v>
      </c>
      <c r="S889" s="1">
        <v>45177.748611111114</v>
      </c>
      <c r="T889" t="s">
        <v>40</v>
      </c>
      <c r="U889" t="b">
        <v>0</v>
      </c>
      <c r="V889" s="2">
        <v>45171.015972222223</v>
      </c>
      <c r="W889">
        <v>9</v>
      </c>
      <c r="X889">
        <v>2023</v>
      </c>
      <c r="Y889" t="s">
        <v>24</v>
      </c>
      <c r="Z889">
        <v>3</v>
      </c>
    </row>
    <row r="890" spans="1:26" x14ac:dyDescent="0.45">
      <c r="A890">
        <v>2932</v>
      </c>
      <c r="B890">
        <v>1036</v>
      </c>
      <c r="C890" t="s">
        <v>319</v>
      </c>
      <c r="D890" t="s">
        <v>22</v>
      </c>
      <c r="E890">
        <v>45</v>
      </c>
      <c r="F890">
        <v>703</v>
      </c>
      <c r="G890" t="s">
        <v>320</v>
      </c>
      <c r="H890" t="s">
        <v>85</v>
      </c>
      <c r="I890" t="s">
        <v>86</v>
      </c>
      <c r="J890" t="s">
        <v>182</v>
      </c>
      <c r="K890" t="s">
        <v>102</v>
      </c>
      <c r="L890" t="s">
        <v>76</v>
      </c>
      <c r="M890" t="s">
        <v>126</v>
      </c>
      <c r="N890" t="s">
        <v>98</v>
      </c>
      <c r="O890" t="s">
        <v>99</v>
      </c>
      <c r="P890">
        <v>4</v>
      </c>
      <c r="Q890" t="b">
        <v>1</v>
      </c>
      <c r="R890" s="1">
        <v>45093.20208333333</v>
      </c>
      <c r="S890" s="1">
        <v>45097.990972222222</v>
      </c>
      <c r="T890" t="s">
        <v>109</v>
      </c>
      <c r="U890" t="b">
        <v>0</v>
      </c>
      <c r="V890" s="2">
        <v>45093.20208333333</v>
      </c>
      <c r="W890">
        <v>6</v>
      </c>
      <c r="X890">
        <v>2023</v>
      </c>
      <c r="Y890" t="s">
        <v>85</v>
      </c>
      <c r="Z890">
        <v>4</v>
      </c>
    </row>
    <row r="891" spans="1:26" x14ac:dyDescent="0.45">
      <c r="A891">
        <v>2933</v>
      </c>
      <c r="B891">
        <v>1430</v>
      </c>
      <c r="C891" t="s">
        <v>587</v>
      </c>
      <c r="D891" t="s">
        <v>22</v>
      </c>
      <c r="E891">
        <v>37</v>
      </c>
      <c r="F891">
        <v>682</v>
      </c>
      <c r="G891" t="s">
        <v>588</v>
      </c>
      <c r="H891" t="s">
        <v>129</v>
      </c>
      <c r="I891" t="s">
        <v>263</v>
      </c>
      <c r="J891" t="s">
        <v>278</v>
      </c>
      <c r="K891" t="s">
        <v>46</v>
      </c>
      <c r="L891" t="s">
        <v>28</v>
      </c>
      <c r="M891" t="s">
        <v>38</v>
      </c>
      <c r="N891" t="s">
        <v>31</v>
      </c>
      <c r="O891" t="s">
        <v>39</v>
      </c>
      <c r="P891">
        <v>4</v>
      </c>
      <c r="Q891" t="b">
        <v>1</v>
      </c>
      <c r="R891" s="1">
        <v>44126.4375</v>
      </c>
      <c r="S891" s="1">
        <v>44130.365277777775</v>
      </c>
      <c r="T891" t="s">
        <v>60</v>
      </c>
      <c r="U891" t="b">
        <v>0</v>
      </c>
      <c r="V891" s="2">
        <v>44126.4375</v>
      </c>
      <c r="W891">
        <v>10</v>
      </c>
      <c r="X891">
        <v>2020</v>
      </c>
      <c r="Y891" t="s">
        <v>129</v>
      </c>
      <c r="Z891">
        <v>4</v>
      </c>
    </row>
    <row r="892" spans="1:26" x14ac:dyDescent="0.45">
      <c r="A892">
        <v>2934</v>
      </c>
      <c r="B892">
        <v>1189</v>
      </c>
      <c r="C892" t="s">
        <v>589</v>
      </c>
      <c r="D892" t="s">
        <v>22</v>
      </c>
      <c r="E892">
        <v>29</v>
      </c>
      <c r="F892">
        <v>684</v>
      </c>
      <c r="G892" t="s">
        <v>590</v>
      </c>
      <c r="H892" t="s">
        <v>73</v>
      </c>
      <c r="I892" t="s">
        <v>74</v>
      </c>
      <c r="J892" t="s">
        <v>245</v>
      </c>
      <c r="K892" t="s">
        <v>46</v>
      </c>
      <c r="L892" t="s">
        <v>96</v>
      </c>
      <c r="M892" t="s">
        <v>97</v>
      </c>
      <c r="N892" t="s">
        <v>98</v>
      </c>
      <c r="O892" t="s">
        <v>99</v>
      </c>
      <c r="P892">
        <v>1</v>
      </c>
      <c r="Q892" t="b">
        <v>1</v>
      </c>
      <c r="R892" s="1">
        <v>44675.295138888891</v>
      </c>
      <c r="S892" s="1">
        <v>44676.397916666669</v>
      </c>
      <c r="T892" t="s">
        <v>32</v>
      </c>
      <c r="U892" t="b">
        <v>0</v>
      </c>
      <c r="V892" s="2">
        <v>44675.295138888891</v>
      </c>
      <c r="W892">
        <v>4</v>
      </c>
      <c r="X892">
        <v>2022</v>
      </c>
      <c r="Y892" t="s">
        <v>73</v>
      </c>
      <c r="Z892">
        <v>1</v>
      </c>
    </row>
    <row r="893" spans="1:26" x14ac:dyDescent="0.45">
      <c r="A893">
        <v>2935</v>
      </c>
      <c r="B893">
        <v>1306</v>
      </c>
      <c r="C893" t="s">
        <v>591</v>
      </c>
      <c r="D893" t="s">
        <v>42</v>
      </c>
      <c r="E893">
        <v>55</v>
      </c>
      <c r="F893">
        <v>708</v>
      </c>
      <c r="G893" t="s">
        <v>592</v>
      </c>
      <c r="H893" t="s">
        <v>63</v>
      </c>
      <c r="I893" t="s">
        <v>300</v>
      </c>
      <c r="J893" t="s">
        <v>301</v>
      </c>
      <c r="K893" t="s">
        <v>66</v>
      </c>
      <c r="L893" t="s">
        <v>76</v>
      </c>
      <c r="M893" t="s">
        <v>77</v>
      </c>
      <c r="N893" t="s">
        <v>78</v>
      </c>
      <c r="O893" t="s">
        <v>79</v>
      </c>
      <c r="P893">
        <v>5</v>
      </c>
      <c r="Q893" t="b">
        <v>1</v>
      </c>
      <c r="R893" s="1">
        <v>45114.354166666664</v>
      </c>
      <c r="S893" s="1">
        <v>45120.946527777778</v>
      </c>
      <c r="T893" t="s">
        <v>60</v>
      </c>
      <c r="U893" t="b">
        <v>0</v>
      </c>
      <c r="V893" s="2">
        <v>45114.354166666664</v>
      </c>
      <c r="W893">
        <v>7</v>
      </c>
      <c r="X893">
        <v>2023</v>
      </c>
      <c r="Y893" t="s">
        <v>63</v>
      </c>
      <c r="Z893">
        <v>5</v>
      </c>
    </row>
    <row r="894" spans="1:26" x14ac:dyDescent="0.45">
      <c r="A894">
        <v>2936</v>
      </c>
      <c r="B894">
        <v>1469</v>
      </c>
      <c r="C894" t="s">
        <v>229</v>
      </c>
      <c r="D894" t="s">
        <v>42</v>
      </c>
      <c r="E894">
        <v>46</v>
      </c>
      <c r="F894">
        <v>707</v>
      </c>
      <c r="G894" t="s">
        <v>230</v>
      </c>
      <c r="H894" t="s">
        <v>52</v>
      </c>
      <c r="I894" t="s">
        <v>150</v>
      </c>
      <c r="J894" t="s">
        <v>151</v>
      </c>
      <c r="K894" t="s">
        <v>27</v>
      </c>
      <c r="L894" t="s">
        <v>67</v>
      </c>
      <c r="M894" t="s">
        <v>233</v>
      </c>
      <c r="N894" t="s">
        <v>89</v>
      </c>
      <c r="O894" t="s">
        <v>90</v>
      </c>
      <c r="P894">
        <v>4</v>
      </c>
      <c r="Q894" t="b">
        <v>1</v>
      </c>
      <c r="R894" s="1">
        <v>44977.63958333333</v>
      </c>
      <c r="S894" s="1">
        <v>44979.476388888892</v>
      </c>
      <c r="T894" t="s">
        <v>32</v>
      </c>
      <c r="U894" t="b">
        <v>0</v>
      </c>
      <c r="V894" s="2">
        <v>44977.63958333333</v>
      </c>
      <c r="W894">
        <v>2</v>
      </c>
      <c r="X894">
        <v>2023</v>
      </c>
      <c r="Y894" t="s">
        <v>52</v>
      </c>
      <c r="Z894">
        <v>4</v>
      </c>
    </row>
    <row r="895" spans="1:26" x14ac:dyDescent="0.45">
      <c r="A895">
        <v>2937</v>
      </c>
      <c r="B895">
        <v>1355</v>
      </c>
      <c r="C895" t="s">
        <v>593</v>
      </c>
      <c r="D895" t="s">
        <v>22</v>
      </c>
      <c r="E895">
        <v>53</v>
      </c>
      <c r="F895">
        <v>737</v>
      </c>
      <c r="G895" t="s">
        <v>594</v>
      </c>
      <c r="H895" t="s">
        <v>73</v>
      </c>
      <c r="I895" t="s">
        <v>140</v>
      </c>
      <c r="J895" t="s">
        <v>228</v>
      </c>
      <c r="K895" t="s">
        <v>46</v>
      </c>
      <c r="L895" t="s">
        <v>76</v>
      </c>
      <c r="M895" t="s">
        <v>132</v>
      </c>
      <c r="N895" t="s">
        <v>59</v>
      </c>
      <c r="O895" t="s">
        <v>98</v>
      </c>
      <c r="P895">
        <v>5</v>
      </c>
      <c r="Q895" t="b">
        <v>1</v>
      </c>
      <c r="R895" s="1">
        <v>44566.754861111112</v>
      </c>
      <c r="S895" s="1">
        <v>44567.267361111109</v>
      </c>
      <c r="T895" t="s">
        <v>60</v>
      </c>
      <c r="U895" t="b">
        <v>0</v>
      </c>
      <c r="V895" s="2">
        <v>44566.754861111112</v>
      </c>
      <c r="W895">
        <v>1</v>
      </c>
      <c r="X895">
        <v>2022</v>
      </c>
      <c r="Y895" t="s">
        <v>73</v>
      </c>
      <c r="Z895">
        <v>5</v>
      </c>
    </row>
    <row r="896" spans="1:26" x14ac:dyDescent="0.45">
      <c r="A896">
        <v>2938</v>
      </c>
      <c r="B896">
        <v>1074</v>
      </c>
      <c r="C896" t="s">
        <v>519</v>
      </c>
      <c r="D896" t="s">
        <v>22</v>
      </c>
      <c r="E896">
        <v>46</v>
      </c>
      <c r="F896">
        <v>732</v>
      </c>
      <c r="G896" t="s">
        <v>520</v>
      </c>
      <c r="H896" t="s">
        <v>172</v>
      </c>
      <c r="I896" t="s">
        <v>177</v>
      </c>
      <c r="J896" t="s">
        <v>356</v>
      </c>
      <c r="K896" t="s">
        <v>37</v>
      </c>
      <c r="L896" t="s">
        <v>96</v>
      </c>
      <c r="M896" t="s">
        <v>136</v>
      </c>
      <c r="N896" t="s">
        <v>30</v>
      </c>
      <c r="O896" t="s">
        <v>137</v>
      </c>
      <c r="P896">
        <v>1</v>
      </c>
      <c r="Q896" t="b">
        <v>0</v>
      </c>
      <c r="R896" s="1">
        <v>43952.025000000001</v>
      </c>
      <c r="V896" s="2">
        <v>43952.025000000001</v>
      </c>
      <c r="W896">
        <v>5</v>
      </c>
      <c r="X896">
        <v>2020</v>
      </c>
      <c r="Y896" t="s">
        <v>172</v>
      </c>
      <c r="Z896">
        <v>1</v>
      </c>
    </row>
    <row r="897" spans="1:26" x14ac:dyDescent="0.45">
      <c r="A897">
        <v>2939</v>
      </c>
      <c r="B897">
        <v>1247</v>
      </c>
      <c r="C897" t="s">
        <v>595</v>
      </c>
      <c r="D897" t="s">
        <v>22</v>
      </c>
      <c r="E897">
        <v>78</v>
      </c>
      <c r="F897">
        <v>751</v>
      </c>
      <c r="G897" t="s">
        <v>596</v>
      </c>
      <c r="H897" t="s">
        <v>129</v>
      </c>
      <c r="I897" t="s">
        <v>263</v>
      </c>
      <c r="J897" t="s">
        <v>278</v>
      </c>
      <c r="K897" t="s">
        <v>55</v>
      </c>
      <c r="L897" t="s">
        <v>76</v>
      </c>
      <c r="M897" t="s">
        <v>77</v>
      </c>
      <c r="N897" t="s">
        <v>78</v>
      </c>
      <c r="O897" t="s">
        <v>79</v>
      </c>
      <c r="P897">
        <v>4</v>
      </c>
      <c r="Q897" t="b">
        <v>0</v>
      </c>
      <c r="R897" s="1">
        <v>45175.57708333333</v>
      </c>
      <c r="V897" s="2">
        <v>45175.57708333333</v>
      </c>
      <c r="W897">
        <v>9</v>
      </c>
      <c r="X897">
        <v>2023</v>
      </c>
      <c r="Y897" t="s">
        <v>129</v>
      </c>
      <c r="Z897">
        <v>4</v>
      </c>
    </row>
    <row r="898" spans="1:26" x14ac:dyDescent="0.45">
      <c r="A898">
        <v>2940</v>
      </c>
      <c r="B898">
        <v>1175</v>
      </c>
      <c r="C898" t="s">
        <v>597</v>
      </c>
      <c r="D898" t="s">
        <v>22</v>
      </c>
      <c r="E898">
        <v>59</v>
      </c>
      <c r="F898">
        <v>755</v>
      </c>
      <c r="G898" t="s">
        <v>598</v>
      </c>
      <c r="H898" t="s">
        <v>172</v>
      </c>
      <c r="I898" t="s">
        <v>177</v>
      </c>
      <c r="J898" t="s">
        <v>178</v>
      </c>
      <c r="K898" t="s">
        <v>55</v>
      </c>
      <c r="L898" t="s">
        <v>56</v>
      </c>
      <c r="M898" t="s">
        <v>197</v>
      </c>
      <c r="N898" t="s">
        <v>198</v>
      </c>
      <c r="O898" t="s">
        <v>199</v>
      </c>
      <c r="P898">
        <v>5</v>
      </c>
      <c r="Q898" t="b">
        <v>0</v>
      </c>
      <c r="R898" s="1">
        <v>44761.186111111114</v>
      </c>
      <c r="V898" s="2">
        <v>44761.186111111114</v>
      </c>
      <c r="W898">
        <v>7</v>
      </c>
      <c r="X898">
        <v>2022</v>
      </c>
      <c r="Y898" t="s">
        <v>172</v>
      </c>
      <c r="Z898">
        <v>5</v>
      </c>
    </row>
    <row r="899" spans="1:26" x14ac:dyDescent="0.45">
      <c r="A899">
        <v>2941</v>
      </c>
      <c r="B899">
        <v>1410</v>
      </c>
      <c r="C899" t="s">
        <v>599</v>
      </c>
      <c r="D899" t="s">
        <v>22</v>
      </c>
      <c r="E899">
        <v>21</v>
      </c>
      <c r="F899">
        <v>666</v>
      </c>
      <c r="G899" t="s">
        <v>600</v>
      </c>
      <c r="H899" t="s">
        <v>24</v>
      </c>
      <c r="I899" t="s">
        <v>25</v>
      </c>
      <c r="J899" t="s">
        <v>26</v>
      </c>
      <c r="K899" t="s">
        <v>37</v>
      </c>
      <c r="L899" t="s">
        <v>28</v>
      </c>
      <c r="M899" t="s">
        <v>38</v>
      </c>
      <c r="N899" t="s">
        <v>31</v>
      </c>
      <c r="O899" t="s">
        <v>39</v>
      </c>
      <c r="P899">
        <v>4</v>
      </c>
      <c r="Q899" t="b">
        <v>1</v>
      </c>
      <c r="R899" s="1">
        <v>43913.395138888889</v>
      </c>
      <c r="S899" s="1">
        <v>43913.943055555559</v>
      </c>
      <c r="T899" t="s">
        <v>32</v>
      </c>
      <c r="U899" t="b">
        <v>0</v>
      </c>
      <c r="V899" s="2">
        <v>43913.395138888889</v>
      </c>
      <c r="W899">
        <v>3</v>
      </c>
      <c r="X899">
        <v>2020</v>
      </c>
      <c r="Y899" t="s">
        <v>24</v>
      </c>
      <c r="Z899">
        <v>4</v>
      </c>
    </row>
    <row r="900" spans="1:26" x14ac:dyDescent="0.45">
      <c r="A900">
        <v>2942</v>
      </c>
      <c r="B900">
        <v>1042</v>
      </c>
      <c r="C900" t="s">
        <v>601</v>
      </c>
      <c r="D900" t="s">
        <v>42</v>
      </c>
      <c r="E900">
        <v>42</v>
      </c>
      <c r="F900">
        <v>687</v>
      </c>
      <c r="G900" t="s">
        <v>602</v>
      </c>
      <c r="H900" t="s">
        <v>73</v>
      </c>
      <c r="I900" t="s">
        <v>140</v>
      </c>
      <c r="J900" t="s">
        <v>141</v>
      </c>
      <c r="K900" t="s">
        <v>55</v>
      </c>
      <c r="L900" t="s">
        <v>28</v>
      </c>
      <c r="M900" t="s">
        <v>38</v>
      </c>
      <c r="N900" t="s">
        <v>31</v>
      </c>
      <c r="O900" t="s">
        <v>39</v>
      </c>
      <c r="P900">
        <v>5</v>
      </c>
      <c r="Q900" t="b">
        <v>1</v>
      </c>
      <c r="R900" s="1">
        <v>44327.17291666667</v>
      </c>
      <c r="S900" s="1">
        <v>44329.57708333333</v>
      </c>
      <c r="T900" t="s">
        <v>40</v>
      </c>
      <c r="U900" t="b">
        <v>0</v>
      </c>
      <c r="V900" s="2">
        <v>44327.17291666667</v>
      </c>
      <c r="W900">
        <v>5</v>
      </c>
      <c r="X900">
        <v>2021</v>
      </c>
      <c r="Y900" t="s">
        <v>73</v>
      </c>
      <c r="Z900">
        <v>5</v>
      </c>
    </row>
    <row r="901" spans="1:26" x14ac:dyDescent="0.45">
      <c r="A901">
        <v>2943</v>
      </c>
      <c r="B901">
        <v>1115</v>
      </c>
      <c r="C901" t="s">
        <v>420</v>
      </c>
      <c r="D901" t="s">
        <v>42</v>
      </c>
      <c r="E901">
        <v>14</v>
      </c>
      <c r="H901" t="s">
        <v>35</v>
      </c>
      <c r="I901" t="s">
        <v>122</v>
      </c>
      <c r="J901" t="s">
        <v>82</v>
      </c>
      <c r="K901" t="s">
        <v>55</v>
      </c>
      <c r="L901" t="s">
        <v>56</v>
      </c>
      <c r="M901" t="s">
        <v>57</v>
      </c>
      <c r="N901" t="s">
        <v>58</v>
      </c>
      <c r="O901" t="s">
        <v>59</v>
      </c>
      <c r="P901">
        <v>4</v>
      </c>
      <c r="Q901" t="b">
        <v>1</v>
      </c>
      <c r="R901" s="1">
        <v>44614.92083333333</v>
      </c>
      <c r="S901" s="1">
        <v>44615.980555555558</v>
      </c>
      <c r="T901" t="s">
        <v>60</v>
      </c>
      <c r="U901" t="b">
        <v>0</v>
      </c>
      <c r="V901" s="2">
        <v>44614.92083333333</v>
      </c>
      <c r="W901">
        <v>2</v>
      </c>
      <c r="X901">
        <v>2022</v>
      </c>
      <c r="Y901" t="s">
        <v>35</v>
      </c>
      <c r="Z901">
        <v>4</v>
      </c>
    </row>
    <row r="902" spans="1:26" x14ac:dyDescent="0.45">
      <c r="A902">
        <v>2944</v>
      </c>
      <c r="B902">
        <v>1098</v>
      </c>
      <c r="C902" t="s">
        <v>71</v>
      </c>
      <c r="D902" t="s">
        <v>22</v>
      </c>
      <c r="E902">
        <v>22</v>
      </c>
      <c r="F902">
        <v>628</v>
      </c>
      <c r="G902" t="s">
        <v>72</v>
      </c>
      <c r="H902" t="s">
        <v>73</v>
      </c>
      <c r="I902" t="s">
        <v>74</v>
      </c>
      <c r="J902" t="s">
        <v>75</v>
      </c>
      <c r="K902" t="s">
        <v>37</v>
      </c>
      <c r="L902" t="s">
        <v>28</v>
      </c>
      <c r="M902" t="s">
        <v>47</v>
      </c>
      <c r="N902" t="s">
        <v>48</v>
      </c>
      <c r="O902" t="s">
        <v>49</v>
      </c>
      <c r="P902">
        <v>5</v>
      </c>
      <c r="Q902" t="b">
        <v>0</v>
      </c>
      <c r="R902" s="1">
        <v>44448.365277777775</v>
      </c>
      <c r="V902" s="2">
        <v>44448.365277777775</v>
      </c>
      <c r="W902">
        <v>9</v>
      </c>
      <c r="X902">
        <v>2021</v>
      </c>
      <c r="Y902" t="s">
        <v>73</v>
      </c>
      <c r="Z902">
        <v>5</v>
      </c>
    </row>
    <row r="903" spans="1:26" x14ac:dyDescent="0.45">
      <c r="A903">
        <v>2945</v>
      </c>
      <c r="B903">
        <v>1267</v>
      </c>
      <c r="C903" t="s">
        <v>189</v>
      </c>
      <c r="D903" t="s">
        <v>22</v>
      </c>
      <c r="E903">
        <v>32</v>
      </c>
      <c r="F903">
        <v>687</v>
      </c>
      <c r="G903" t="s">
        <v>190</v>
      </c>
      <c r="H903" t="s">
        <v>63</v>
      </c>
      <c r="I903" t="s">
        <v>64</v>
      </c>
      <c r="J903" t="s">
        <v>164</v>
      </c>
      <c r="K903" t="s">
        <v>46</v>
      </c>
      <c r="L903" t="s">
        <v>76</v>
      </c>
      <c r="M903" t="s">
        <v>132</v>
      </c>
      <c r="N903" t="s">
        <v>59</v>
      </c>
      <c r="O903" t="s">
        <v>98</v>
      </c>
      <c r="P903">
        <v>2</v>
      </c>
      <c r="Q903" t="b">
        <v>0</v>
      </c>
      <c r="R903" s="1">
        <v>45108.032638888886</v>
      </c>
      <c r="V903" s="2">
        <v>45108.032638888886</v>
      </c>
      <c r="W903">
        <v>7</v>
      </c>
      <c r="X903">
        <v>2023</v>
      </c>
      <c r="Y903" t="s">
        <v>63</v>
      </c>
      <c r="Z903">
        <v>2</v>
      </c>
    </row>
    <row r="904" spans="1:26" x14ac:dyDescent="0.45">
      <c r="A904">
        <v>2946</v>
      </c>
      <c r="B904">
        <v>1012</v>
      </c>
      <c r="C904" t="s">
        <v>603</v>
      </c>
      <c r="D904" t="s">
        <v>22</v>
      </c>
      <c r="E904">
        <v>17</v>
      </c>
      <c r="H904" t="s">
        <v>85</v>
      </c>
      <c r="I904" t="s">
        <v>116</v>
      </c>
      <c r="J904" t="s">
        <v>117</v>
      </c>
      <c r="K904" t="s">
        <v>27</v>
      </c>
      <c r="L904" t="s">
        <v>28</v>
      </c>
      <c r="M904" t="s">
        <v>29</v>
      </c>
      <c r="N904" t="s">
        <v>30</v>
      </c>
      <c r="O904" t="s">
        <v>31</v>
      </c>
      <c r="P904">
        <v>2</v>
      </c>
      <c r="Q904" t="b">
        <v>1</v>
      </c>
      <c r="R904" s="1">
        <v>45174.563888888886</v>
      </c>
      <c r="S904" s="1">
        <v>45180.574305555558</v>
      </c>
      <c r="T904" t="s">
        <v>109</v>
      </c>
      <c r="U904" t="b">
        <v>0</v>
      </c>
      <c r="V904" s="2">
        <v>45174.563888888886</v>
      </c>
      <c r="W904">
        <v>9</v>
      </c>
      <c r="X904">
        <v>2023</v>
      </c>
      <c r="Y904" t="s">
        <v>85</v>
      </c>
      <c r="Z904">
        <v>2</v>
      </c>
    </row>
    <row r="905" spans="1:26" x14ac:dyDescent="0.45">
      <c r="A905">
        <v>2947</v>
      </c>
      <c r="B905">
        <v>1202</v>
      </c>
      <c r="C905" t="s">
        <v>214</v>
      </c>
      <c r="D905" t="s">
        <v>22</v>
      </c>
      <c r="E905">
        <v>57</v>
      </c>
      <c r="F905">
        <v>716</v>
      </c>
      <c r="G905" t="s">
        <v>215</v>
      </c>
      <c r="H905" t="s">
        <v>63</v>
      </c>
      <c r="I905" t="s">
        <v>64</v>
      </c>
      <c r="J905" t="s">
        <v>164</v>
      </c>
      <c r="K905" t="s">
        <v>102</v>
      </c>
      <c r="L905" t="s">
        <v>96</v>
      </c>
      <c r="M905" t="s">
        <v>97</v>
      </c>
      <c r="N905" t="s">
        <v>98</v>
      </c>
      <c r="O905" t="s">
        <v>99</v>
      </c>
      <c r="P905">
        <v>3</v>
      </c>
      <c r="Q905" t="b">
        <v>0</v>
      </c>
      <c r="R905" s="1">
        <v>44939.024305555555</v>
      </c>
      <c r="V905" s="2">
        <v>44939.024305555555</v>
      </c>
      <c r="W905">
        <v>1</v>
      </c>
      <c r="X905">
        <v>2023</v>
      </c>
      <c r="Y905" t="s">
        <v>63</v>
      </c>
      <c r="Z905">
        <v>3</v>
      </c>
    </row>
    <row r="906" spans="1:26" x14ac:dyDescent="0.45">
      <c r="A906">
        <v>2948</v>
      </c>
      <c r="B906">
        <v>1200</v>
      </c>
      <c r="C906" t="s">
        <v>604</v>
      </c>
      <c r="D906" t="s">
        <v>22</v>
      </c>
      <c r="E906">
        <v>14</v>
      </c>
      <c r="H906" t="s">
        <v>63</v>
      </c>
      <c r="I906" t="s">
        <v>64</v>
      </c>
      <c r="J906" t="s">
        <v>281</v>
      </c>
      <c r="K906" t="s">
        <v>37</v>
      </c>
      <c r="L906" t="s">
        <v>28</v>
      </c>
      <c r="M906" t="s">
        <v>29</v>
      </c>
      <c r="N906" t="s">
        <v>30</v>
      </c>
      <c r="O906" t="s">
        <v>31</v>
      </c>
      <c r="P906">
        <v>1</v>
      </c>
      <c r="Q906" t="b">
        <v>0</v>
      </c>
      <c r="R906" s="1">
        <v>44421.42291666667</v>
      </c>
      <c r="V906" s="2">
        <v>44421.42291666667</v>
      </c>
      <c r="W906">
        <v>8</v>
      </c>
      <c r="X906">
        <v>2021</v>
      </c>
      <c r="Y906" t="s">
        <v>63</v>
      </c>
      <c r="Z906">
        <v>1</v>
      </c>
    </row>
    <row r="907" spans="1:26" x14ac:dyDescent="0.45">
      <c r="A907">
        <v>2949</v>
      </c>
      <c r="B907">
        <v>1034</v>
      </c>
      <c r="C907" t="s">
        <v>581</v>
      </c>
      <c r="D907" t="s">
        <v>22</v>
      </c>
      <c r="E907">
        <v>60</v>
      </c>
      <c r="F907">
        <v>742</v>
      </c>
      <c r="G907" t="s">
        <v>582</v>
      </c>
      <c r="H907" t="s">
        <v>93</v>
      </c>
      <c r="I907" t="s">
        <v>112</v>
      </c>
      <c r="J907" t="s">
        <v>113</v>
      </c>
      <c r="K907" t="s">
        <v>46</v>
      </c>
      <c r="L907" t="s">
        <v>76</v>
      </c>
      <c r="M907" t="s">
        <v>132</v>
      </c>
      <c r="N907" t="s">
        <v>59</v>
      </c>
      <c r="O907" t="s">
        <v>98</v>
      </c>
      <c r="P907">
        <v>1</v>
      </c>
      <c r="Q907" t="b">
        <v>1</v>
      </c>
      <c r="R907" s="1">
        <v>44106.662499999999</v>
      </c>
      <c r="S907" s="1">
        <v>44111.462500000001</v>
      </c>
      <c r="T907" t="s">
        <v>40</v>
      </c>
      <c r="U907" t="b">
        <v>0</v>
      </c>
      <c r="V907" s="2">
        <v>44106.662499999999</v>
      </c>
      <c r="W907">
        <v>10</v>
      </c>
      <c r="X907">
        <v>2020</v>
      </c>
      <c r="Y907" t="s">
        <v>93</v>
      </c>
      <c r="Z907">
        <v>1</v>
      </c>
    </row>
    <row r="908" spans="1:26" x14ac:dyDescent="0.45">
      <c r="A908">
        <v>2950</v>
      </c>
      <c r="B908">
        <v>1029</v>
      </c>
      <c r="C908" t="s">
        <v>155</v>
      </c>
      <c r="D908" t="s">
        <v>42</v>
      </c>
      <c r="E908">
        <v>60</v>
      </c>
      <c r="F908">
        <v>757</v>
      </c>
      <c r="G908" t="s">
        <v>156</v>
      </c>
      <c r="H908" t="s">
        <v>73</v>
      </c>
      <c r="I908" t="s">
        <v>74</v>
      </c>
      <c r="J908" t="s">
        <v>157</v>
      </c>
      <c r="K908" t="s">
        <v>27</v>
      </c>
      <c r="L908" t="s">
        <v>76</v>
      </c>
      <c r="M908" t="s">
        <v>160</v>
      </c>
      <c r="N908" t="s">
        <v>79</v>
      </c>
      <c r="O908" t="s">
        <v>161</v>
      </c>
      <c r="P908">
        <v>5</v>
      </c>
      <c r="Q908" t="b">
        <v>1</v>
      </c>
      <c r="R908" s="1">
        <v>43921.966666666667</v>
      </c>
      <c r="S908" s="1">
        <v>43927.417361111111</v>
      </c>
      <c r="T908" t="s">
        <v>60</v>
      </c>
      <c r="U908" t="b">
        <v>0</v>
      </c>
      <c r="V908" s="2">
        <v>43921.966666666667</v>
      </c>
      <c r="W908">
        <v>3</v>
      </c>
      <c r="X908">
        <v>2020</v>
      </c>
      <c r="Y908" t="s">
        <v>73</v>
      </c>
      <c r="Z908">
        <v>5</v>
      </c>
    </row>
    <row r="909" spans="1:26" x14ac:dyDescent="0.45">
      <c r="A909">
        <v>2951</v>
      </c>
      <c r="B909">
        <v>1264</v>
      </c>
      <c r="C909" t="s">
        <v>605</v>
      </c>
      <c r="D909" t="s">
        <v>22</v>
      </c>
      <c r="E909">
        <v>57</v>
      </c>
      <c r="F909">
        <v>717</v>
      </c>
      <c r="G909" t="s">
        <v>606</v>
      </c>
      <c r="H909" t="s">
        <v>172</v>
      </c>
      <c r="I909" t="s">
        <v>177</v>
      </c>
      <c r="J909" t="s">
        <v>202</v>
      </c>
      <c r="K909" t="s">
        <v>27</v>
      </c>
      <c r="L909" t="s">
        <v>96</v>
      </c>
      <c r="M909" t="s">
        <v>103</v>
      </c>
      <c r="N909" t="s">
        <v>31</v>
      </c>
      <c r="O909" t="s">
        <v>104</v>
      </c>
      <c r="P909">
        <v>1</v>
      </c>
      <c r="Q909" t="b">
        <v>1</v>
      </c>
      <c r="R909" s="1">
        <v>44995.79583333333</v>
      </c>
      <c r="S909" s="1">
        <v>44996.252083333333</v>
      </c>
      <c r="T909" t="s">
        <v>60</v>
      </c>
      <c r="U909" t="b">
        <v>0</v>
      </c>
      <c r="V909" s="2">
        <v>44995.79583333333</v>
      </c>
      <c r="W909">
        <v>3</v>
      </c>
      <c r="X909">
        <v>2023</v>
      </c>
      <c r="Y909" t="s">
        <v>172</v>
      </c>
      <c r="Z909">
        <v>1</v>
      </c>
    </row>
    <row r="910" spans="1:26" x14ac:dyDescent="0.45">
      <c r="A910">
        <v>2952</v>
      </c>
      <c r="B910">
        <v>1444</v>
      </c>
      <c r="C910" t="s">
        <v>607</v>
      </c>
      <c r="D910" t="s">
        <v>42</v>
      </c>
      <c r="E910">
        <v>52</v>
      </c>
      <c r="F910">
        <v>716</v>
      </c>
      <c r="G910" t="s">
        <v>608</v>
      </c>
      <c r="H910" t="s">
        <v>172</v>
      </c>
      <c r="I910" t="s">
        <v>177</v>
      </c>
      <c r="J910" t="s">
        <v>356</v>
      </c>
      <c r="K910" t="s">
        <v>27</v>
      </c>
      <c r="L910" t="s">
        <v>76</v>
      </c>
      <c r="M910" t="s">
        <v>77</v>
      </c>
      <c r="N910" t="s">
        <v>78</v>
      </c>
      <c r="O910" t="s">
        <v>79</v>
      </c>
      <c r="P910">
        <v>5</v>
      </c>
      <c r="Q910" t="b">
        <v>1</v>
      </c>
      <c r="R910" s="1">
        <v>44286.118750000001</v>
      </c>
      <c r="S910" s="1">
        <v>44288.701388888891</v>
      </c>
      <c r="T910" t="s">
        <v>40</v>
      </c>
      <c r="U910" t="b">
        <v>0</v>
      </c>
      <c r="V910" s="2">
        <v>44286.118750000001</v>
      </c>
      <c r="W910">
        <v>3</v>
      </c>
      <c r="X910">
        <v>2021</v>
      </c>
      <c r="Y910" t="s">
        <v>172</v>
      </c>
      <c r="Z910">
        <v>5</v>
      </c>
    </row>
    <row r="911" spans="1:26" x14ac:dyDescent="0.45">
      <c r="A911">
        <v>2953</v>
      </c>
      <c r="B911">
        <v>1157</v>
      </c>
      <c r="C911" t="s">
        <v>609</v>
      </c>
      <c r="D911" t="s">
        <v>42</v>
      </c>
      <c r="E911">
        <v>63</v>
      </c>
      <c r="F911">
        <v>751</v>
      </c>
      <c r="G911" t="s">
        <v>610</v>
      </c>
      <c r="H911" t="s">
        <v>63</v>
      </c>
      <c r="I911" t="s">
        <v>300</v>
      </c>
      <c r="J911" t="s">
        <v>301</v>
      </c>
      <c r="K911" t="s">
        <v>102</v>
      </c>
      <c r="L911" t="s">
        <v>56</v>
      </c>
      <c r="M911" t="s">
        <v>197</v>
      </c>
      <c r="N911" t="s">
        <v>198</v>
      </c>
      <c r="O911" t="s">
        <v>199</v>
      </c>
      <c r="P911">
        <v>4</v>
      </c>
      <c r="Q911" t="b">
        <v>0</v>
      </c>
      <c r="R911" s="1">
        <v>44139.791666666664</v>
      </c>
      <c r="V911" s="2">
        <v>44139.791666666664</v>
      </c>
      <c r="W911">
        <v>11</v>
      </c>
      <c r="X911">
        <v>2020</v>
      </c>
      <c r="Y911" t="s">
        <v>63</v>
      </c>
      <c r="Z911">
        <v>4</v>
      </c>
    </row>
    <row r="912" spans="1:26" x14ac:dyDescent="0.45">
      <c r="A912">
        <v>2954</v>
      </c>
      <c r="B912">
        <v>1369</v>
      </c>
      <c r="C912" t="s">
        <v>240</v>
      </c>
      <c r="D912" t="s">
        <v>42</v>
      </c>
      <c r="E912">
        <v>71</v>
      </c>
      <c r="F912">
        <v>758</v>
      </c>
      <c r="G912" t="s">
        <v>241</v>
      </c>
      <c r="H912" t="s">
        <v>93</v>
      </c>
      <c r="I912" t="s">
        <v>112</v>
      </c>
      <c r="J912" t="s">
        <v>242</v>
      </c>
      <c r="K912" t="s">
        <v>46</v>
      </c>
      <c r="L912" t="s">
        <v>67</v>
      </c>
      <c r="M912" t="s">
        <v>233</v>
      </c>
      <c r="N912" t="s">
        <v>89</v>
      </c>
      <c r="O912" t="s">
        <v>90</v>
      </c>
      <c r="P912">
        <v>1</v>
      </c>
      <c r="Q912" t="b">
        <v>1</v>
      </c>
      <c r="R912" s="1">
        <v>44815.682638888888</v>
      </c>
      <c r="S912" s="1">
        <v>44816.040277777778</v>
      </c>
      <c r="T912" t="s">
        <v>60</v>
      </c>
      <c r="U912" t="b">
        <v>0</v>
      </c>
      <c r="V912" s="2">
        <v>44815.682638888888</v>
      </c>
      <c r="W912">
        <v>9</v>
      </c>
      <c r="X912">
        <v>2022</v>
      </c>
      <c r="Y912" t="s">
        <v>93</v>
      </c>
      <c r="Z912">
        <v>1</v>
      </c>
    </row>
    <row r="913" spans="1:26" x14ac:dyDescent="0.45">
      <c r="A913">
        <v>2955</v>
      </c>
      <c r="B913">
        <v>1178</v>
      </c>
      <c r="C913" t="s">
        <v>539</v>
      </c>
      <c r="D913" t="s">
        <v>22</v>
      </c>
      <c r="E913">
        <v>16</v>
      </c>
      <c r="H913" t="s">
        <v>93</v>
      </c>
      <c r="I913" t="s">
        <v>112</v>
      </c>
      <c r="J913" t="s">
        <v>242</v>
      </c>
      <c r="K913" t="s">
        <v>66</v>
      </c>
      <c r="L913" t="s">
        <v>28</v>
      </c>
      <c r="M913" t="s">
        <v>38</v>
      </c>
      <c r="N913" t="s">
        <v>31</v>
      </c>
      <c r="O913" t="s">
        <v>39</v>
      </c>
      <c r="P913">
        <v>3</v>
      </c>
      <c r="Q913" t="b">
        <v>1</v>
      </c>
      <c r="R913" s="1">
        <v>44173.369444444441</v>
      </c>
      <c r="S913" s="1">
        <v>44175.13958333333</v>
      </c>
      <c r="T913" t="s">
        <v>32</v>
      </c>
      <c r="U913" t="b">
        <v>0</v>
      </c>
      <c r="V913" s="2">
        <v>44173.369444444441</v>
      </c>
      <c r="W913">
        <v>12</v>
      </c>
      <c r="X913">
        <v>2020</v>
      </c>
      <c r="Y913" t="s">
        <v>93</v>
      </c>
      <c r="Z913">
        <v>3</v>
      </c>
    </row>
    <row r="914" spans="1:26" x14ac:dyDescent="0.45">
      <c r="A914">
        <v>2956</v>
      </c>
      <c r="B914">
        <v>1297</v>
      </c>
      <c r="C914" t="s">
        <v>611</v>
      </c>
      <c r="D914" t="s">
        <v>42</v>
      </c>
      <c r="E914">
        <v>30</v>
      </c>
      <c r="F914">
        <v>687</v>
      </c>
      <c r="G914" t="s">
        <v>612</v>
      </c>
      <c r="H914" t="s">
        <v>129</v>
      </c>
      <c r="I914" t="s">
        <v>130</v>
      </c>
      <c r="J914" t="s">
        <v>272</v>
      </c>
      <c r="K914" t="s">
        <v>46</v>
      </c>
      <c r="L914" t="s">
        <v>28</v>
      </c>
      <c r="M914" t="s">
        <v>142</v>
      </c>
      <c r="N914" t="s">
        <v>143</v>
      </c>
      <c r="O914" t="s">
        <v>144</v>
      </c>
      <c r="P914">
        <v>1</v>
      </c>
      <c r="Q914" t="b">
        <v>1</v>
      </c>
      <c r="R914" s="1">
        <v>44453.331250000003</v>
      </c>
      <c r="S914" s="1">
        <v>44458.465277777781</v>
      </c>
      <c r="T914" t="s">
        <v>40</v>
      </c>
      <c r="U914" t="b">
        <v>0</v>
      </c>
      <c r="V914" s="2">
        <v>44453.331250000003</v>
      </c>
      <c r="W914">
        <v>9</v>
      </c>
      <c r="X914">
        <v>2021</v>
      </c>
      <c r="Y914" t="s">
        <v>129</v>
      </c>
      <c r="Z914">
        <v>1</v>
      </c>
    </row>
    <row r="915" spans="1:26" x14ac:dyDescent="0.45">
      <c r="A915">
        <v>2957</v>
      </c>
      <c r="B915">
        <v>1302</v>
      </c>
      <c r="C915" t="s">
        <v>613</v>
      </c>
      <c r="D915" t="s">
        <v>42</v>
      </c>
      <c r="E915">
        <v>24</v>
      </c>
      <c r="F915">
        <v>657</v>
      </c>
      <c r="G915" t="s">
        <v>614</v>
      </c>
      <c r="H915" t="s">
        <v>73</v>
      </c>
      <c r="I915" t="s">
        <v>74</v>
      </c>
      <c r="J915" t="s">
        <v>75</v>
      </c>
      <c r="K915" t="s">
        <v>66</v>
      </c>
      <c r="L915" t="s">
        <v>76</v>
      </c>
      <c r="M915" t="s">
        <v>77</v>
      </c>
      <c r="N915" t="s">
        <v>78</v>
      </c>
      <c r="O915" t="s">
        <v>79</v>
      </c>
      <c r="P915">
        <v>1</v>
      </c>
      <c r="Q915" t="b">
        <v>1</v>
      </c>
      <c r="R915" s="1">
        <v>43954.333333333336</v>
      </c>
      <c r="S915" s="1">
        <v>43955.355555555558</v>
      </c>
      <c r="T915" t="s">
        <v>40</v>
      </c>
      <c r="U915" t="b">
        <v>0</v>
      </c>
      <c r="V915" s="2">
        <v>43954.333333333336</v>
      </c>
      <c r="W915">
        <v>5</v>
      </c>
      <c r="X915">
        <v>2020</v>
      </c>
      <c r="Y915" t="s">
        <v>73</v>
      </c>
      <c r="Z915">
        <v>1</v>
      </c>
    </row>
    <row r="916" spans="1:26" x14ac:dyDescent="0.45">
      <c r="A916">
        <v>2958</v>
      </c>
      <c r="B916">
        <v>1231</v>
      </c>
      <c r="C916" t="s">
        <v>583</v>
      </c>
      <c r="D916" t="s">
        <v>42</v>
      </c>
      <c r="E916">
        <v>40</v>
      </c>
      <c r="F916">
        <v>690</v>
      </c>
      <c r="G916" t="s">
        <v>584</v>
      </c>
      <c r="H916" t="s">
        <v>24</v>
      </c>
      <c r="I916" t="s">
        <v>44</v>
      </c>
      <c r="J916" t="s">
        <v>225</v>
      </c>
      <c r="K916" t="s">
        <v>102</v>
      </c>
      <c r="L916" t="s">
        <v>67</v>
      </c>
      <c r="M916" t="s">
        <v>233</v>
      </c>
      <c r="N916" t="s">
        <v>89</v>
      </c>
      <c r="O916" t="s">
        <v>90</v>
      </c>
      <c r="P916">
        <v>5</v>
      </c>
      <c r="Q916" t="b">
        <v>1</v>
      </c>
      <c r="R916" s="1">
        <v>44012.826388888891</v>
      </c>
      <c r="S916" s="1">
        <v>44016.424305555556</v>
      </c>
      <c r="T916" t="s">
        <v>109</v>
      </c>
      <c r="U916" t="b">
        <v>1</v>
      </c>
      <c r="V916" s="2">
        <v>44012.826388888891</v>
      </c>
      <c r="W916">
        <v>6</v>
      </c>
      <c r="X916">
        <v>2020</v>
      </c>
      <c r="Y916" t="s">
        <v>24</v>
      </c>
      <c r="Z916">
        <v>5</v>
      </c>
    </row>
    <row r="917" spans="1:26" x14ac:dyDescent="0.45">
      <c r="A917">
        <v>2960</v>
      </c>
      <c r="B917">
        <v>1391</v>
      </c>
      <c r="C917" t="s">
        <v>428</v>
      </c>
      <c r="D917" t="s">
        <v>42</v>
      </c>
      <c r="E917">
        <v>77</v>
      </c>
      <c r="F917">
        <v>760</v>
      </c>
      <c r="G917" t="s">
        <v>429</v>
      </c>
      <c r="H917" t="s">
        <v>172</v>
      </c>
      <c r="I917" t="s">
        <v>173</v>
      </c>
      <c r="J917" t="s">
        <v>174</v>
      </c>
      <c r="K917" t="s">
        <v>37</v>
      </c>
      <c r="L917" t="s">
        <v>76</v>
      </c>
      <c r="M917" t="s">
        <v>132</v>
      </c>
      <c r="N917" t="s">
        <v>59</v>
      </c>
      <c r="O917" t="s">
        <v>98</v>
      </c>
      <c r="P917">
        <v>4</v>
      </c>
      <c r="Q917" t="b">
        <v>0</v>
      </c>
      <c r="R917" s="1">
        <v>44095.322222222225</v>
      </c>
      <c r="V917" s="2">
        <v>44095.322222222225</v>
      </c>
      <c r="W917">
        <v>9</v>
      </c>
      <c r="X917">
        <v>2020</v>
      </c>
      <c r="Y917" t="s">
        <v>172</v>
      </c>
      <c r="Z917">
        <v>4</v>
      </c>
    </row>
    <row r="918" spans="1:26" x14ac:dyDescent="0.45">
      <c r="A918">
        <v>2961</v>
      </c>
      <c r="B918">
        <v>1214</v>
      </c>
      <c r="C918" t="s">
        <v>615</v>
      </c>
      <c r="D918" t="s">
        <v>42</v>
      </c>
      <c r="E918">
        <v>25</v>
      </c>
      <c r="F918">
        <v>638</v>
      </c>
      <c r="G918" t="s">
        <v>616</v>
      </c>
      <c r="H918" t="s">
        <v>63</v>
      </c>
      <c r="I918" t="s">
        <v>300</v>
      </c>
      <c r="J918" t="s">
        <v>301</v>
      </c>
      <c r="K918" t="s">
        <v>66</v>
      </c>
      <c r="L918" t="s">
        <v>96</v>
      </c>
      <c r="M918" t="s">
        <v>118</v>
      </c>
      <c r="N918" t="s">
        <v>90</v>
      </c>
      <c r="O918" t="s">
        <v>119</v>
      </c>
      <c r="P918">
        <v>5</v>
      </c>
      <c r="Q918" t="b">
        <v>0</v>
      </c>
      <c r="R918" s="1">
        <v>44372.500694444447</v>
      </c>
      <c r="V918" s="2">
        <v>44372.500694444447</v>
      </c>
      <c r="W918">
        <v>6</v>
      </c>
      <c r="X918">
        <v>2021</v>
      </c>
      <c r="Y918" t="s">
        <v>63</v>
      </c>
      <c r="Z918">
        <v>5</v>
      </c>
    </row>
    <row r="919" spans="1:26" x14ac:dyDescent="0.45">
      <c r="A919">
        <v>2962</v>
      </c>
      <c r="B919">
        <v>1143</v>
      </c>
      <c r="C919" t="s">
        <v>617</v>
      </c>
      <c r="D919" t="s">
        <v>42</v>
      </c>
      <c r="E919">
        <v>54</v>
      </c>
      <c r="F919">
        <v>714</v>
      </c>
      <c r="G919" t="s">
        <v>618</v>
      </c>
      <c r="H919" t="s">
        <v>93</v>
      </c>
      <c r="I919" t="s">
        <v>94</v>
      </c>
      <c r="J919" t="s">
        <v>95</v>
      </c>
      <c r="K919" t="s">
        <v>66</v>
      </c>
      <c r="L919" t="s">
        <v>67</v>
      </c>
      <c r="M919" t="s">
        <v>165</v>
      </c>
      <c r="N919" t="s">
        <v>166</v>
      </c>
      <c r="O919" t="s">
        <v>167</v>
      </c>
      <c r="P919">
        <v>2</v>
      </c>
      <c r="Q919" t="b">
        <v>1</v>
      </c>
      <c r="R919" s="1">
        <v>44905.636111111111</v>
      </c>
      <c r="S919" s="1">
        <v>44906.390277777777</v>
      </c>
      <c r="T919" t="s">
        <v>32</v>
      </c>
      <c r="U919" t="b">
        <v>0</v>
      </c>
      <c r="V919" s="2">
        <v>44905.636111111111</v>
      </c>
      <c r="W919">
        <v>12</v>
      </c>
      <c r="X919">
        <v>2022</v>
      </c>
      <c r="Y919" t="s">
        <v>93</v>
      </c>
      <c r="Z919">
        <v>2</v>
      </c>
    </row>
    <row r="920" spans="1:26" x14ac:dyDescent="0.45">
      <c r="A920">
        <v>2963</v>
      </c>
      <c r="B920">
        <v>1005</v>
      </c>
      <c r="C920" t="s">
        <v>619</v>
      </c>
      <c r="D920" t="s">
        <v>42</v>
      </c>
      <c r="E920">
        <v>22</v>
      </c>
      <c r="F920">
        <v>637</v>
      </c>
      <c r="G920" t="s">
        <v>620</v>
      </c>
      <c r="H920" t="s">
        <v>129</v>
      </c>
      <c r="I920" t="s">
        <v>263</v>
      </c>
      <c r="J920" t="s">
        <v>316</v>
      </c>
      <c r="K920" t="s">
        <v>27</v>
      </c>
      <c r="L920" t="s">
        <v>56</v>
      </c>
      <c r="M920" t="s">
        <v>197</v>
      </c>
      <c r="N920" t="s">
        <v>198</v>
      </c>
      <c r="O920" t="s">
        <v>199</v>
      </c>
      <c r="P920">
        <v>1</v>
      </c>
      <c r="Q920" t="b">
        <v>0</v>
      </c>
      <c r="R920" s="1">
        <v>44784.761805555558</v>
      </c>
      <c r="V920" s="2">
        <v>44784.761805555558</v>
      </c>
      <c r="W920">
        <v>8</v>
      </c>
      <c r="X920">
        <v>2022</v>
      </c>
      <c r="Y920" t="s">
        <v>129</v>
      </c>
      <c r="Z920">
        <v>1</v>
      </c>
    </row>
    <row r="921" spans="1:26" x14ac:dyDescent="0.45">
      <c r="A921">
        <v>2964</v>
      </c>
      <c r="B921">
        <v>1082</v>
      </c>
      <c r="C921" t="s">
        <v>302</v>
      </c>
      <c r="D921" t="s">
        <v>42</v>
      </c>
      <c r="E921">
        <v>24</v>
      </c>
      <c r="F921">
        <v>600</v>
      </c>
      <c r="G921" t="s">
        <v>303</v>
      </c>
      <c r="H921" t="s">
        <v>73</v>
      </c>
      <c r="I921" t="s">
        <v>140</v>
      </c>
      <c r="J921" t="s">
        <v>228</v>
      </c>
      <c r="K921" t="s">
        <v>55</v>
      </c>
      <c r="L921" t="s">
        <v>76</v>
      </c>
      <c r="M921" t="s">
        <v>77</v>
      </c>
      <c r="N921" t="s">
        <v>78</v>
      </c>
      <c r="O921" t="s">
        <v>79</v>
      </c>
      <c r="P921">
        <v>1</v>
      </c>
      <c r="Q921" t="b">
        <v>1</v>
      </c>
      <c r="R921" s="1">
        <v>44122.540972222225</v>
      </c>
      <c r="S921" s="1">
        <v>44124.321527777778</v>
      </c>
      <c r="T921" t="s">
        <v>40</v>
      </c>
      <c r="U921" t="b">
        <v>0</v>
      </c>
      <c r="V921" s="2">
        <v>44122.540972222225</v>
      </c>
      <c r="W921">
        <v>10</v>
      </c>
      <c r="X921">
        <v>2020</v>
      </c>
      <c r="Y921" t="s">
        <v>73</v>
      </c>
      <c r="Z921">
        <v>1</v>
      </c>
    </row>
    <row r="922" spans="1:26" x14ac:dyDescent="0.45">
      <c r="A922">
        <v>2965</v>
      </c>
      <c r="B922">
        <v>1309</v>
      </c>
      <c r="C922" t="s">
        <v>621</v>
      </c>
      <c r="D922" t="s">
        <v>22</v>
      </c>
      <c r="E922">
        <v>48</v>
      </c>
      <c r="F922">
        <v>722</v>
      </c>
      <c r="G922" t="s">
        <v>622</v>
      </c>
      <c r="H922" t="s">
        <v>35</v>
      </c>
      <c r="I922" t="s">
        <v>36</v>
      </c>
      <c r="J922" t="s">
        <v>123</v>
      </c>
      <c r="K922" t="s">
        <v>37</v>
      </c>
      <c r="L922" t="s">
        <v>28</v>
      </c>
      <c r="M922" t="s">
        <v>29</v>
      </c>
      <c r="N922" t="s">
        <v>30</v>
      </c>
      <c r="O922" t="s">
        <v>31</v>
      </c>
      <c r="P922">
        <v>4</v>
      </c>
      <c r="Q922" t="b">
        <v>1</v>
      </c>
      <c r="R922" s="1">
        <v>45269.411805555559</v>
      </c>
      <c r="S922" s="1">
        <v>45274.757638888892</v>
      </c>
      <c r="T922" t="s">
        <v>32</v>
      </c>
      <c r="U922" t="b">
        <v>1</v>
      </c>
      <c r="V922" s="2">
        <v>45269.411805555559</v>
      </c>
      <c r="W922">
        <v>12</v>
      </c>
      <c r="X922">
        <v>2023</v>
      </c>
      <c r="Y922" t="s">
        <v>35</v>
      </c>
      <c r="Z922">
        <v>4</v>
      </c>
    </row>
    <row r="923" spans="1:26" x14ac:dyDescent="0.45">
      <c r="A923">
        <v>2966</v>
      </c>
      <c r="B923">
        <v>1470</v>
      </c>
      <c r="C923" t="s">
        <v>623</v>
      </c>
      <c r="D923" t="s">
        <v>22</v>
      </c>
      <c r="E923">
        <v>50</v>
      </c>
      <c r="F923">
        <v>709</v>
      </c>
      <c r="G923" t="s">
        <v>624</v>
      </c>
      <c r="H923" t="s">
        <v>172</v>
      </c>
      <c r="I923" t="s">
        <v>177</v>
      </c>
      <c r="J923" t="s">
        <v>356</v>
      </c>
      <c r="K923" t="s">
        <v>27</v>
      </c>
      <c r="L923" t="s">
        <v>67</v>
      </c>
      <c r="M923" t="s">
        <v>68</v>
      </c>
      <c r="N923" t="s">
        <v>69</v>
      </c>
      <c r="O923" t="s">
        <v>70</v>
      </c>
      <c r="P923">
        <v>3</v>
      </c>
      <c r="Q923" t="b">
        <v>1</v>
      </c>
      <c r="R923" s="1">
        <v>44442.843055555553</v>
      </c>
      <c r="S923" s="1">
        <v>44446.953472222223</v>
      </c>
      <c r="T923" t="s">
        <v>60</v>
      </c>
      <c r="U923" t="b">
        <v>0</v>
      </c>
      <c r="V923" s="2">
        <v>44442.843055555553</v>
      </c>
      <c r="W923">
        <v>9</v>
      </c>
      <c r="X923">
        <v>2021</v>
      </c>
      <c r="Y923" t="s">
        <v>172</v>
      </c>
      <c r="Z923">
        <v>3</v>
      </c>
    </row>
    <row r="924" spans="1:26" x14ac:dyDescent="0.45">
      <c r="A924">
        <v>2967</v>
      </c>
      <c r="B924">
        <v>1126</v>
      </c>
      <c r="C924" t="s">
        <v>625</v>
      </c>
      <c r="D924" t="s">
        <v>22</v>
      </c>
      <c r="E924">
        <v>29</v>
      </c>
      <c r="F924">
        <v>684</v>
      </c>
      <c r="G924" t="s">
        <v>626</v>
      </c>
      <c r="H924" t="s">
        <v>63</v>
      </c>
      <c r="I924" t="s">
        <v>300</v>
      </c>
      <c r="J924" t="s">
        <v>514</v>
      </c>
      <c r="K924" t="s">
        <v>37</v>
      </c>
      <c r="L924" t="s">
        <v>28</v>
      </c>
      <c r="M924" t="s">
        <v>142</v>
      </c>
      <c r="N924" t="s">
        <v>143</v>
      </c>
      <c r="O924" t="s">
        <v>144</v>
      </c>
      <c r="P924">
        <v>4</v>
      </c>
      <c r="Q924" t="b">
        <v>1</v>
      </c>
      <c r="R924" s="1">
        <v>43997.554166666669</v>
      </c>
      <c r="S924" s="1">
        <v>44003.95</v>
      </c>
      <c r="T924" t="s">
        <v>40</v>
      </c>
      <c r="U924" t="b">
        <v>0</v>
      </c>
      <c r="V924" s="2">
        <v>43997.554166666669</v>
      </c>
      <c r="W924">
        <v>6</v>
      </c>
      <c r="X924">
        <v>2020</v>
      </c>
      <c r="Y924" t="s">
        <v>63</v>
      </c>
      <c r="Z924">
        <v>4</v>
      </c>
    </row>
    <row r="925" spans="1:26" x14ac:dyDescent="0.45">
      <c r="A925">
        <v>2968</v>
      </c>
      <c r="B925">
        <v>1468</v>
      </c>
      <c r="C925" t="s">
        <v>193</v>
      </c>
      <c r="D925" t="s">
        <v>22</v>
      </c>
      <c r="E925">
        <v>62</v>
      </c>
      <c r="F925">
        <v>756</v>
      </c>
      <c r="G925" t="s">
        <v>194</v>
      </c>
      <c r="H925" t="s">
        <v>73</v>
      </c>
      <c r="I925" t="s">
        <v>74</v>
      </c>
      <c r="J925" t="s">
        <v>157</v>
      </c>
      <c r="K925" t="s">
        <v>37</v>
      </c>
      <c r="L925" t="s">
        <v>56</v>
      </c>
      <c r="M925" t="s">
        <v>57</v>
      </c>
      <c r="N925" t="s">
        <v>58</v>
      </c>
      <c r="O925" t="s">
        <v>59</v>
      </c>
      <c r="P925">
        <v>1</v>
      </c>
      <c r="Q925" t="b">
        <v>1</v>
      </c>
      <c r="R925" s="1">
        <v>44652.524305555555</v>
      </c>
      <c r="S925" s="1">
        <v>44654.07916666667</v>
      </c>
      <c r="T925" t="s">
        <v>109</v>
      </c>
      <c r="U925" t="b">
        <v>0</v>
      </c>
      <c r="V925" s="2">
        <v>44652.524305555555</v>
      </c>
      <c r="W925">
        <v>4</v>
      </c>
      <c r="X925">
        <v>2022</v>
      </c>
      <c r="Y925" t="s">
        <v>73</v>
      </c>
      <c r="Z925">
        <v>1</v>
      </c>
    </row>
    <row r="926" spans="1:26" x14ac:dyDescent="0.45">
      <c r="A926">
        <v>2969</v>
      </c>
      <c r="B926">
        <v>1035</v>
      </c>
      <c r="C926" t="s">
        <v>488</v>
      </c>
      <c r="D926" t="s">
        <v>42</v>
      </c>
      <c r="E926">
        <v>66</v>
      </c>
      <c r="F926">
        <v>758</v>
      </c>
      <c r="G926" t="s">
        <v>489</v>
      </c>
      <c r="H926" t="s">
        <v>172</v>
      </c>
      <c r="I926" t="s">
        <v>173</v>
      </c>
      <c r="J926" t="s">
        <v>174</v>
      </c>
      <c r="K926" t="s">
        <v>66</v>
      </c>
      <c r="L926" t="s">
        <v>67</v>
      </c>
      <c r="M926" t="s">
        <v>165</v>
      </c>
      <c r="N926" t="s">
        <v>166</v>
      </c>
      <c r="O926" t="s">
        <v>167</v>
      </c>
      <c r="P926">
        <v>5</v>
      </c>
      <c r="Q926" t="b">
        <v>1</v>
      </c>
      <c r="R926" s="1">
        <v>45169.690972222219</v>
      </c>
      <c r="S926" s="1">
        <v>45174.908333333333</v>
      </c>
      <c r="T926" t="s">
        <v>32</v>
      </c>
      <c r="U926" t="b">
        <v>0</v>
      </c>
      <c r="V926" s="2">
        <v>45169.690972222219</v>
      </c>
      <c r="W926">
        <v>8</v>
      </c>
      <c r="X926">
        <v>2023</v>
      </c>
      <c r="Y926" t="s">
        <v>172</v>
      </c>
      <c r="Z926">
        <v>5</v>
      </c>
    </row>
    <row r="927" spans="1:26" x14ac:dyDescent="0.45">
      <c r="A927">
        <v>2970</v>
      </c>
      <c r="B927">
        <v>1398</v>
      </c>
      <c r="C927" t="s">
        <v>627</v>
      </c>
      <c r="D927" t="s">
        <v>22</v>
      </c>
      <c r="E927">
        <v>29</v>
      </c>
      <c r="F927">
        <v>689</v>
      </c>
      <c r="G927" t="s">
        <v>628</v>
      </c>
      <c r="H927" t="s">
        <v>35</v>
      </c>
      <c r="I927" t="s">
        <v>122</v>
      </c>
      <c r="J927" t="s">
        <v>135</v>
      </c>
      <c r="K927" t="s">
        <v>66</v>
      </c>
      <c r="L927" t="s">
        <v>28</v>
      </c>
      <c r="M927" t="s">
        <v>142</v>
      </c>
      <c r="N927" t="s">
        <v>143</v>
      </c>
      <c r="O927" t="s">
        <v>144</v>
      </c>
      <c r="P927">
        <v>3</v>
      </c>
      <c r="Q927" t="b">
        <v>1</v>
      </c>
      <c r="R927" s="1">
        <v>45130.415277777778</v>
      </c>
      <c r="S927" s="1">
        <v>45136.352083333331</v>
      </c>
      <c r="T927" t="s">
        <v>60</v>
      </c>
      <c r="U927" t="b">
        <v>0</v>
      </c>
      <c r="V927" s="2">
        <v>45130.415277777778</v>
      </c>
      <c r="W927">
        <v>7</v>
      </c>
      <c r="X927">
        <v>2023</v>
      </c>
      <c r="Y927" t="s">
        <v>35</v>
      </c>
      <c r="Z927">
        <v>3</v>
      </c>
    </row>
    <row r="928" spans="1:26" x14ac:dyDescent="0.45">
      <c r="A928">
        <v>2971</v>
      </c>
      <c r="B928">
        <v>1198</v>
      </c>
      <c r="C928" t="s">
        <v>629</v>
      </c>
      <c r="D928" t="s">
        <v>42</v>
      </c>
      <c r="E928">
        <v>61</v>
      </c>
      <c r="F928">
        <v>754</v>
      </c>
      <c r="G928" t="s">
        <v>630</v>
      </c>
      <c r="H928" t="s">
        <v>93</v>
      </c>
      <c r="I928" t="s">
        <v>112</v>
      </c>
      <c r="J928" t="s">
        <v>242</v>
      </c>
      <c r="K928" t="s">
        <v>27</v>
      </c>
      <c r="L928" t="s">
        <v>76</v>
      </c>
      <c r="M928" t="s">
        <v>132</v>
      </c>
      <c r="N928" t="s">
        <v>59</v>
      </c>
      <c r="O928" t="s">
        <v>98</v>
      </c>
      <c r="P928">
        <v>5</v>
      </c>
      <c r="Q928" t="b">
        <v>1</v>
      </c>
      <c r="R928" s="1">
        <v>43860.375694444447</v>
      </c>
      <c r="S928" s="1">
        <v>43867.044444444444</v>
      </c>
      <c r="T928" t="s">
        <v>40</v>
      </c>
      <c r="U928" t="b">
        <v>0</v>
      </c>
      <c r="V928" s="2">
        <v>43860.375694444447</v>
      </c>
      <c r="W928">
        <v>1</v>
      </c>
      <c r="X928">
        <v>2020</v>
      </c>
      <c r="Y928" t="s">
        <v>93</v>
      </c>
      <c r="Z928">
        <v>5</v>
      </c>
    </row>
    <row r="929" spans="1:26" x14ac:dyDescent="0.45">
      <c r="A929">
        <v>2972</v>
      </c>
      <c r="B929">
        <v>1147</v>
      </c>
      <c r="C929" t="s">
        <v>631</v>
      </c>
      <c r="D929" t="s">
        <v>42</v>
      </c>
      <c r="E929">
        <v>61</v>
      </c>
      <c r="F929">
        <v>749</v>
      </c>
      <c r="G929" t="s">
        <v>632</v>
      </c>
      <c r="H929" t="s">
        <v>93</v>
      </c>
      <c r="I929" t="s">
        <v>94</v>
      </c>
      <c r="J929" t="s">
        <v>107</v>
      </c>
      <c r="K929" t="s">
        <v>66</v>
      </c>
      <c r="L929" t="s">
        <v>56</v>
      </c>
      <c r="M929" t="s">
        <v>88</v>
      </c>
      <c r="N929" t="s">
        <v>89</v>
      </c>
      <c r="O929" t="s">
        <v>90</v>
      </c>
      <c r="P929">
        <v>3</v>
      </c>
      <c r="Q929" t="b">
        <v>1</v>
      </c>
      <c r="R929" s="1">
        <v>44249.982638888891</v>
      </c>
      <c r="S929" s="1">
        <v>44255.178472222222</v>
      </c>
      <c r="T929" t="s">
        <v>109</v>
      </c>
      <c r="U929" t="b">
        <v>0</v>
      </c>
      <c r="V929" s="2">
        <v>44249.982638888891</v>
      </c>
      <c r="W929">
        <v>2</v>
      </c>
      <c r="X929">
        <v>2021</v>
      </c>
      <c r="Y929" t="s">
        <v>93</v>
      </c>
      <c r="Z929">
        <v>3</v>
      </c>
    </row>
    <row r="930" spans="1:26" x14ac:dyDescent="0.45">
      <c r="A930">
        <v>2973</v>
      </c>
      <c r="B930">
        <v>1229</v>
      </c>
      <c r="C930" t="s">
        <v>338</v>
      </c>
      <c r="D930" t="s">
        <v>42</v>
      </c>
      <c r="E930">
        <v>77</v>
      </c>
      <c r="F930">
        <v>748</v>
      </c>
      <c r="G930" t="s">
        <v>339</v>
      </c>
      <c r="H930" t="s">
        <v>24</v>
      </c>
      <c r="I930" t="s">
        <v>44</v>
      </c>
      <c r="J930" t="s">
        <v>225</v>
      </c>
      <c r="K930" t="s">
        <v>55</v>
      </c>
      <c r="L930" t="s">
        <v>56</v>
      </c>
      <c r="M930" t="s">
        <v>88</v>
      </c>
      <c r="N930" t="s">
        <v>89</v>
      </c>
      <c r="O930" t="s">
        <v>90</v>
      </c>
      <c r="P930">
        <v>1</v>
      </c>
      <c r="Q930" t="b">
        <v>1</v>
      </c>
      <c r="R930" s="1">
        <v>44133.604861111111</v>
      </c>
      <c r="S930" s="1">
        <v>44140.125694444447</v>
      </c>
      <c r="T930" t="s">
        <v>40</v>
      </c>
      <c r="U930" t="b">
        <v>0</v>
      </c>
      <c r="V930" s="2">
        <v>44133.604861111111</v>
      </c>
      <c r="W930">
        <v>10</v>
      </c>
      <c r="X930">
        <v>2020</v>
      </c>
      <c r="Y930" t="s">
        <v>24</v>
      </c>
      <c r="Z930">
        <v>1</v>
      </c>
    </row>
    <row r="931" spans="1:26" x14ac:dyDescent="0.45">
      <c r="A931">
        <v>2974</v>
      </c>
      <c r="B931">
        <v>1449</v>
      </c>
      <c r="C931" t="s">
        <v>633</v>
      </c>
      <c r="D931" t="s">
        <v>42</v>
      </c>
      <c r="E931">
        <v>43</v>
      </c>
      <c r="F931">
        <v>724</v>
      </c>
      <c r="G931" t="s">
        <v>634</v>
      </c>
      <c r="H931" t="s">
        <v>129</v>
      </c>
      <c r="I931" t="s">
        <v>263</v>
      </c>
      <c r="J931" t="s">
        <v>278</v>
      </c>
      <c r="K931" t="s">
        <v>27</v>
      </c>
      <c r="L931" t="s">
        <v>56</v>
      </c>
      <c r="M931" t="s">
        <v>57</v>
      </c>
      <c r="N931" t="s">
        <v>58</v>
      </c>
      <c r="O931" t="s">
        <v>59</v>
      </c>
      <c r="P931">
        <v>5</v>
      </c>
      <c r="Q931" t="b">
        <v>1</v>
      </c>
      <c r="R931" s="1">
        <v>44579.438194444447</v>
      </c>
      <c r="S931" s="1">
        <v>44582.521527777775</v>
      </c>
      <c r="T931" t="s">
        <v>32</v>
      </c>
      <c r="U931" t="b">
        <v>0</v>
      </c>
      <c r="V931" s="2">
        <v>44579.438194444447</v>
      </c>
      <c r="W931">
        <v>1</v>
      </c>
      <c r="X931">
        <v>2022</v>
      </c>
      <c r="Y931" t="s">
        <v>129</v>
      </c>
      <c r="Z931">
        <v>5</v>
      </c>
    </row>
    <row r="932" spans="1:26" x14ac:dyDescent="0.45">
      <c r="A932">
        <v>2975</v>
      </c>
      <c r="B932">
        <v>1165</v>
      </c>
      <c r="C932" t="s">
        <v>635</v>
      </c>
      <c r="D932" t="s">
        <v>42</v>
      </c>
      <c r="E932">
        <v>78</v>
      </c>
      <c r="F932">
        <v>753</v>
      </c>
      <c r="G932" t="s">
        <v>636</v>
      </c>
      <c r="H932" t="s">
        <v>73</v>
      </c>
      <c r="I932" t="s">
        <v>74</v>
      </c>
      <c r="J932" t="s">
        <v>245</v>
      </c>
      <c r="K932" t="s">
        <v>27</v>
      </c>
      <c r="L932" t="s">
        <v>96</v>
      </c>
      <c r="M932" t="s">
        <v>118</v>
      </c>
      <c r="N932" t="s">
        <v>90</v>
      </c>
      <c r="O932" t="s">
        <v>119</v>
      </c>
      <c r="P932">
        <v>2</v>
      </c>
      <c r="Q932" t="b">
        <v>1</v>
      </c>
      <c r="R932" s="1">
        <v>43867.689583333333</v>
      </c>
      <c r="S932" s="1">
        <v>43874.376388888886</v>
      </c>
      <c r="T932" t="s">
        <v>109</v>
      </c>
      <c r="U932" t="b">
        <v>0</v>
      </c>
      <c r="V932" s="2">
        <v>43867.689583333333</v>
      </c>
      <c r="W932">
        <v>2</v>
      </c>
      <c r="X932">
        <v>2020</v>
      </c>
      <c r="Y932" t="s">
        <v>73</v>
      </c>
      <c r="Z932">
        <v>2</v>
      </c>
    </row>
    <row r="933" spans="1:26" x14ac:dyDescent="0.45">
      <c r="A933">
        <v>2976</v>
      </c>
      <c r="B933">
        <v>1353</v>
      </c>
      <c r="C933" t="s">
        <v>637</v>
      </c>
      <c r="D933" t="s">
        <v>22</v>
      </c>
      <c r="E933">
        <v>55</v>
      </c>
      <c r="F933">
        <v>711</v>
      </c>
      <c r="G933" t="s">
        <v>638</v>
      </c>
      <c r="H933" t="s">
        <v>52</v>
      </c>
      <c r="I933" t="s">
        <v>53</v>
      </c>
      <c r="J933" t="s">
        <v>196</v>
      </c>
      <c r="K933" t="s">
        <v>102</v>
      </c>
      <c r="L933" t="s">
        <v>56</v>
      </c>
      <c r="M933" t="s">
        <v>57</v>
      </c>
      <c r="N933" t="s">
        <v>58</v>
      </c>
      <c r="O933" t="s">
        <v>59</v>
      </c>
      <c r="P933">
        <v>1</v>
      </c>
      <c r="Q933" t="b">
        <v>1</v>
      </c>
      <c r="R933" s="1">
        <v>44877.338888888888</v>
      </c>
      <c r="S933" s="1">
        <v>44883.17083333333</v>
      </c>
      <c r="T933" t="s">
        <v>40</v>
      </c>
      <c r="U933" t="b">
        <v>0</v>
      </c>
      <c r="V933" s="2">
        <v>44877.338888888888</v>
      </c>
      <c r="W933">
        <v>11</v>
      </c>
      <c r="X933">
        <v>2022</v>
      </c>
      <c r="Y933" t="s">
        <v>52</v>
      </c>
      <c r="Z933">
        <v>1</v>
      </c>
    </row>
    <row r="934" spans="1:26" x14ac:dyDescent="0.45">
      <c r="A934">
        <v>2977</v>
      </c>
      <c r="B934">
        <v>1055</v>
      </c>
      <c r="C934" t="s">
        <v>639</v>
      </c>
      <c r="D934" t="s">
        <v>42</v>
      </c>
      <c r="E934">
        <v>18</v>
      </c>
      <c r="F934">
        <v>617</v>
      </c>
      <c r="G934" t="s">
        <v>640</v>
      </c>
      <c r="H934" t="s">
        <v>52</v>
      </c>
      <c r="I934" t="s">
        <v>53</v>
      </c>
      <c r="J934" t="s">
        <v>54</v>
      </c>
      <c r="K934" t="s">
        <v>37</v>
      </c>
      <c r="L934" t="s">
        <v>96</v>
      </c>
      <c r="M934" t="s">
        <v>118</v>
      </c>
      <c r="N934" t="s">
        <v>90</v>
      </c>
      <c r="O934" t="s">
        <v>119</v>
      </c>
      <c r="P934">
        <v>3</v>
      </c>
      <c r="Q934" t="b">
        <v>1</v>
      </c>
      <c r="R934" s="1">
        <v>44251.868750000001</v>
      </c>
      <c r="S934" s="1">
        <v>44257.496527777781</v>
      </c>
      <c r="T934" t="s">
        <v>60</v>
      </c>
      <c r="U934" t="b">
        <v>0</v>
      </c>
      <c r="V934" s="2">
        <v>44251.868750000001</v>
      </c>
      <c r="W934">
        <v>2</v>
      </c>
      <c r="X934">
        <v>2021</v>
      </c>
      <c r="Y934" t="s">
        <v>52</v>
      </c>
      <c r="Z934">
        <v>3</v>
      </c>
    </row>
    <row r="935" spans="1:26" x14ac:dyDescent="0.45">
      <c r="A935">
        <v>2978</v>
      </c>
      <c r="B935">
        <v>1246</v>
      </c>
      <c r="C935" t="s">
        <v>641</v>
      </c>
      <c r="D935" t="s">
        <v>22</v>
      </c>
      <c r="E935">
        <v>59</v>
      </c>
      <c r="F935">
        <v>745</v>
      </c>
      <c r="G935" t="s">
        <v>383</v>
      </c>
      <c r="H935" t="s">
        <v>172</v>
      </c>
      <c r="I935" t="s">
        <v>173</v>
      </c>
      <c r="J935" t="s">
        <v>399</v>
      </c>
      <c r="K935" t="s">
        <v>102</v>
      </c>
      <c r="L935" t="s">
        <v>28</v>
      </c>
      <c r="M935" t="s">
        <v>38</v>
      </c>
      <c r="N935" t="s">
        <v>31</v>
      </c>
      <c r="O935" t="s">
        <v>39</v>
      </c>
      <c r="P935">
        <v>3</v>
      </c>
      <c r="Q935" t="b">
        <v>0</v>
      </c>
      <c r="R935" s="1">
        <v>45042.211111111108</v>
      </c>
      <c r="V935" s="2">
        <v>45042.211111111108</v>
      </c>
      <c r="W935">
        <v>4</v>
      </c>
      <c r="X935">
        <v>2023</v>
      </c>
      <c r="Y935" t="s">
        <v>172</v>
      </c>
      <c r="Z935">
        <v>3</v>
      </c>
    </row>
    <row r="936" spans="1:26" x14ac:dyDescent="0.45">
      <c r="A936">
        <v>2979</v>
      </c>
      <c r="B936">
        <v>1393</v>
      </c>
      <c r="C936" t="s">
        <v>642</v>
      </c>
      <c r="D936" t="s">
        <v>22</v>
      </c>
      <c r="E936">
        <v>19</v>
      </c>
      <c r="F936">
        <v>678</v>
      </c>
      <c r="G936" t="s">
        <v>643</v>
      </c>
      <c r="H936" t="s">
        <v>172</v>
      </c>
      <c r="I936" t="s">
        <v>173</v>
      </c>
      <c r="J936" t="s">
        <v>399</v>
      </c>
      <c r="K936" t="s">
        <v>27</v>
      </c>
      <c r="L936" t="s">
        <v>28</v>
      </c>
      <c r="M936" t="s">
        <v>29</v>
      </c>
      <c r="N936" t="s">
        <v>30</v>
      </c>
      <c r="O936" t="s">
        <v>31</v>
      </c>
      <c r="P936">
        <v>3</v>
      </c>
      <c r="Q936" t="b">
        <v>1</v>
      </c>
      <c r="R936" s="1">
        <v>43894.615277777775</v>
      </c>
      <c r="S936" s="1">
        <v>43897.208333333336</v>
      </c>
      <c r="T936" t="s">
        <v>109</v>
      </c>
      <c r="U936" t="b">
        <v>0</v>
      </c>
      <c r="V936" s="2">
        <v>43894.615277777775</v>
      </c>
      <c r="W936">
        <v>3</v>
      </c>
      <c r="X936">
        <v>2020</v>
      </c>
      <c r="Y936" t="s">
        <v>172</v>
      </c>
      <c r="Z936">
        <v>3</v>
      </c>
    </row>
    <row r="937" spans="1:26" x14ac:dyDescent="0.45">
      <c r="A937">
        <v>2980</v>
      </c>
      <c r="B937">
        <v>1191</v>
      </c>
      <c r="C937" t="s">
        <v>644</v>
      </c>
      <c r="D937" t="s">
        <v>22</v>
      </c>
      <c r="E937">
        <v>32</v>
      </c>
      <c r="F937">
        <v>683</v>
      </c>
      <c r="G937" t="s">
        <v>645</v>
      </c>
      <c r="H937" t="s">
        <v>93</v>
      </c>
      <c r="I937" t="s">
        <v>94</v>
      </c>
      <c r="J937" t="s">
        <v>364</v>
      </c>
      <c r="K937" t="s">
        <v>55</v>
      </c>
      <c r="L937" t="s">
        <v>56</v>
      </c>
      <c r="M937" t="s">
        <v>88</v>
      </c>
      <c r="N937" t="s">
        <v>89</v>
      </c>
      <c r="O937" t="s">
        <v>90</v>
      </c>
      <c r="P937">
        <v>4</v>
      </c>
      <c r="Q937" t="b">
        <v>1</v>
      </c>
      <c r="R937" s="1">
        <v>44899.018055555556</v>
      </c>
      <c r="S937" s="1">
        <v>44901.820833333331</v>
      </c>
      <c r="T937" t="s">
        <v>40</v>
      </c>
      <c r="U937" t="b">
        <v>0</v>
      </c>
      <c r="V937" s="2">
        <v>44899.018055555556</v>
      </c>
      <c r="W937">
        <v>12</v>
      </c>
      <c r="X937">
        <v>2022</v>
      </c>
      <c r="Y937" t="s">
        <v>93</v>
      </c>
      <c r="Z937">
        <v>4</v>
      </c>
    </row>
    <row r="938" spans="1:26" x14ac:dyDescent="0.45">
      <c r="A938">
        <v>2981</v>
      </c>
      <c r="B938">
        <v>1324</v>
      </c>
      <c r="C938" t="s">
        <v>21</v>
      </c>
      <c r="D938" t="s">
        <v>22</v>
      </c>
      <c r="E938">
        <v>29</v>
      </c>
      <c r="F938">
        <v>698</v>
      </c>
      <c r="G938" t="s">
        <v>23</v>
      </c>
      <c r="H938" t="s">
        <v>24</v>
      </c>
      <c r="I938" t="s">
        <v>25</v>
      </c>
      <c r="J938" t="s">
        <v>26</v>
      </c>
      <c r="K938" t="s">
        <v>55</v>
      </c>
      <c r="L938" t="s">
        <v>28</v>
      </c>
      <c r="M938" t="s">
        <v>38</v>
      </c>
      <c r="N938" t="s">
        <v>31</v>
      </c>
      <c r="O938" t="s">
        <v>39</v>
      </c>
      <c r="P938">
        <v>4</v>
      </c>
      <c r="Q938" t="b">
        <v>1</v>
      </c>
      <c r="R938" s="1">
        <v>44500.809027777781</v>
      </c>
      <c r="S938" s="1">
        <v>44501.329861111109</v>
      </c>
      <c r="T938" t="s">
        <v>40</v>
      </c>
      <c r="U938" t="b">
        <v>0</v>
      </c>
      <c r="V938" s="2">
        <v>44500.809027777781</v>
      </c>
      <c r="W938">
        <v>10</v>
      </c>
      <c r="X938">
        <v>2021</v>
      </c>
      <c r="Y938" t="s">
        <v>24</v>
      </c>
      <c r="Z938">
        <v>4</v>
      </c>
    </row>
    <row r="939" spans="1:26" x14ac:dyDescent="0.45">
      <c r="A939">
        <v>2982</v>
      </c>
      <c r="B939">
        <v>1292</v>
      </c>
      <c r="C939" t="s">
        <v>646</v>
      </c>
      <c r="D939" t="s">
        <v>22</v>
      </c>
      <c r="E939">
        <v>52</v>
      </c>
      <c r="F939">
        <v>727</v>
      </c>
      <c r="G939" t="s">
        <v>647</v>
      </c>
      <c r="H939" t="s">
        <v>73</v>
      </c>
      <c r="I939" t="s">
        <v>140</v>
      </c>
      <c r="J939" t="s">
        <v>141</v>
      </c>
      <c r="K939" t="s">
        <v>46</v>
      </c>
      <c r="L939" t="s">
        <v>96</v>
      </c>
      <c r="M939" t="s">
        <v>97</v>
      </c>
      <c r="N939" t="s">
        <v>98</v>
      </c>
      <c r="O939" t="s">
        <v>99</v>
      </c>
      <c r="P939">
        <v>4</v>
      </c>
      <c r="Q939" t="b">
        <v>1</v>
      </c>
      <c r="R939" s="1">
        <v>44959.537499999999</v>
      </c>
      <c r="S939" s="1">
        <v>44964.198611111111</v>
      </c>
      <c r="T939" t="s">
        <v>60</v>
      </c>
      <c r="U939" t="b">
        <v>0</v>
      </c>
      <c r="V939" s="2">
        <v>44959.537499999999</v>
      </c>
      <c r="W939">
        <v>2</v>
      </c>
      <c r="X939">
        <v>2023</v>
      </c>
      <c r="Y939" t="s">
        <v>73</v>
      </c>
      <c r="Z939">
        <v>4</v>
      </c>
    </row>
    <row r="940" spans="1:26" x14ac:dyDescent="0.45">
      <c r="A940">
        <v>2983</v>
      </c>
      <c r="B940">
        <v>1430</v>
      </c>
      <c r="C940" t="s">
        <v>587</v>
      </c>
      <c r="D940" t="s">
        <v>22</v>
      </c>
      <c r="E940">
        <v>37</v>
      </c>
      <c r="F940">
        <v>682</v>
      </c>
      <c r="G940" t="s">
        <v>588</v>
      </c>
      <c r="H940" t="s">
        <v>129</v>
      </c>
      <c r="I940" t="s">
        <v>263</v>
      </c>
      <c r="J940" t="s">
        <v>278</v>
      </c>
      <c r="K940" t="s">
        <v>55</v>
      </c>
      <c r="L940" t="s">
        <v>67</v>
      </c>
      <c r="M940" t="s">
        <v>233</v>
      </c>
      <c r="N940" t="s">
        <v>89</v>
      </c>
      <c r="O940" t="s">
        <v>90</v>
      </c>
      <c r="P940">
        <v>2</v>
      </c>
      <c r="Q940" t="b">
        <v>1</v>
      </c>
      <c r="R940" s="1">
        <v>44848.890972222223</v>
      </c>
      <c r="S940" s="1">
        <v>44850.59097222222</v>
      </c>
      <c r="T940" t="s">
        <v>40</v>
      </c>
      <c r="U940" t="b">
        <v>0</v>
      </c>
      <c r="V940" s="2">
        <v>44848.890972222223</v>
      </c>
      <c r="W940">
        <v>10</v>
      </c>
      <c r="X940">
        <v>2022</v>
      </c>
      <c r="Y940" t="s">
        <v>129</v>
      </c>
      <c r="Z940">
        <v>2</v>
      </c>
    </row>
    <row r="941" spans="1:26" x14ac:dyDescent="0.45">
      <c r="A941">
        <v>2984</v>
      </c>
      <c r="B941">
        <v>1109</v>
      </c>
      <c r="C941" t="s">
        <v>648</v>
      </c>
      <c r="D941" t="s">
        <v>42</v>
      </c>
      <c r="E941">
        <v>64</v>
      </c>
      <c r="F941">
        <v>750</v>
      </c>
      <c r="G941" t="s">
        <v>649</v>
      </c>
      <c r="H941" t="s">
        <v>85</v>
      </c>
      <c r="I941" t="s">
        <v>86</v>
      </c>
      <c r="J941" t="s">
        <v>650</v>
      </c>
      <c r="K941" t="s">
        <v>102</v>
      </c>
      <c r="L941" t="s">
        <v>28</v>
      </c>
      <c r="M941" t="s">
        <v>47</v>
      </c>
      <c r="N941" t="s">
        <v>48</v>
      </c>
      <c r="O941" t="s">
        <v>49</v>
      </c>
      <c r="P941">
        <v>2</v>
      </c>
      <c r="Q941" t="b">
        <v>1</v>
      </c>
      <c r="R941" s="1">
        <v>45254.636111111111</v>
      </c>
      <c r="S941" s="1">
        <v>45254.794444444444</v>
      </c>
      <c r="T941" t="s">
        <v>32</v>
      </c>
      <c r="U941" t="b">
        <v>0</v>
      </c>
      <c r="V941" s="2">
        <v>45254.636111111111</v>
      </c>
      <c r="W941">
        <v>11</v>
      </c>
      <c r="X941">
        <v>2023</v>
      </c>
      <c r="Y941" t="s">
        <v>85</v>
      </c>
      <c r="Z941">
        <v>2</v>
      </c>
    </row>
    <row r="942" spans="1:26" x14ac:dyDescent="0.45">
      <c r="A942">
        <v>2985</v>
      </c>
      <c r="B942">
        <v>1486</v>
      </c>
      <c r="C942" t="s">
        <v>236</v>
      </c>
      <c r="D942" t="s">
        <v>42</v>
      </c>
      <c r="E942">
        <v>29</v>
      </c>
      <c r="F942">
        <v>695</v>
      </c>
      <c r="G942" t="s">
        <v>237</v>
      </c>
      <c r="H942" t="s">
        <v>73</v>
      </c>
      <c r="I942" t="s">
        <v>74</v>
      </c>
      <c r="J942" t="s">
        <v>157</v>
      </c>
      <c r="K942" t="s">
        <v>37</v>
      </c>
      <c r="L942" t="s">
        <v>96</v>
      </c>
      <c r="M942" t="s">
        <v>118</v>
      </c>
      <c r="N942" t="s">
        <v>90</v>
      </c>
      <c r="O942" t="s">
        <v>119</v>
      </c>
      <c r="P942">
        <v>4</v>
      </c>
      <c r="Q942" t="b">
        <v>1</v>
      </c>
      <c r="R942" s="1">
        <v>44399.262499999997</v>
      </c>
      <c r="S942" s="1">
        <v>44403.121527777781</v>
      </c>
      <c r="T942" t="s">
        <v>60</v>
      </c>
      <c r="U942" t="b">
        <v>0</v>
      </c>
      <c r="V942" s="2">
        <v>44399.262499999997</v>
      </c>
      <c r="W942">
        <v>7</v>
      </c>
      <c r="X942">
        <v>2021</v>
      </c>
      <c r="Y942" t="s">
        <v>73</v>
      </c>
      <c r="Z942">
        <v>4</v>
      </c>
    </row>
    <row r="943" spans="1:26" x14ac:dyDescent="0.45">
      <c r="A943">
        <v>2986</v>
      </c>
      <c r="B943">
        <v>1310</v>
      </c>
      <c r="C943" t="s">
        <v>50</v>
      </c>
      <c r="D943" t="s">
        <v>42</v>
      </c>
      <c r="E943">
        <v>57</v>
      </c>
      <c r="F943">
        <v>709</v>
      </c>
      <c r="G943" t="s">
        <v>51</v>
      </c>
      <c r="H943" t="s">
        <v>52</v>
      </c>
      <c r="I943" t="s">
        <v>53</v>
      </c>
      <c r="J943" t="s">
        <v>54</v>
      </c>
      <c r="K943" t="s">
        <v>37</v>
      </c>
      <c r="L943" t="s">
        <v>28</v>
      </c>
      <c r="M943" t="s">
        <v>142</v>
      </c>
      <c r="N943" t="s">
        <v>143</v>
      </c>
      <c r="O943" t="s">
        <v>144</v>
      </c>
      <c r="P943">
        <v>3</v>
      </c>
      <c r="Q943" t="b">
        <v>1</v>
      </c>
      <c r="R943" s="1">
        <v>43988.869444444441</v>
      </c>
      <c r="S943" s="1">
        <v>43994.619444444441</v>
      </c>
      <c r="T943" t="s">
        <v>60</v>
      </c>
      <c r="U943" t="b">
        <v>0</v>
      </c>
      <c r="V943" s="2">
        <v>43988.869444444441</v>
      </c>
      <c r="W943">
        <v>6</v>
      </c>
      <c r="X943">
        <v>2020</v>
      </c>
      <c r="Y943" t="s">
        <v>52</v>
      </c>
      <c r="Z943">
        <v>3</v>
      </c>
    </row>
    <row r="944" spans="1:26" x14ac:dyDescent="0.45">
      <c r="A944">
        <v>2987</v>
      </c>
      <c r="B944">
        <v>1122</v>
      </c>
      <c r="C944" t="s">
        <v>651</v>
      </c>
      <c r="D944" t="s">
        <v>22</v>
      </c>
      <c r="E944">
        <v>59</v>
      </c>
      <c r="F944">
        <v>741</v>
      </c>
      <c r="G944" t="s">
        <v>444</v>
      </c>
      <c r="H944" t="s">
        <v>172</v>
      </c>
      <c r="I944" t="s">
        <v>173</v>
      </c>
      <c r="J944" t="s">
        <v>174</v>
      </c>
      <c r="K944" t="s">
        <v>46</v>
      </c>
      <c r="L944" t="s">
        <v>28</v>
      </c>
      <c r="M944" t="s">
        <v>142</v>
      </c>
      <c r="N944" t="s">
        <v>143</v>
      </c>
      <c r="O944" t="s">
        <v>144</v>
      </c>
      <c r="P944">
        <v>2</v>
      </c>
      <c r="Q944" t="b">
        <v>0</v>
      </c>
      <c r="R944" s="1">
        <v>43834.165972222225</v>
      </c>
      <c r="V944" s="2">
        <v>43834.165972222225</v>
      </c>
      <c r="W944">
        <v>1</v>
      </c>
      <c r="X944">
        <v>2020</v>
      </c>
      <c r="Y944" t="s">
        <v>172</v>
      </c>
      <c r="Z944">
        <v>2</v>
      </c>
    </row>
    <row r="945" spans="1:26" x14ac:dyDescent="0.45">
      <c r="A945">
        <v>2988</v>
      </c>
      <c r="B945">
        <v>1257</v>
      </c>
      <c r="C945" t="s">
        <v>386</v>
      </c>
      <c r="D945" t="s">
        <v>22</v>
      </c>
      <c r="E945">
        <v>27</v>
      </c>
      <c r="F945">
        <v>688</v>
      </c>
      <c r="G945" t="s">
        <v>387</v>
      </c>
      <c r="H945" t="s">
        <v>63</v>
      </c>
      <c r="I945" t="s">
        <v>300</v>
      </c>
      <c r="J945" t="s">
        <v>388</v>
      </c>
      <c r="K945" t="s">
        <v>66</v>
      </c>
      <c r="L945" t="s">
        <v>28</v>
      </c>
      <c r="M945" t="s">
        <v>29</v>
      </c>
      <c r="N945" t="s">
        <v>30</v>
      </c>
      <c r="O945" t="s">
        <v>31</v>
      </c>
      <c r="P945">
        <v>3</v>
      </c>
      <c r="Q945" t="b">
        <v>1</v>
      </c>
      <c r="R945" s="1">
        <v>44017.404166666667</v>
      </c>
      <c r="S945" s="1">
        <v>44021.231944444444</v>
      </c>
      <c r="T945" t="s">
        <v>60</v>
      </c>
      <c r="U945" t="b">
        <v>0</v>
      </c>
      <c r="V945" s="2">
        <v>44017.404166666667</v>
      </c>
      <c r="W945">
        <v>7</v>
      </c>
      <c r="X945">
        <v>2020</v>
      </c>
      <c r="Y945" t="s">
        <v>63</v>
      </c>
      <c r="Z945">
        <v>3</v>
      </c>
    </row>
    <row r="946" spans="1:26" x14ac:dyDescent="0.45">
      <c r="A946">
        <v>2989</v>
      </c>
      <c r="B946">
        <v>1086</v>
      </c>
      <c r="C946" t="s">
        <v>340</v>
      </c>
      <c r="D946" t="s">
        <v>22</v>
      </c>
      <c r="E946">
        <v>72</v>
      </c>
      <c r="F946">
        <v>757</v>
      </c>
      <c r="G946" t="s">
        <v>341</v>
      </c>
      <c r="H946" t="s">
        <v>172</v>
      </c>
      <c r="I946" t="s">
        <v>177</v>
      </c>
      <c r="J946" t="s">
        <v>178</v>
      </c>
      <c r="K946" t="s">
        <v>66</v>
      </c>
      <c r="L946" t="s">
        <v>96</v>
      </c>
      <c r="M946" t="s">
        <v>97</v>
      </c>
      <c r="N946" t="s">
        <v>98</v>
      </c>
      <c r="O946" t="s">
        <v>99</v>
      </c>
      <c r="P946">
        <v>5</v>
      </c>
      <c r="Q946" t="b">
        <v>0</v>
      </c>
      <c r="R946" s="1">
        <v>45236.262499999997</v>
      </c>
      <c r="V946" s="2">
        <v>45236.262499999997</v>
      </c>
      <c r="W946">
        <v>11</v>
      </c>
      <c r="X946">
        <v>2023</v>
      </c>
      <c r="Y946" t="s">
        <v>172</v>
      </c>
      <c r="Z946">
        <v>5</v>
      </c>
    </row>
    <row r="947" spans="1:26" x14ac:dyDescent="0.45">
      <c r="A947">
        <v>2990</v>
      </c>
      <c r="B947">
        <v>1486</v>
      </c>
      <c r="C947" t="s">
        <v>236</v>
      </c>
      <c r="D947" t="s">
        <v>42</v>
      </c>
      <c r="E947">
        <v>29</v>
      </c>
      <c r="F947">
        <v>695</v>
      </c>
      <c r="G947" t="s">
        <v>237</v>
      </c>
      <c r="H947" t="s">
        <v>73</v>
      </c>
      <c r="I947" t="s">
        <v>74</v>
      </c>
      <c r="J947" t="s">
        <v>157</v>
      </c>
      <c r="K947" t="s">
        <v>102</v>
      </c>
      <c r="L947" t="s">
        <v>96</v>
      </c>
      <c r="M947" t="s">
        <v>118</v>
      </c>
      <c r="N947" t="s">
        <v>90</v>
      </c>
      <c r="O947" t="s">
        <v>119</v>
      </c>
      <c r="P947">
        <v>4</v>
      </c>
      <c r="Q947" t="b">
        <v>1</v>
      </c>
      <c r="R947" s="1">
        <v>44299.502083333333</v>
      </c>
      <c r="S947" s="1">
        <v>44301.481249999997</v>
      </c>
      <c r="T947" t="s">
        <v>32</v>
      </c>
      <c r="U947" t="b">
        <v>0</v>
      </c>
      <c r="V947" s="2">
        <v>44299.502083333333</v>
      </c>
      <c r="W947">
        <v>4</v>
      </c>
      <c r="X947">
        <v>2021</v>
      </c>
      <c r="Y947" t="s">
        <v>73</v>
      </c>
      <c r="Z947">
        <v>4</v>
      </c>
    </row>
    <row r="948" spans="1:26" x14ac:dyDescent="0.45">
      <c r="A948">
        <v>2991</v>
      </c>
      <c r="B948">
        <v>1437</v>
      </c>
      <c r="C948" t="s">
        <v>564</v>
      </c>
      <c r="D948" t="s">
        <v>22</v>
      </c>
      <c r="E948">
        <v>80</v>
      </c>
      <c r="F948">
        <v>756</v>
      </c>
      <c r="G948" t="s">
        <v>565</v>
      </c>
      <c r="H948" t="s">
        <v>73</v>
      </c>
      <c r="I948" t="s">
        <v>140</v>
      </c>
      <c r="J948" t="s">
        <v>228</v>
      </c>
      <c r="K948" t="s">
        <v>66</v>
      </c>
      <c r="L948" t="s">
        <v>56</v>
      </c>
      <c r="M948" t="s">
        <v>88</v>
      </c>
      <c r="N948" t="s">
        <v>89</v>
      </c>
      <c r="O948" t="s">
        <v>90</v>
      </c>
      <c r="P948">
        <v>5</v>
      </c>
      <c r="Q948" t="b">
        <v>1</v>
      </c>
      <c r="R948" s="1">
        <v>45079.997916666667</v>
      </c>
      <c r="S948" s="1">
        <v>45081.125694444447</v>
      </c>
      <c r="T948" t="s">
        <v>109</v>
      </c>
      <c r="U948" t="b">
        <v>0</v>
      </c>
      <c r="V948" s="2">
        <v>45079.997916666667</v>
      </c>
      <c r="W948">
        <v>6</v>
      </c>
      <c r="X948">
        <v>2023</v>
      </c>
      <c r="Y948" t="s">
        <v>73</v>
      </c>
      <c r="Z948">
        <v>5</v>
      </c>
    </row>
    <row r="949" spans="1:26" x14ac:dyDescent="0.45">
      <c r="A949">
        <v>2992</v>
      </c>
      <c r="B949">
        <v>1017</v>
      </c>
      <c r="C949" t="s">
        <v>372</v>
      </c>
      <c r="D949" t="s">
        <v>42</v>
      </c>
      <c r="E949">
        <v>46</v>
      </c>
      <c r="F949">
        <v>715</v>
      </c>
      <c r="G949" t="s">
        <v>373</v>
      </c>
      <c r="H949" t="s">
        <v>35</v>
      </c>
      <c r="I949" t="s">
        <v>122</v>
      </c>
      <c r="J949" t="s">
        <v>135</v>
      </c>
      <c r="K949" t="s">
        <v>37</v>
      </c>
      <c r="L949" t="s">
        <v>67</v>
      </c>
      <c r="M949" t="s">
        <v>68</v>
      </c>
      <c r="N949" t="s">
        <v>69</v>
      </c>
      <c r="O949" t="s">
        <v>70</v>
      </c>
      <c r="P949">
        <v>3</v>
      </c>
      <c r="Q949" t="b">
        <v>0</v>
      </c>
      <c r="R949" s="1">
        <v>44124.71875</v>
      </c>
      <c r="V949" s="2">
        <v>44124.71875</v>
      </c>
      <c r="W949">
        <v>10</v>
      </c>
      <c r="X949">
        <v>2020</v>
      </c>
      <c r="Y949" t="s">
        <v>35</v>
      </c>
      <c r="Z949">
        <v>3</v>
      </c>
    </row>
    <row r="950" spans="1:26" x14ac:dyDescent="0.45">
      <c r="A950">
        <v>2993</v>
      </c>
      <c r="B950">
        <v>1121</v>
      </c>
      <c r="C950" t="s">
        <v>414</v>
      </c>
      <c r="D950" t="s">
        <v>42</v>
      </c>
      <c r="E950">
        <v>34</v>
      </c>
      <c r="F950">
        <v>698</v>
      </c>
      <c r="G950" t="s">
        <v>415</v>
      </c>
      <c r="H950" t="s">
        <v>93</v>
      </c>
      <c r="I950" t="s">
        <v>112</v>
      </c>
      <c r="J950" t="s">
        <v>242</v>
      </c>
      <c r="K950" t="s">
        <v>55</v>
      </c>
      <c r="L950" t="s">
        <v>56</v>
      </c>
      <c r="M950" t="s">
        <v>197</v>
      </c>
      <c r="N950" t="s">
        <v>198</v>
      </c>
      <c r="O950" t="s">
        <v>199</v>
      </c>
      <c r="P950">
        <v>5</v>
      </c>
      <c r="Q950" t="b">
        <v>1</v>
      </c>
      <c r="R950" s="1">
        <v>44422.672222222223</v>
      </c>
      <c r="S950" s="1">
        <v>44425.953472222223</v>
      </c>
      <c r="T950" t="s">
        <v>40</v>
      </c>
      <c r="U950" t="b">
        <v>0</v>
      </c>
      <c r="V950" s="2">
        <v>44422.672222222223</v>
      </c>
      <c r="W950">
        <v>8</v>
      </c>
      <c r="X950">
        <v>2021</v>
      </c>
      <c r="Y950" t="s">
        <v>93</v>
      </c>
      <c r="Z950">
        <v>5</v>
      </c>
    </row>
    <row r="951" spans="1:26" x14ac:dyDescent="0.45">
      <c r="A951">
        <v>2994</v>
      </c>
      <c r="B951">
        <v>1341</v>
      </c>
      <c r="C951" t="s">
        <v>480</v>
      </c>
      <c r="D951" t="s">
        <v>42</v>
      </c>
      <c r="E951">
        <v>40</v>
      </c>
      <c r="F951">
        <v>696</v>
      </c>
      <c r="G951" t="s">
        <v>481</v>
      </c>
      <c r="H951" t="s">
        <v>85</v>
      </c>
      <c r="I951" t="s">
        <v>86</v>
      </c>
      <c r="J951" t="s">
        <v>87</v>
      </c>
      <c r="K951" t="s">
        <v>102</v>
      </c>
      <c r="L951" t="s">
        <v>28</v>
      </c>
      <c r="M951" t="s">
        <v>142</v>
      </c>
      <c r="N951" t="s">
        <v>143</v>
      </c>
      <c r="O951" t="s">
        <v>144</v>
      </c>
      <c r="P951">
        <v>5</v>
      </c>
      <c r="Q951" t="b">
        <v>0</v>
      </c>
      <c r="R951" s="1">
        <v>44188.828472222223</v>
      </c>
      <c r="V951" s="2">
        <v>44188.828472222223</v>
      </c>
      <c r="W951">
        <v>12</v>
      </c>
      <c r="X951">
        <v>2020</v>
      </c>
      <c r="Y951" t="s">
        <v>85</v>
      </c>
      <c r="Z951">
        <v>5</v>
      </c>
    </row>
    <row r="952" spans="1:26" x14ac:dyDescent="0.45">
      <c r="A952">
        <v>2995</v>
      </c>
      <c r="B952">
        <v>1157</v>
      </c>
      <c r="C952" t="s">
        <v>609</v>
      </c>
      <c r="D952" t="s">
        <v>42</v>
      </c>
      <c r="E952">
        <v>63</v>
      </c>
      <c r="F952">
        <v>751</v>
      </c>
      <c r="G952" t="s">
        <v>610</v>
      </c>
      <c r="H952" t="s">
        <v>63</v>
      </c>
      <c r="I952" t="s">
        <v>300</v>
      </c>
      <c r="J952" t="s">
        <v>301</v>
      </c>
      <c r="K952" t="s">
        <v>46</v>
      </c>
      <c r="L952" t="s">
        <v>67</v>
      </c>
      <c r="M952" t="s">
        <v>68</v>
      </c>
      <c r="N952" t="s">
        <v>69</v>
      </c>
      <c r="O952" t="s">
        <v>70</v>
      </c>
      <c r="P952">
        <v>1</v>
      </c>
      <c r="Q952" t="b">
        <v>1</v>
      </c>
      <c r="R952" s="1">
        <v>45270.696527777778</v>
      </c>
      <c r="S952" s="1">
        <v>45275.783333333333</v>
      </c>
      <c r="T952" t="s">
        <v>60</v>
      </c>
      <c r="U952" t="b">
        <v>0</v>
      </c>
      <c r="V952" s="2">
        <v>45270.696527777778</v>
      </c>
      <c r="W952">
        <v>12</v>
      </c>
      <c r="X952">
        <v>2023</v>
      </c>
      <c r="Y952" t="s">
        <v>63</v>
      </c>
      <c r="Z952">
        <v>1</v>
      </c>
    </row>
    <row r="953" spans="1:26" x14ac:dyDescent="0.45">
      <c r="A953">
        <v>2996</v>
      </c>
      <c r="B953">
        <v>1233</v>
      </c>
      <c r="C953" t="s">
        <v>652</v>
      </c>
      <c r="D953" t="s">
        <v>22</v>
      </c>
      <c r="E953">
        <v>80</v>
      </c>
      <c r="F953">
        <v>753</v>
      </c>
      <c r="G953" t="s">
        <v>495</v>
      </c>
      <c r="H953" t="s">
        <v>35</v>
      </c>
      <c r="I953" t="s">
        <v>122</v>
      </c>
      <c r="J953" t="s">
        <v>123</v>
      </c>
      <c r="K953" t="s">
        <v>66</v>
      </c>
      <c r="L953" t="s">
        <v>28</v>
      </c>
      <c r="M953" t="s">
        <v>142</v>
      </c>
      <c r="N953" t="s">
        <v>143</v>
      </c>
      <c r="O953" t="s">
        <v>144</v>
      </c>
      <c r="P953">
        <v>3</v>
      </c>
      <c r="Q953" t="b">
        <v>0</v>
      </c>
      <c r="R953" s="1">
        <v>43863.53402777778</v>
      </c>
      <c r="V953" s="2">
        <v>43863.53402777778</v>
      </c>
      <c r="W953">
        <v>2</v>
      </c>
      <c r="X953">
        <v>2020</v>
      </c>
      <c r="Y953" t="s">
        <v>35</v>
      </c>
      <c r="Z953">
        <v>3</v>
      </c>
    </row>
    <row r="954" spans="1:26" x14ac:dyDescent="0.45">
      <c r="A954">
        <v>2997</v>
      </c>
      <c r="B954">
        <v>1080</v>
      </c>
      <c r="C954" t="s">
        <v>653</v>
      </c>
      <c r="D954" t="s">
        <v>42</v>
      </c>
      <c r="E954">
        <v>56</v>
      </c>
      <c r="F954">
        <v>720</v>
      </c>
      <c r="G954" t="s">
        <v>654</v>
      </c>
      <c r="H954" t="s">
        <v>35</v>
      </c>
      <c r="I954" t="s">
        <v>36</v>
      </c>
      <c r="J954" t="s">
        <v>123</v>
      </c>
      <c r="K954" t="s">
        <v>46</v>
      </c>
      <c r="L954" t="s">
        <v>96</v>
      </c>
      <c r="M954" t="s">
        <v>136</v>
      </c>
      <c r="N954" t="s">
        <v>30</v>
      </c>
      <c r="O954" t="s">
        <v>137</v>
      </c>
      <c r="P954">
        <v>4</v>
      </c>
      <c r="Q954" t="b">
        <v>1</v>
      </c>
      <c r="R954" s="1">
        <v>44948.053472222222</v>
      </c>
      <c r="S954" s="1">
        <v>44950.87777777778</v>
      </c>
      <c r="T954" t="s">
        <v>60</v>
      </c>
      <c r="U954" t="b">
        <v>0</v>
      </c>
      <c r="V954" s="2">
        <v>44948.053472222222</v>
      </c>
      <c r="W954">
        <v>1</v>
      </c>
      <c r="X954">
        <v>2023</v>
      </c>
      <c r="Y954" t="s">
        <v>35</v>
      </c>
      <c r="Z954">
        <v>4</v>
      </c>
    </row>
    <row r="955" spans="1:26" x14ac:dyDescent="0.45">
      <c r="A955">
        <v>2998</v>
      </c>
      <c r="B955">
        <v>1115</v>
      </c>
      <c r="C955" t="s">
        <v>420</v>
      </c>
      <c r="D955" t="s">
        <v>42</v>
      </c>
      <c r="E955">
        <v>14</v>
      </c>
      <c r="H955" t="s">
        <v>35</v>
      </c>
      <c r="I955" t="s">
        <v>122</v>
      </c>
      <c r="J955" t="s">
        <v>82</v>
      </c>
      <c r="K955" t="s">
        <v>102</v>
      </c>
      <c r="L955" t="s">
        <v>96</v>
      </c>
      <c r="M955" t="s">
        <v>103</v>
      </c>
      <c r="N955" t="s">
        <v>31</v>
      </c>
      <c r="O955" t="s">
        <v>104</v>
      </c>
      <c r="P955">
        <v>5</v>
      </c>
      <c r="Q955" t="b">
        <v>1</v>
      </c>
      <c r="R955" s="1">
        <v>45122.347222222219</v>
      </c>
      <c r="S955" s="1">
        <v>45123.118750000001</v>
      </c>
      <c r="T955" t="s">
        <v>40</v>
      </c>
      <c r="U955" t="b">
        <v>0</v>
      </c>
      <c r="V955" s="2">
        <v>45122.347222222219</v>
      </c>
      <c r="W955">
        <v>7</v>
      </c>
      <c r="X955">
        <v>2023</v>
      </c>
      <c r="Y955" t="s">
        <v>35</v>
      </c>
      <c r="Z955">
        <v>5</v>
      </c>
    </row>
    <row r="956" spans="1:26" x14ac:dyDescent="0.45">
      <c r="A956">
        <v>2999</v>
      </c>
      <c r="B956">
        <v>1374</v>
      </c>
      <c r="C956" t="s">
        <v>655</v>
      </c>
      <c r="D956" t="s">
        <v>42</v>
      </c>
      <c r="E956">
        <v>71</v>
      </c>
      <c r="F956">
        <v>753</v>
      </c>
      <c r="G956" t="s">
        <v>656</v>
      </c>
      <c r="H956" t="s">
        <v>129</v>
      </c>
      <c r="I956" t="s">
        <v>263</v>
      </c>
      <c r="J956" t="s">
        <v>278</v>
      </c>
      <c r="K956" t="s">
        <v>66</v>
      </c>
      <c r="L956" t="s">
        <v>96</v>
      </c>
      <c r="M956" t="s">
        <v>97</v>
      </c>
      <c r="N956" t="s">
        <v>98</v>
      </c>
      <c r="O956" t="s">
        <v>99</v>
      </c>
      <c r="P956">
        <v>5</v>
      </c>
      <c r="Q956" t="b">
        <v>1</v>
      </c>
      <c r="R956" s="1">
        <v>43838.225694444445</v>
      </c>
      <c r="S956" s="1">
        <v>43844.013194444444</v>
      </c>
      <c r="T956" t="s">
        <v>40</v>
      </c>
      <c r="U956" t="b">
        <v>0</v>
      </c>
      <c r="V956" s="2">
        <v>43838.225694444445</v>
      </c>
      <c r="W956">
        <v>1</v>
      </c>
      <c r="X956">
        <v>2020</v>
      </c>
      <c r="Y956" t="s">
        <v>129</v>
      </c>
      <c r="Z956">
        <v>5</v>
      </c>
    </row>
    <row r="957" spans="1:26" x14ac:dyDescent="0.45">
      <c r="A957">
        <v>3000</v>
      </c>
      <c r="B957">
        <v>1041</v>
      </c>
      <c r="C957" t="s">
        <v>361</v>
      </c>
      <c r="D957" t="s">
        <v>42</v>
      </c>
      <c r="E957">
        <v>17</v>
      </c>
      <c r="H957" t="s">
        <v>129</v>
      </c>
      <c r="I957" t="s">
        <v>263</v>
      </c>
      <c r="J957" t="s">
        <v>278</v>
      </c>
      <c r="K957" t="s">
        <v>66</v>
      </c>
      <c r="L957" t="s">
        <v>56</v>
      </c>
      <c r="M957" t="s">
        <v>197</v>
      </c>
      <c r="N957" t="s">
        <v>198</v>
      </c>
      <c r="O957" t="s">
        <v>199</v>
      </c>
      <c r="P957">
        <v>3</v>
      </c>
      <c r="Q957" t="b">
        <v>1</v>
      </c>
      <c r="R957" s="1">
        <v>45062.225694444445</v>
      </c>
      <c r="S957" s="1">
        <v>45067.008333333331</v>
      </c>
      <c r="T957" t="s">
        <v>109</v>
      </c>
      <c r="U957" t="b">
        <v>0</v>
      </c>
      <c r="V957" s="2">
        <v>45062.225694444445</v>
      </c>
      <c r="W957">
        <v>5</v>
      </c>
      <c r="X957">
        <v>2023</v>
      </c>
      <c r="Y957" t="s">
        <v>129</v>
      </c>
      <c r="Z957">
        <v>3</v>
      </c>
    </row>
    <row r="958" spans="1:26" x14ac:dyDescent="0.45">
      <c r="A958">
        <v>3001</v>
      </c>
      <c r="B958">
        <v>1078</v>
      </c>
      <c r="C958" t="s">
        <v>657</v>
      </c>
      <c r="D958" t="s">
        <v>42</v>
      </c>
      <c r="E958">
        <v>31</v>
      </c>
      <c r="F958">
        <v>698</v>
      </c>
      <c r="G958" t="s">
        <v>658</v>
      </c>
      <c r="H958" t="s">
        <v>172</v>
      </c>
      <c r="I958" t="s">
        <v>173</v>
      </c>
      <c r="J958" t="s">
        <v>174</v>
      </c>
      <c r="K958" t="s">
        <v>102</v>
      </c>
      <c r="L958" t="s">
        <v>96</v>
      </c>
      <c r="M958" t="s">
        <v>103</v>
      </c>
      <c r="N958" t="s">
        <v>31</v>
      </c>
      <c r="O958" t="s">
        <v>104</v>
      </c>
      <c r="P958">
        <v>5</v>
      </c>
      <c r="Q958" t="b">
        <v>1</v>
      </c>
      <c r="R958" s="1">
        <v>45104.29791666667</v>
      </c>
      <c r="S958" s="1">
        <v>45107.100694444445</v>
      </c>
      <c r="T958" t="s">
        <v>40</v>
      </c>
      <c r="U958" t="b">
        <v>0</v>
      </c>
      <c r="V958" s="2">
        <v>45104.29791666667</v>
      </c>
      <c r="W958">
        <v>6</v>
      </c>
      <c r="X958">
        <v>2023</v>
      </c>
      <c r="Y958" t="s">
        <v>172</v>
      </c>
      <c r="Z958">
        <v>5</v>
      </c>
    </row>
    <row r="959" spans="1:26" x14ac:dyDescent="0.45">
      <c r="A959">
        <v>3002</v>
      </c>
      <c r="B959">
        <v>1343</v>
      </c>
      <c r="C959" t="s">
        <v>659</v>
      </c>
      <c r="D959" t="s">
        <v>42</v>
      </c>
      <c r="E959">
        <v>15</v>
      </c>
      <c r="H959" t="s">
        <v>52</v>
      </c>
      <c r="I959" t="s">
        <v>53</v>
      </c>
      <c r="J959" t="s">
        <v>196</v>
      </c>
      <c r="K959" t="s">
        <v>46</v>
      </c>
      <c r="L959" t="s">
        <v>76</v>
      </c>
      <c r="M959" t="s">
        <v>126</v>
      </c>
      <c r="N959" t="s">
        <v>98</v>
      </c>
      <c r="O959" t="s">
        <v>99</v>
      </c>
      <c r="P959">
        <v>1</v>
      </c>
      <c r="Q959" t="b">
        <v>1</v>
      </c>
      <c r="R959" s="1">
        <v>43882.300694444442</v>
      </c>
      <c r="S959" s="1">
        <v>43888.440972222219</v>
      </c>
      <c r="T959" t="s">
        <v>32</v>
      </c>
      <c r="U959" t="b">
        <v>0</v>
      </c>
      <c r="V959" s="2">
        <v>43882.300694444442</v>
      </c>
      <c r="W959">
        <v>2</v>
      </c>
      <c r="X959">
        <v>2020</v>
      </c>
      <c r="Y959" t="s">
        <v>52</v>
      </c>
      <c r="Z959">
        <v>1</v>
      </c>
    </row>
    <row r="960" spans="1:26" x14ac:dyDescent="0.45">
      <c r="A960">
        <v>3003</v>
      </c>
      <c r="B960">
        <v>1436</v>
      </c>
      <c r="C960" t="s">
        <v>660</v>
      </c>
      <c r="D960" t="s">
        <v>22</v>
      </c>
      <c r="E960">
        <v>66</v>
      </c>
      <c r="F960">
        <v>742</v>
      </c>
      <c r="G960" t="s">
        <v>661</v>
      </c>
      <c r="H960" t="s">
        <v>35</v>
      </c>
      <c r="I960" t="s">
        <v>36</v>
      </c>
      <c r="J960" t="s">
        <v>36</v>
      </c>
      <c r="K960" t="s">
        <v>27</v>
      </c>
      <c r="L960" t="s">
        <v>67</v>
      </c>
      <c r="M960" t="s">
        <v>233</v>
      </c>
      <c r="N960" t="s">
        <v>89</v>
      </c>
      <c r="O960" t="s">
        <v>90</v>
      </c>
      <c r="P960">
        <v>4</v>
      </c>
      <c r="Q960" t="b">
        <v>1</v>
      </c>
      <c r="R960" s="1">
        <v>43942.268055555556</v>
      </c>
      <c r="S960" s="1">
        <v>43943.397916666669</v>
      </c>
      <c r="T960" t="s">
        <v>109</v>
      </c>
      <c r="U960" t="b">
        <v>0</v>
      </c>
      <c r="V960" s="2">
        <v>43942.268055555556</v>
      </c>
      <c r="W960">
        <v>4</v>
      </c>
      <c r="X960">
        <v>2020</v>
      </c>
      <c r="Y960" t="s">
        <v>35</v>
      </c>
      <c r="Z960">
        <v>4</v>
      </c>
    </row>
    <row r="961" spans="1:26" x14ac:dyDescent="0.45">
      <c r="A961">
        <v>3004</v>
      </c>
      <c r="B961">
        <v>1394</v>
      </c>
      <c r="C961" t="s">
        <v>662</v>
      </c>
      <c r="D961" t="s">
        <v>22</v>
      </c>
      <c r="E961">
        <v>25</v>
      </c>
      <c r="F961">
        <v>606</v>
      </c>
      <c r="G961" t="s">
        <v>663</v>
      </c>
      <c r="H961" t="s">
        <v>73</v>
      </c>
      <c r="I961" t="s">
        <v>74</v>
      </c>
      <c r="J961" t="s">
        <v>245</v>
      </c>
      <c r="K961" t="s">
        <v>46</v>
      </c>
      <c r="L961" t="s">
        <v>28</v>
      </c>
      <c r="M961" t="s">
        <v>29</v>
      </c>
      <c r="N961" t="s">
        <v>30</v>
      </c>
      <c r="O961" t="s">
        <v>31</v>
      </c>
      <c r="P961">
        <v>5</v>
      </c>
      <c r="Q961" t="b">
        <v>0</v>
      </c>
      <c r="R961" s="1">
        <v>44466.097222222219</v>
      </c>
      <c r="V961" s="2">
        <v>44466.097222222219</v>
      </c>
      <c r="W961">
        <v>9</v>
      </c>
      <c r="X961">
        <v>2021</v>
      </c>
      <c r="Y961" t="s">
        <v>73</v>
      </c>
      <c r="Z961">
        <v>5</v>
      </c>
    </row>
    <row r="962" spans="1:26" x14ac:dyDescent="0.45">
      <c r="A962">
        <v>3005</v>
      </c>
      <c r="B962">
        <v>1260</v>
      </c>
      <c r="C962" t="s">
        <v>253</v>
      </c>
      <c r="D962" t="s">
        <v>22</v>
      </c>
      <c r="E962">
        <v>32</v>
      </c>
      <c r="F962">
        <v>694</v>
      </c>
      <c r="G962" t="s">
        <v>254</v>
      </c>
      <c r="H962" t="s">
        <v>172</v>
      </c>
      <c r="I962" t="s">
        <v>177</v>
      </c>
      <c r="J962" t="s">
        <v>202</v>
      </c>
      <c r="K962" t="s">
        <v>46</v>
      </c>
      <c r="L962" t="s">
        <v>76</v>
      </c>
      <c r="M962" t="s">
        <v>126</v>
      </c>
      <c r="N962" t="s">
        <v>98</v>
      </c>
      <c r="O962" t="s">
        <v>99</v>
      </c>
      <c r="P962">
        <v>1</v>
      </c>
      <c r="Q962" t="b">
        <v>1</v>
      </c>
      <c r="R962" s="1">
        <v>44382.501388888886</v>
      </c>
      <c r="S962" s="1">
        <v>44385.292361111111</v>
      </c>
      <c r="T962" t="s">
        <v>109</v>
      </c>
      <c r="U962" t="b">
        <v>0</v>
      </c>
      <c r="V962" s="2">
        <v>44382.501388888886</v>
      </c>
      <c r="W962">
        <v>7</v>
      </c>
      <c r="X962">
        <v>2021</v>
      </c>
      <c r="Y962" t="s">
        <v>172</v>
      </c>
      <c r="Z962">
        <v>1</v>
      </c>
    </row>
    <row r="963" spans="1:26" x14ac:dyDescent="0.45">
      <c r="A963">
        <v>3006</v>
      </c>
      <c r="B963">
        <v>1082</v>
      </c>
      <c r="C963" t="s">
        <v>302</v>
      </c>
      <c r="D963" t="s">
        <v>42</v>
      </c>
      <c r="E963">
        <v>24</v>
      </c>
      <c r="F963">
        <v>600</v>
      </c>
      <c r="G963" t="s">
        <v>303</v>
      </c>
      <c r="H963" t="s">
        <v>73</v>
      </c>
      <c r="I963" t="s">
        <v>140</v>
      </c>
      <c r="J963" t="s">
        <v>228</v>
      </c>
      <c r="K963" t="s">
        <v>55</v>
      </c>
      <c r="L963" t="s">
        <v>56</v>
      </c>
      <c r="M963" t="s">
        <v>179</v>
      </c>
      <c r="N963" t="s">
        <v>79</v>
      </c>
      <c r="O963" t="s">
        <v>161</v>
      </c>
      <c r="P963">
        <v>5</v>
      </c>
      <c r="Q963" t="b">
        <v>1</v>
      </c>
      <c r="R963" s="1">
        <v>44812.659722222219</v>
      </c>
      <c r="S963" s="1">
        <v>44814.803472222222</v>
      </c>
      <c r="T963" t="s">
        <v>109</v>
      </c>
      <c r="U963" t="b">
        <v>0</v>
      </c>
      <c r="V963" s="2">
        <v>44812.659722222219</v>
      </c>
      <c r="W963">
        <v>9</v>
      </c>
      <c r="X963">
        <v>2022</v>
      </c>
      <c r="Y963" t="s">
        <v>73</v>
      </c>
      <c r="Z963">
        <v>5</v>
      </c>
    </row>
    <row r="964" spans="1:26" x14ac:dyDescent="0.45">
      <c r="A964">
        <v>3007</v>
      </c>
      <c r="B964">
        <v>1339</v>
      </c>
      <c r="C964" t="s">
        <v>562</v>
      </c>
      <c r="D964" t="s">
        <v>42</v>
      </c>
      <c r="E964">
        <v>28</v>
      </c>
      <c r="F964">
        <v>692</v>
      </c>
      <c r="G964" t="s">
        <v>563</v>
      </c>
      <c r="H964" t="s">
        <v>93</v>
      </c>
      <c r="I964" t="s">
        <v>112</v>
      </c>
      <c r="J964" t="s">
        <v>242</v>
      </c>
      <c r="K964" t="s">
        <v>66</v>
      </c>
      <c r="L964" t="s">
        <v>67</v>
      </c>
      <c r="M964" t="s">
        <v>68</v>
      </c>
      <c r="N964" t="s">
        <v>69</v>
      </c>
      <c r="O964" t="s">
        <v>70</v>
      </c>
      <c r="P964">
        <v>4</v>
      </c>
      <c r="Q964" t="b">
        <v>1</v>
      </c>
      <c r="R964" s="1">
        <v>45070.954861111109</v>
      </c>
      <c r="S964" s="1">
        <v>45077.689583333333</v>
      </c>
      <c r="T964" t="s">
        <v>40</v>
      </c>
      <c r="U964" t="b">
        <v>0</v>
      </c>
      <c r="V964" s="2">
        <v>45070.954861111109</v>
      </c>
      <c r="W964">
        <v>5</v>
      </c>
      <c r="X964">
        <v>2023</v>
      </c>
      <c r="Y964" t="s">
        <v>93</v>
      </c>
      <c r="Z964">
        <v>4</v>
      </c>
    </row>
    <row r="965" spans="1:26" x14ac:dyDescent="0.45">
      <c r="A965">
        <v>3008</v>
      </c>
      <c r="B965">
        <v>1075</v>
      </c>
      <c r="C965" t="s">
        <v>664</v>
      </c>
      <c r="D965" t="s">
        <v>42</v>
      </c>
      <c r="E965">
        <v>46</v>
      </c>
      <c r="F965">
        <v>701</v>
      </c>
      <c r="G965" t="s">
        <v>665</v>
      </c>
      <c r="H965" t="s">
        <v>93</v>
      </c>
      <c r="I965" t="s">
        <v>112</v>
      </c>
      <c r="J965" t="s">
        <v>113</v>
      </c>
      <c r="K965" t="s">
        <v>27</v>
      </c>
      <c r="L965" t="s">
        <v>28</v>
      </c>
      <c r="M965" t="s">
        <v>142</v>
      </c>
      <c r="N965" t="s">
        <v>143</v>
      </c>
      <c r="O965" t="s">
        <v>144</v>
      </c>
      <c r="P965">
        <v>1</v>
      </c>
      <c r="Q965" t="b">
        <v>0</v>
      </c>
      <c r="R965" s="1">
        <v>44885.79583333333</v>
      </c>
      <c r="V965" s="2">
        <v>44885.79583333333</v>
      </c>
      <c r="W965">
        <v>11</v>
      </c>
      <c r="X965">
        <v>2022</v>
      </c>
      <c r="Y965" t="s">
        <v>93</v>
      </c>
      <c r="Z965">
        <v>1</v>
      </c>
    </row>
    <row r="966" spans="1:26" x14ac:dyDescent="0.45">
      <c r="A966">
        <v>3009</v>
      </c>
      <c r="B966">
        <v>1316</v>
      </c>
      <c r="C966" t="s">
        <v>459</v>
      </c>
      <c r="D966" t="s">
        <v>42</v>
      </c>
      <c r="E966">
        <v>65</v>
      </c>
      <c r="F966">
        <v>745</v>
      </c>
      <c r="G966" t="s">
        <v>460</v>
      </c>
      <c r="H966" t="s">
        <v>129</v>
      </c>
      <c r="I966" t="s">
        <v>263</v>
      </c>
      <c r="J966" t="s">
        <v>278</v>
      </c>
      <c r="K966" t="s">
        <v>66</v>
      </c>
      <c r="L966" t="s">
        <v>96</v>
      </c>
      <c r="M966" t="s">
        <v>136</v>
      </c>
      <c r="N966" t="s">
        <v>30</v>
      </c>
      <c r="O966" t="s">
        <v>137</v>
      </c>
      <c r="P966">
        <v>3</v>
      </c>
      <c r="Q966" t="b">
        <v>1</v>
      </c>
      <c r="R966" s="1">
        <v>44606.058333333334</v>
      </c>
      <c r="S966" s="1">
        <v>44612.134027777778</v>
      </c>
      <c r="T966" t="s">
        <v>32</v>
      </c>
      <c r="U966" t="b">
        <v>0</v>
      </c>
      <c r="V966" s="2">
        <v>44606.058333333334</v>
      </c>
      <c r="W966">
        <v>2</v>
      </c>
      <c r="X966">
        <v>2022</v>
      </c>
      <c r="Y966" t="s">
        <v>129</v>
      </c>
      <c r="Z966">
        <v>3</v>
      </c>
    </row>
    <row r="967" spans="1:26" x14ac:dyDescent="0.45">
      <c r="A967">
        <v>3011</v>
      </c>
      <c r="B967">
        <v>1466</v>
      </c>
      <c r="C967" t="s">
        <v>191</v>
      </c>
      <c r="D967" t="s">
        <v>22</v>
      </c>
      <c r="E967">
        <v>73</v>
      </c>
      <c r="F967">
        <v>742</v>
      </c>
      <c r="G967" t="s">
        <v>192</v>
      </c>
      <c r="H967" t="s">
        <v>85</v>
      </c>
      <c r="I967" t="s">
        <v>116</v>
      </c>
      <c r="J967" t="s">
        <v>117</v>
      </c>
      <c r="K967" t="s">
        <v>37</v>
      </c>
      <c r="L967" t="s">
        <v>56</v>
      </c>
      <c r="M967" t="s">
        <v>179</v>
      </c>
      <c r="N967" t="s">
        <v>79</v>
      </c>
      <c r="O967" t="s">
        <v>161</v>
      </c>
      <c r="P967">
        <v>3</v>
      </c>
      <c r="Q967" t="b">
        <v>1</v>
      </c>
      <c r="R967" s="1">
        <v>44078.857638888891</v>
      </c>
      <c r="S967" s="1">
        <v>44084.692361111112</v>
      </c>
      <c r="T967" t="s">
        <v>40</v>
      </c>
      <c r="U967" t="b">
        <v>0</v>
      </c>
      <c r="V967" s="2">
        <v>44078.857638888891</v>
      </c>
      <c r="W967">
        <v>9</v>
      </c>
      <c r="X967">
        <v>2020</v>
      </c>
      <c r="Y967" t="s">
        <v>85</v>
      </c>
      <c r="Z967">
        <v>3</v>
      </c>
    </row>
    <row r="968" spans="1:26" x14ac:dyDescent="0.45">
      <c r="A968">
        <v>3012</v>
      </c>
      <c r="B968">
        <v>1496</v>
      </c>
      <c r="C968" t="s">
        <v>666</v>
      </c>
      <c r="D968" t="s">
        <v>22</v>
      </c>
      <c r="E968">
        <v>49</v>
      </c>
      <c r="F968">
        <v>727</v>
      </c>
      <c r="G968" t="s">
        <v>667</v>
      </c>
      <c r="H968" t="s">
        <v>93</v>
      </c>
      <c r="I968" t="s">
        <v>94</v>
      </c>
      <c r="J968" t="s">
        <v>107</v>
      </c>
      <c r="K968" t="s">
        <v>27</v>
      </c>
      <c r="L968" t="s">
        <v>28</v>
      </c>
      <c r="M968" t="s">
        <v>38</v>
      </c>
      <c r="N968" t="s">
        <v>31</v>
      </c>
      <c r="O968" t="s">
        <v>39</v>
      </c>
      <c r="P968">
        <v>5</v>
      </c>
      <c r="Q968" t="b">
        <v>1</v>
      </c>
      <c r="R968" s="1">
        <v>44441.292361111111</v>
      </c>
      <c r="S968" s="1">
        <v>44442.575694444444</v>
      </c>
      <c r="T968" t="s">
        <v>109</v>
      </c>
      <c r="U968" t="b">
        <v>1</v>
      </c>
      <c r="V968" s="2">
        <v>44441.292361111111</v>
      </c>
      <c r="W968">
        <v>9</v>
      </c>
      <c r="X968">
        <v>2021</v>
      </c>
      <c r="Y968" t="s">
        <v>93</v>
      </c>
      <c r="Z968">
        <v>5</v>
      </c>
    </row>
    <row r="969" spans="1:26" x14ac:dyDescent="0.45">
      <c r="A969">
        <v>3013</v>
      </c>
      <c r="B969">
        <v>1192</v>
      </c>
      <c r="C969" t="s">
        <v>668</v>
      </c>
      <c r="D969" t="s">
        <v>22</v>
      </c>
      <c r="E969">
        <v>59</v>
      </c>
      <c r="F969">
        <v>759</v>
      </c>
      <c r="G969" t="s">
        <v>669</v>
      </c>
      <c r="H969" t="s">
        <v>172</v>
      </c>
      <c r="I969" t="s">
        <v>177</v>
      </c>
      <c r="J969" t="s">
        <v>178</v>
      </c>
      <c r="K969" t="s">
        <v>102</v>
      </c>
      <c r="L969" t="s">
        <v>56</v>
      </c>
      <c r="M969" t="s">
        <v>197</v>
      </c>
      <c r="N969" t="s">
        <v>198</v>
      </c>
      <c r="O969" t="s">
        <v>199</v>
      </c>
      <c r="P969">
        <v>5</v>
      </c>
      <c r="Q969" t="b">
        <v>0</v>
      </c>
      <c r="R969" s="1">
        <v>43885.259027777778</v>
      </c>
      <c r="V969" s="2">
        <v>43885.259027777778</v>
      </c>
      <c r="W969">
        <v>2</v>
      </c>
      <c r="X969">
        <v>2020</v>
      </c>
      <c r="Y969" t="s">
        <v>172</v>
      </c>
      <c r="Z969">
        <v>5</v>
      </c>
    </row>
    <row r="970" spans="1:26" x14ac:dyDescent="0.45">
      <c r="A970">
        <v>3014</v>
      </c>
      <c r="B970">
        <v>1081</v>
      </c>
      <c r="C970" t="s">
        <v>344</v>
      </c>
      <c r="D970" t="s">
        <v>22</v>
      </c>
      <c r="E970">
        <v>36</v>
      </c>
      <c r="F970">
        <v>686</v>
      </c>
      <c r="G970" t="s">
        <v>345</v>
      </c>
      <c r="H970" t="s">
        <v>73</v>
      </c>
      <c r="I970" t="s">
        <v>140</v>
      </c>
      <c r="J970" t="s">
        <v>141</v>
      </c>
      <c r="K970" t="s">
        <v>66</v>
      </c>
      <c r="L970" t="s">
        <v>28</v>
      </c>
      <c r="M970" t="s">
        <v>29</v>
      </c>
      <c r="N970" t="s">
        <v>30</v>
      </c>
      <c r="O970" t="s">
        <v>31</v>
      </c>
      <c r="P970">
        <v>4</v>
      </c>
      <c r="Q970" t="b">
        <v>1</v>
      </c>
      <c r="R970" s="1">
        <v>45059.719444444447</v>
      </c>
      <c r="S970" s="1">
        <v>45062.478472222225</v>
      </c>
      <c r="T970" t="s">
        <v>60</v>
      </c>
      <c r="U970" t="b">
        <v>0</v>
      </c>
      <c r="V970" s="2">
        <v>45059.719444444447</v>
      </c>
      <c r="W970">
        <v>5</v>
      </c>
      <c r="X970">
        <v>2023</v>
      </c>
      <c r="Y970" t="s">
        <v>73</v>
      </c>
      <c r="Z970">
        <v>4</v>
      </c>
    </row>
    <row r="971" spans="1:26" x14ac:dyDescent="0.45">
      <c r="A971">
        <v>3015</v>
      </c>
      <c r="B971">
        <v>1333</v>
      </c>
      <c r="C971" t="s">
        <v>670</v>
      </c>
      <c r="D971" t="s">
        <v>42</v>
      </c>
      <c r="E971">
        <v>68</v>
      </c>
      <c r="F971">
        <v>744</v>
      </c>
      <c r="G971" t="s">
        <v>671</v>
      </c>
      <c r="H971" t="s">
        <v>63</v>
      </c>
      <c r="I971" t="s">
        <v>64</v>
      </c>
      <c r="J971" t="s">
        <v>281</v>
      </c>
      <c r="K971" t="s">
        <v>66</v>
      </c>
      <c r="L971" t="s">
        <v>76</v>
      </c>
      <c r="M971" t="s">
        <v>77</v>
      </c>
      <c r="N971" t="s">
        <v>78</v>
      </c>
      <c r="O971" t="s">
        <v>79</v>
      </c>
      <c r="P971">
        <v>4</v>
      </c>
      <c r="Q971" t="b">
        <v>1</v>
      </c>
      <c r="R971" s="1">
        <v>44349.661111111112</v>
      </c>
      <c r="S971" s="1">
        <v>44350.5625</v>
      </c>
      <c r="T971" t="s">
        <v>109</v>
      </c>
      <c r="U971" t="b">
        <v>0</v>
      </c>
      <c r="V971" s="2">
        <v>44349.661111111112</v>
      </c>
      <c r="W971">
        <v>6</v>
      </c>
      <c r="X971">
        <v>2021</v>
      </c>
      <c r="Y971" t="s">
        <v>63</v>
      </c>
      <c r="Z971">
        <v>4</v>
      </c>
    </row>
    <row r="972" spans="1:26" x14ac:dyDescent="0.45">
      <c r="A972">
        <v>3016</v>
      </c>
      <c r="B972">
        <v>1485</v>
      </c>
      <c r="C972" t="s">
        <v>672</v>
      </c>
      <c r="D972" t="s">
        <v>42</v>
      </c>
      <c r="E972">
        <v>57</v>
      </c>
      <c r="F972">
        <v>722</v>
      </c>
      <c r="G972" t="s">
        <v>673</v>
      </c>
      <c r="H972" t="s">
        <v>93</v>
      </c>
      <c r="I972" t="s">
        <v>112</v>
      </c>
      <c r="J972" t="s">
        <v>147</v>
      </c>
      <c r="K972" t="s">
        <v>66</v>
      </c>
      <c r="L972" t="s">
        <v>96</v>
      </c>
      <c r="M972" t="s">
        <v>97</v>
      </c>
      <c r="N972" t="s">
        <v>98</v>
      </c>
      <c r="O972" t="s">
        <v>99</v>
      </c>
      <c r="P972">
        <v>3</v>
      </c>
      <c r="Q972" t="b">
        <v>1</v>
      </c>
      <c r="R972" s="1">
        <v>45079.238194444442</v>
      </c>
      <c r="S972" s="1">
        <v>45083.946527777778</v>
      </c>
      <c r="T972" t="s">
        <v>32</v>
      </c>
      <c r="U972" t="b">
        <v>0</v>
      </c>
      <c r="V972" s="2">
        <v>45079.238194444442</v>
      </c>
      <c r="W972">
        <v>6</v>
      </c>
      <c r="X972">
        <v>2023</v>
      </c>
      <c r="Y972" t="s">
        <v>93</v>
      </c>
      <c r="Z972">
        <v>3</v>
      </c>
    </row>
    <row r="973" spans="1:26" x14ac:dyDescent="0.45">
      <c r="A973">
        <v>3017</v>
      </c>
      <c r="B973">
        <v>1030</v>
      </c>
      <c r="C973" t="s">
        <v>674</v>
      </c>
      <c r="D973" t="s">
        <v>22</v>
      </c>
      <c r="E973">
        <v>68</v>
      </c>
      <c r="F973">
        <v>746</v>
      </c>
      <c r="G973" t="s">
        <v>675</v>
      </c>
      <c r="H973" t="s">
        <v>172</v>
      </c>
      <c r="I973" t="s">
        <v>173</v>
      </c>
      <c r="J973" t="s">
        <v>174</v>
      </c>
      <c r="K973" t="s">
        <v>66</v>
      </c>
      <c r="L973" t="s">
        <v>28</v>
      </c>
      <c r="M973" t="s">
        <v>142</v>
      </c>
      <c r="N973" t="s">
        <v>143</v>
      </c>
      <c r="O973" t="s">
        <v>144</v>
      </c>
      <c r="P973">
        <v>2</v>
      </c>
      <c r="Q973" t="b">
        <v>1</v>
      </c>
      <c r="R973" s="1">
        <v>44295.748611111114</v>
      </c>
      <c r="S973" s="1">
        <v>44299.029861111114</v>
      </c>
      <c r="T973" t="s">
        <v>60</v>
      </c>
      <c r="U973" t="b">
        <v>0</v>
      </c>
      <c r="V973" s="2">
        <v>44295.748611111114</v>
      </c>
      <c r="W973">
        <v>4</v>
      </c>
      <c r="X973">
        <v>2021</v>
      </c>
      <c r="Y973" t="s">
        <v>172</v>
      </c>
      <c r="Z973">
        <v>2</v>
      </c>
    </row>
    <row r="974" spans="1:26" x14ac:dyDescent="0.45">
      <c r="A974">
        <v>3018</v>
      </c>
      <c r="B974">
        <v>1274</v>
      </c>
      <c r="C974" t="s">
        <v>676</v>
      </c>
      <c r="D974" t="s">
        <v>22</v>
      </c>
      <c r="E974">
        <v>30</v>
      </c>
      <c r="F974">
        <v>690</v>
      </c>
      <c r="G974" t="s">
        <v>677</v>
      </c>
      <c r="H974" t="s">
        <v>63</v>
      </c>
      <c r="I974" t="s">
        <v>64</v>
      </c>
      <c r="J974" t="s">
        <v>65</v>
      </c>
      <c r="K974" t="s">
        <v>102</v>
      </c>
      <c r="L974" t="s">
        <v>67</v>
      </c>
      <c r="M974" t="s">
        <v>165</v>
      </c>
      <c r="N974" t="s">
        <v>166</v>
      </c>
      <c r="O974" t="s">
        <v>167</v>
      </c>
      <c r="P974">
        <v>5</v>
      </c>
      <c r="Q974" t="b">
        <v>1</v>
      </c>
      <c r="R974" s="1">
        <v>44941.724305555559</v>
      </c>
      <c r="S974" s="1">
        <v>44944.811805555553</v>
      </c>
      <c r="T974" t="s">
        <v>32</v>
      </c>
      <c r="U974" t="b">
        <v>0</v>
      </c>
      <c r="V974" s="2">
        <v>44941.724305555559</v>
      </c>
      <c r="W974">
        <v>1</v>
      </c>
      <c r="X974">
        <v>2023</v>
      </c>
      <c r="Y974" t="s">
        <v>63</v>
      </c>
      <c r="Z974">
        <v>5</v>
      </c>
    </row>
    <row r="975" spans="1:26" x14ac:dyDescent="0.45">
      <c r="A975">
        <v>3019</v>
      </c>
      <c r="B975">
        <v>1110</v>
      </c>
      <c r="C975" t="s">
        <v>100</v>
      </c>
      <c r="D975" t="s">
        <v>42</v>
      </c>
      <c r="E975">
        <v>19</v>
      </c>
      <c r="F975">
        <v>672</v>
      </c>
      <c r="G975" t="s">
        <v>101</v>
      </c>
      <c r="H975" t="s">
        <v>35</v>
      </c>
      <c r="I975" t="s">
        <v>36</v>
      </c>
      <c r="J975" t="s">
        <v>36</v>
      </c>
      <c r="K975" t="s">
        <v>66</v>
      </c>
      <c r="L975" t="s">
        <v>67</v>
      </c>
      <c r="M975" t="s">
        <v>165</v>
      </c>
      <c r="N975" t="s">
        <v>166</v>
      </c>
      <c r="O975" t="s">
        <v>167</v>
      </c>
      <c r="P975">
        <v>5</v>
      </c>
      <c r="Q975" t="b">
        <v>1</v>
      </c>
      <c r="R975" s="1">
        <v>44990.191666666666</v>
      </c>
      <c r="S975" s="1">
        <v>44995.696527777778</v>
      </c>
      <c r="T975" t="s">
        <v>40</v>
      </c>
      <c r="U975" t="b">
        <v>0</v>
      </c>
      <c r="V975" s="2">
        <v>44990.191666666666</v>
      </c>
      <c r="W975">
        <v>3</v>
      </c>
      <c r="X975">
        <v>2023</v>
      </c>
      <c r="Y975" t="s">
        <v>35</v>
      </c>
      <c r="Z975">
        <v>5</v>
      </c>
    </row>
    <row r="976" spans="1:26" x14ac:dyDescent="0.45">
      <c r="A976">
        <v>3020</v>
      </c>
      <c r="B976">
        <v>1110</v>
      </c>
      <c r="C976" t="s">
        <v>100</v>
      </c>
      <c r="D976" t="s">
        <v>42</v>
      </c>
      <c r="E976">
        <v>19</v>
      </c>
      <c r="F976">
        <v>672</v>
      </c>
      <c r="G976" t="s">
        <v>101</v>
      </c>
      <c r="H976" t="s">
        <v>35</v>
      </c>
      <c r="I976" t="s">
        <v>36</v>
      </c>
      <c r="J976" t="s">
        <v>36</v>
      </c>
      <c r="K976" t="s">
        <v>46</v>
      </c>
      <c r="L976" t="s">
        <v>56</v>
      </c>
      <c r="M976" t="s">
        <v>57</v>
      </c>
      <c r="N976" t="s">
        <v>58</v>
      </c>
      <c r="O976" t="s">
        <v>59</v>
      </c>
      <c r="P976">
        <v>4</v>
      </c>
      <c r="Q976" t="b">
        <v>1</v>
      </c>
      <c r="R976" s="1">
        <v>44028.838194444441</v>
      </c>
      <c r="S976" s="1">
        <v>44030.060416666667</v>
      </c>
      <c r="T976" t="s">
        <v>109</v>
      </c>
      <c r="U976" t="b">
        <v>0</v>
      </c>
      <c r="V976" s="2">
        <v>44028.838194444441</v>
      </c>
      <c r="W976">
        <v>7</v>
      </c>
      <c r="X976">
        <v>2020</v>
      </c>
      <c r="Y976" t="s">
        <v>35</v>
      </c>
      <c r="Z976">
        <v>4</v>
      </c>
    </row>
    <row r="977" spans="1:26" x14ac:dyDescent="0.45">
      <c r="A977">
        <v>3021</v>
      </c>
      <c r="B977">
        <v>1412</v>
      </c>
      <c r="C977" t="s">
        <v>678</v>
      </c>
      <c r="D977" t="s">
        <v>42</v>
      </c>
      <c r="E977">
        <v>28</v>
      </c>
      <c r="F977">
        <v>687</v>
      </c>
      <c r="G977" t="s">
        <v>679</v>
      </c>
      <c r="H977" t="s">
        <v>24</v>
      </c>
      <c r="I977" t="s">
        <v>25</v>
      </c>
      <c r="J977" t="s">
        <v>26</v>
      </c>
      <c r="K977" t="s">
        <v>46</v>
      </c>
      <c r="L977" t="s">
        <v>56</v>
      </c>
      <c r="M977" t="s">
        <v>197</v>
      </c>
      <c r="N977" t="s">
        <v>198</v>
      </c>
      <c r="O977" t="s">
        <v>199</v>
      </c>
      <c r="P977">
        <v>4</v>
      </c>
      <c r="Q977" t="b">
        <v>0</v>
      </c>
      <c r="R977" s="1">
        <v>44109.292361111111</v>
      </c>
      <c r="V977" s="2">
        <v>44109.292361111111</v>
      </c>
      <c r="W977">
        <v>10</v>
      </c>
      <c r="X977">
        <v>2020</v>
      </c>
      <c r="Y977" t="s">
        <v>24</v>
      </c>
      <c r="Z977">
        <v>4</v>
      </c>
    </row>
    <row r="978" spans="1:26" x14ac:dyDescent="0.45">
      <c r="A978">
        <v>3022</v>
      </c>
      <c r="B978">
        <v>1479</v>
      </c>
      <c r="C978" t="s">
        <v>680</v>
      </c>
      <c r="D978" t="s">
        <v>22</v>
      </c>
      <c r="E978">
        <v>49</v>
      </c>
      <c r="F978">
        <v>738</v>
      </c>
      <c r="G978" t="s">
        <v>681</v>
      </c>
      <c r="H978" t="s">
        <v>93</v>
      </c>
      <c r="I978" t="s">
        <v>112</v>
      </c>
      <c r="J978" t="s">
        <v>147</v>
      </c>
      <c r="K978" t="s">
        <v>66</v>
      </c>
      <c r="L978" t="s">
        <v>28</v>
      </c>
      <c r="M978" t="s">
        <v>142</v>
      </c>
      <c r="N978" t="s">
        <v>143</v>
      </c>
      <c r="O978" t="s">
        <v>144</v>
      </c>
      <c r="P978">
        <v>3</v>
      </c>
      <c r="Q978" t="b">
        <v>1</v>
      </c>
      <c r="R978" s="1">
        <v>43878.941666666666</v>
      </c>
      <c r="S978" s="1">
        <v>43881.14166666667</v>
      </c>
      <c r="T978" t="s">
        <v>109</v>
      </c>
      <c r="U978" t="b">
        <v>0</v>
      </c>
      <c r="V978" s="2">
        <v>43878.941666666666</v>
      </c>
      <c r="W978">
        <v>2</v>
      </c>
      <c r="X978">
        <v>2020</v>
      </c>
      <c r="Y978" t="s">
        <v>93</v>
      </c>
      <c r="Z978">
        <v>3</v>
      </c>
    </row>
    <row r="979" spans="1:26" x14ac:dyDescent="0.45">
      <c r="A979">
        <v>3023</v>
      </c>
      <c r="B979">
        <v>1125</v>
      </c>
      <c r="C979" t="s">
        <v>682</v>
      </c>
      <c r="D979" t="s">
        <v>22</v>
      </c>
      <c r="E979">
        <v>70</v>
      </c>
      <c r="F979">
        <v>760</v>
      </c>
      <c r="G979" t="s">
        <v>683</v>
      </c>
      <c r="H979" t="s">
        <v>63</v>
      </c>
      <c r="I979" t="s">
        <v>300</v>
      </c>
      <c r="J979" t="s">
        <v>388</v>
      </c>
      <c r="K979" t="s">
        <v>55</v>
      </c>
      <c r="L979" t="s">
        <v>96</v>
      </c>
      <c r="M979" t="s">
        <v>103</v>
      </c>
      <c r="N979" t="s">
        <v>31</v>
      </c>
      <c r="O979" t="s">
        <v>104</v>
      </c>
      <c r="P979">
        <v>2</v>
      </c>
      <c r="Q979" t="b">
        <v>1</v>
      </c>
      <c r="R979" s="1">
        <v>44885.695833333331</v>
      </c>
      <c r="S979" s="1">
        <v>44886.79791666667</v>
      </c>
      <c r="T979" t="s">
        <v>60</v>
      </c>
      <c r="U979" t="b">
        <v>0</v>
      </c>
      <c r="V979" s="2">
        <v>44885.695833333331</v>
      </c>
      <c r="W979">
        <v>11</v>
      </c>
      <c r="X979">
        <v>2022</v>
      </c>
      <c r="Y979" t="s">
        <v>63</v>
      </c>
      <c r="Z979">
        <v>2</v>
      </c>
    </row>
    <row r="980" spans="1:26" x14ac:dyDescent="0.45">
      <c r="A980">
        <v>3024</v>
      </c>
      <c r="B980">
        <v>1375</v>
      </c>
      <c r="C980" t="s">
        <v>684</v>
      </c>
      <c r="D980" t="s">
        <v>42</v>
      </c>
      <c r="E980">
        <v>38</v>
      </c>
      <c r="F980">
        <v>699</v>
      </c>
      <c r="G980" t="s">
        <v>685</v>
      </c>
      <c r="H980" t="s">
        <v>35</v>
      </c>
      <c r="I980" t="s">
        <v>36</v>
      </c>
      <c r="J980" t="s">
        <v>123</v>
      </c>
      <c r="K980" t="s">
        <v>55</v>
      </c>
      <c r="L980" t="s">
        <v>28</v>
      </c>
      <c r="M980" t="s">
        <v>47</v>
      </c>
      <c r="N980" t="s">
        <v>48</v>
      </c>
      <c r="O980" t="s">
        <v>49</v>
      </c>
      <c r="P980">
        <v>5</v>
      </c>
      <c r="Q980" t="b">
        <v>0</v>
      </c>
      <c r="R980" s="1">
        <v>44735.825694444444</v>
      </c>
      <c r="V980" s="2">
        <v>44735.825694444444</v>
      </c>
      <c r="W980">
        <v>6</v>
      </c>
      <c r="X980">
        <v>2022</v>
      </c>
      <c r="Y980" t="s">
        <v>35</v>
      </c>
      <c r="Z980">
        <v>5</v>
      </c>
    </row>
    <row r="981" spans="1:26" x14ac:dyDescent="0.45">
      <c r="A981">
        <v>3025</v>
      </c>
      <c r="B981">
        <v>1228</v>
      </c>
      <c r="C981" t="s">
        <v>686</v>
      </c>
      <c r="D981" t="s">
        <v>42</v>
      </c>
      <c r="E981">
        <v>23</v>
      </c>
      <c r="F981">
        <v>654</v>
      </c>
      <c r="G981" t="s">
        <v>687</v>
      </c>
      <c r="H981" t="s">
        <v>129</v>
      </c>
      <c r="I981" t="s">
        <v>263</v>
      </c>
      <c r="J981" t="s">
        <v>264</v>
      </c>
      <c r="K981" t="s">
        <v>27</v>
      </c>
      <c r="L981" t="s">
        <v>96</v>
      </c>
      <c r="M981" t="s">
        <v>97</v>
      </c>
      <c r="N981" t="s">
        <v>98</v>
      </c>
      <c r="O981" t="s">
        <v>99</v>
      </c>
      <c r="P981">
        <v>3</v>
      </c>
      <c r="Q981" t="b">
        <v>0</v>
      </c>
      <c r="R981" s="1">
        <v>44556.723611111112</v>
      </c>
      <c r="V981" s="2">
        <v>44556.723611111112</v>
      </c>
      <c r="W981">
        <v>12</v>
      </c>
      <c r="X981">
        <v>2021</v>
      </c>
      <c r="Y981" t="s">
        <v>129</v>
      </c>
      <c r="Z981">
        <v>3</v>
      </c>
    </row>
    <row r="982" spans="1:26" x14ac:dyDescent="0.45">
      <c r="A982">
        <v>3026</v>
      </c>
      <c r="B982">
        <v>1392</v>
      </c>
      <c r="C982" t="s">
        <v>688</v>
      </c>
      <c r="D982" t="s">
        <v>22</v>
      </c>
      <c r="E982">
        <v>39</v>
      </c>
      <c r="F982">
        <v>694</v>
      </c>
      <c r="G982" t="s">
        <v>689</v>
      </c>
      <c r="H982" t="s">
        <v>52</v>
      </c>
      <c r="I982" t="s">
        <v>53</v>
      </c>
      <c r="J982" t="s">
        <v>284</v>
      </c>
      <c r="K982" t="s">
        <v>102</v>
      </c>
      <c r="L982" t="s">
        <v>67</v>
      </c>
      <c r="M982" t="s">
        <v>165</v>
      </c>
      <c r="N982" t="s">
        <v>166</v>
      </c>
      <c r="O982" t="s">
        <v>167</v>
      </c>
      <c r="P982">
        <v>2</v>
      </c>
      <c r="Q982" t="b">
        <v>1</v>
      </c>
      <c r="R982" s="1">
        <v>44472.182638888888</v>
      </c>
      <c r="S982" s="1">
        <v>44476.427083333336</v>
      </c>
      <c r="T982" t="s">
        <v>40</v>
      </c>
      <c r="U982" t="b">
        <v>0</v>
      </c>
      <c r="V982" s="2">
        <v>44472.182638888888</v>
      </c>
      <c r="W982">
        <v>10</v>
      </c>
      <c r="X982">
        <v>2021</v>
      </c>
      <c r="Y982" t="s">
        <v>52</v>
      </c>
      <c r="Z982">
        <v>2</v>
      </c>
    </row>
    <row r="983" spans="1:26" x14ac:dyDescent="0.45">
      <c r="A983">
        <v>3027</v>
      </c>
      <c r="B983">
        <v>1196</v>
      </c>
      <c r="C983" t="s">
        <v>690</v>
      </c>
      <c r="D983" t="s">
        <v>22</v>
      </c>
      <c r="E983">
        <v>42</v>
      </c>
      <c r="F983">
        <v>683</v>
      </c>
      <c r="G983" t="s">
        <v>691</v>
      </c>
      <c r="H983" t="s">
        <v>85</v>
      </c>
      <c r="I983" t="s">
        <v>86</v>
      </c>
      <c r="J983" t="s">
        <v>182</v>
      </c>
      <c r="K983" t="s">
        <v>46</v>
      </c>
      <c r="L983" t="s">
        <v>28</v>
      </c>
      <c r="M983" t="s">
        <v>47</v>
      </c>
      <c r="N983" t="s">
        <v>48</v>
      </c>
      <c r="O983" t="s">
        <v>49</v>
      </c>
      <c r="P983">
        <v>3</v>
      </c>
      <c r="Q983" t="b">
        <v>1</v>
      </c>
      <c r="R983" s="1">
        <v>44550.571527777778</v>
      </c>
      <c r="S983" s="1">
        <v>44556.738194444442</v>
      </c>
      <c r="T983" t="s">
        <v>32</v>
      </c>
      <c r="U983" t="b">
        <v>0</v>
      </c>
      <c r="V983" s="2">
        <v>44550.571527777778</v>
      </c>
      <c r="W983">
        <v>12</v>
      </c>
      <c r="X983">
        <v>2021</v>
      </c>
      <c r="Y983" t="s">
        <v>85</v>
      </c>
      <c r="Z983">
        <v>3</v>
      </c>
    </row>
    <row r="984" spans="1:26" x14ac:dyDescent="0.45">
      <c r="A984">
        <v>3028</v>
      </c>
      <c r="B984">
        <v>1141</v>
      </c>
      <c r="C984" t="s">
        <v>692</v>
      </c>
      <c r="D984" t="s">
        <v>42</v>
      </c>
      <c r="E984">
        <v>20</v>
      </c>
      <c r="F984">
        <v>645</v>
      </c>
      <c r="G984" t="s">
        <v>693</v>
      </c>
      <c r="H984" t="s">
        <v>172</v>
      </c>
      <c r="I984" t="s">
        <v>177</v>
      </c>
      <c r="J984" t="s">
        <v>202</v>
      </c>
      <c r="K984" t="s">
        <v>102</v>
      </c>
      <c r="L984" t="s">
        <v>28</v>
      </c>
      <c r="M984" t="s">
        <v>47</v>
      </c>
      <c r="N984" t="s">
        <v>48</v>
      </c>
      <c r="O984" t="s">
        <v>49</v>
      </c>
      <c r="P984">
        <v>5</v>
      </c>
      <c r="Q984" t="b">
        <v>0</v>
      </c>
      <c r="R984" s="1">
        <v>45249.852777777778</v>
      </c>
      <c r="V984" s="2">
        <v>45249.852777777778</v>
      </c>
      <c r="W984">
        <v>11</v>
      </c>
      <c r="X984">
        <v>2023</v>
      </c>
      <c r="Y984" t="s">
        <v>172</v>
      </c>
      <c r="Z984">
        <v>5</v>
      </c>
    </row>
    <row r="985" spans="1:26" x14ac:dyDescent="0.45">
      <c r="A985">
        <v>3029</v>
      </c>
      <c r="B985">
        <v>1224</v>
      </c>
      <c r="C985" t="s">
        <v>694</v>
      </c>
      <c r="D985" t="s">
        <v>22</v>
      </c>
      <c r="E985">
        <v>71</v>
      </c>
      <c r="F985">
        <v>756</v>
      </c>
      <c r="G985" t="s">
        <v>695</v>
      </c>
      <c r="H985" t="s">
        <v>63</v>
      </c>
      <c r="I985" t="s">
        <v>64</v>
      </c>
      <c r="J985" t="s">
        <v>65</v>
      </c>
      <c r="K985" t="s">
        <v>66</v>
      </c>
      <c r="L985" t="s">
        <v>67</v>
      </c>
      <c r="M985" t="s">
        <v>68</v>
      </c>
      <c r="N985" t="s">
        <v>69</v>
      </c>
      <c r="O985" t="s">
        <v>70</v>
      </c>
      <c r="P985">
        <v>1</v>
      </c>
      <c r="Q985" t="b">
        <v>1</v>
      </c>
      <c r="R985" s="1">
        <v>44491.484027777777</v>
      </c>
      <c r="S985" s="1">
        <v>44496.006249999999</v>
      </c>
      <c r="T985" t="s">
        <v>109</v>
      </c>
      <c r="U985" t="b">
        <v>0</v>
      </c>
      <c r="V985" s="2">
        <v>44491.484027777777</v>
      </c>
      <c r="W985">
        <v>10</v>
      </c>
      <c r="X985">
        <v>2021</v>
      </c>
      <c r="Y985" t="s">
        <v>63</v>
      </c>
      <c r="Z985">
        <v>1</v>
      </c>
    </row>
    <row r="986" spans="1:26" x14ac:dyDescent="0.45">
      <c r="A986">
        <v>3030</v>
      </c>
      <c r="B986">
        <v>1096</v>
      </c>
      <c r="C986" t="s">
        <v>696</v>
      </c>
      <c r="D986" t="s">
        <v>22</v>
      </c>
      <c r="E986">
        <v>64</v>
      </c>
      <c r="F986">
        <v>746</v>
      </c>
      <c r="G986" t="s">
        <v>697</v>
      </c>
      <c r="H986" t="s">
        <v>24</v>
      </c>
      <c r="I986" t="s">
        <v>25</v>
      </c>
      <c r="J986" t="s">
        <v>188</v>
      </c>
      <c r="K986" t="s">
        <v>46</v>
      </c>
      <c r="L986" t="s">
        <v>56</v>
      </c>
      <c r="M986" t="s">
        <v>179</v>
      </c>
      <c r="N986" t="s">
        <v>79</v>
      </c>
      <c r="O986" t="s">
        <v>161</v>
      </c>
      <c r="P986">
        <v>1</v>
      </c>
      <c r="Q986" t="b">
        <v>1</v>
      </c>
      <c r="R986" s="1">
        <v>45126.828472222223</v>
      </c>
      <c r="S986" s="1">
        <v>45132.718055555553</v>
      </c>
      <c r="T986" t="s">
        <v>109</v>
      </c>
      <c r="U986" t="b">
        <v>0</v>
      </c>
      <c r="V986" s="2">
        <v>45126.828472222223</v>
      </c>
      <c r="W986">
        <v>7</v>
      </c>
      <c r="X986">
        <v>2023</v>
      </c>
      <c r="Y986" t="s">
        <v>24</v>
      </c>
      <c r="Z986">
        <v>1</v>
      </c>
    </row>
    <row r="987" spans="1:26" x14ac:dyDescent="0.45">
      <c r="A987">
        <v>3031</v>
      </c>
      <c r="B987">
        <v>1270</v>
      </c>
      <c r="C987" t="s">
        <v>698</v>
      </c>
      <c r="D987" t="s">
        <v>22</v>
      </c>
      <c r="E987">
        <v>75</v>
      </c>
      <c r="F987">
        <v>755</v>
      </c>
      <c r="G987" t="s">
        <v>699</v>
      </c>
      <c r="H987" t="s">
        <v>129</v>
      </c>
      <c r="I987" t="s">
        <v>263</v>
      </c>
      <c r="J987" t="s">
        <v>316</v>
      </c>
      <c r="K987" t="s">
        <v>66</v>
      </c>
      <c r="L987" t="s">
        <v>76</v>
      </c>
      <c r="M987" t="s">
        <v>132</v>
      </c>
      <c r="N987" t="s">
        <v>59</v>
      </c>
      <c r="O987" t="s">
        <v>98</v>
      </c>
      <c r="P987">
        <v>5</v>
      </c>
      <c r="Q987" t="b">
        <v>0</v>
      </c>
      <c r="R987" s="1">
        <v>45006.090277777781</v>
      </c>
      <c r="V987" s="2">
        <v>45006.090277777781</v>
      </c>
      <c r="W987">
        <v>3</v>
      </c>
      <c r="X987">
        <v>2023</v>
      </c>
      <c r="Y987" t="s">
        <v>129</v>
      </c>
      <c r="Z987">
        <v>5</v>
      </c>
    </row>
    <row r="988" spans="1:26" x14ac:dyDescent="0.45">
      <c r="A988">
        <v>3032</v>
      </c>
      <c r="B988">
        <v>1497</v>
      </c>
      <c r="C988" t="s">
        <v>533</v>
      </c>
      <c r="D988" t="s">
        <v>22</v>
      </c>
      <c r="E988">
        <v>23</v>
      </c>
      <c r="F988">
        <v>625</v>
      </c>
      <c r="G988" t="s">
        <v>534</v>
      </c>
      <c r="H988" t="s">
        <v>85</v>
      </c>
      <c r="I988" t="s">
        <v>86</v>
      </c>
      <c r="J988" t="s">
        <v>182</v>
      </c>
      <c r="K988" t="s">
        <v>66</v>
      </c>
      <c r="L988" t="s">
        <v>28</v>
      </c>
      <c r="M988" t="s">
        <v>142</v>
      </c>
      <c r="N988" t="s">
        <v>143</v>
      </c>
      <c r="O988" t="s">
        <v>144</v>
      </c>
      <c r="P988">
        <v>1</v>
      </c>
      <c r="Q988" t="b">
        <v>1</v>
      </c>
      <c r="R988" s="1">
        <v>45207.746527777781</v>
      </c>
      <c r="S988" s="1">
        <v>45212.881944444445</v>
      </c>
      <c r="T988" t="s">
        <v>40</v>
      </c>
      <c r="U988" t="b">
        <v>0</v>
      </c>
      <c r="V988" s="2">
        <v>45207.746527777781</v>
      </c>
      <c r="W988">
        <v>10</v>
      </c>
      <c r="X988">
        <v>2023</v>
      </c>
      <c r="Y988" t="s">
        <v>85</v>
      </c>
      <c r="Z988">
        <v>1</v>
      </c>
    </row>
    <row r="989" spans="1:26" x14ac:dyDescent="0.45">
      <c r="A989">
        <v>3033</v>
      </c>
      <c r="B989">
        <v>1037</v>
      </c>
      <c r="C989" t="s">
        <v>700</v>
      </c>
      <c r="D989" t="s">
        <v>22</v>
      </c>
      <c r="E989">
        <v>45</v>
      </c>
      <c r="F989">
        <v>715</v>
      </c>
      <c r="G989" t="s">
        <v>701</v>
      </c>
      <c r="H989" t="s">
        <v>85</v>
      </c>
      <c r="I989" t="s">
        <v>116</v>
      </c>
      <c r="J989" t="s">
        <v>117</v>
      </c>
      <c r="K989" t="s">
        <v>55</v>
      </c>
      <c r="L989" t="s">
        <v>67</v>
      </c>
      <c r="M989" t="s">
        <v>68</v>
      </c>
      <c r="N989" t="s">
        <v>69</v>
      </c>
      <c r="O989" t="s">
        <v>70</v>
      </c>
      <c r="P989">
        <v>4</v>
      </c>
      <c r="Q989" t="b">
        <v>1</v>
      </c>
      <c r="R989" s="1">
        <v>45230.756944444445</v>
      </c>
      <c r="S989" s="1">
        <v>45233.032638888886</v>
      </c>
      <c r="T989" t="s">
        <v>60</v>
      </c>
      <c r="U989" t="b">
        <v>0</v>
      </c>
      <c r="V989" s="2">
        <v>45230.756944444445</v>
      </c>
      <c r="W989">
        <v>10</v>
      </c>
      <c r="X989">
        <v>2023</v>
      </c>
      <c r="Y989" t="s">
        <v>85</v>
      </c>
      <c r="Z989">
        <v>4</v>
      </c>
    </row>
    <row r="990" spans="1:26" x14ac:dyDescent="0.45">
      <c r="A990">
        <v>3034</v>
      </c>
      <c r="B990">
        <v>1175</v>
      </c>
      <c r="C990" t="s">
        <v>597</v>
      </c>
      <c r="D990" t="s">
        <v>22</v>
      </c>
      <c r="E990">
        <v>59</v>
      </c>
      <c r="F990">
        <v>755</v>
      </c>
      <c r="G990" t="s">
        <v>598</v>
      </c>
      <c r="H990" t="s">
        <v>172</v>
      </c>
      <c r="I990" t="s">
        <v>177</v>
      </c>
      <c r="J990" t="s">
        <v>178</v>
      </c>
      <c r="K990" t="s">
        <v>55</v>
      </c>
      <c r="L990" t="s">
        <v>67</v>
      </c>
      <c r="M990" t="s">
        <v>165</v>
      </c>
      <c r="N990" t="s">
        <v>166</v>
      </c>
      <c r="O990" t="s">
        <v>167</v>
      </c>
      <c r="P990">
        <v>3</v>
      </c>
      <c r="Q990" t="b">
        <v>0</v>
      </c>
      <c r="R990" s="1">
        <v>44736.395138888889</v>
      </c>
      <c r="V990" s="2">
        <v>44736.395138888889</v>
      </c>
      <c r="W990">
        <v>6</v>
      </c>
      <c r="X990">
        <v>2022</v>
      </c>
      <c r="Y990" t="s">
        <v>172</v>
      </c>
      <c r="Z990">
        <v>3</v>
      </c>
    </row>
    <row r="991" spans="1:26" x14ac:dyDescent="0.45">
      <c r="A991">
        <v>3035</v>
      </c>
      <c r="B991">
        <v>1025</v>
      </c>
      <c r="C991" t="s">
        <v>282</v>
      </c>
      <c r="D991" t="s">
        <v>42</v>
      </c>
      <c r="E991">
        <v>76</v>
      </c>
      <c r="F991">
        <v>742</v>
      </c>
      <c r="G991" t="s">
        <v>283</v>
      </c>
      <c r="H991" t="s">
        <v>52</v>
      </c>
      <c r="I991" t="s">
        <v>53</v>
      </c>
      <c r="J991" t="s">
        <v>284</v>
      </c>
      <c r="K991" t="s">
        <v>66</v>
      </c>
      <c r="L991" t="s">
        <v>67</v>
      </c>
      <c r="M991" t="s">
        <v>68</v>
      </c>
      <c r="N991" t="s">
        <v>69</v>
      </c>
      <c r="O991" t="s">
        <v>70</v>
      </c>
      <c r="P991">
        <v>3</v>
      </c>
      <c r="Q991" t="b">
        <v>1</v>
      </c>
      <c r="R991" s="1">
        <v>45001.238888888889</v>
      </c>
      <c r="S991" s="1">
        <v>45002.909722222219</v>
      </c>
      <c r="T991" t="s">
        <v>60</v>
      </c>
      <c r="U991" t="b">
        <v>0</v>
      </c>
      <c r="V991" s="2">
        <v>45001.238888888889</v>
      </c>
      <c r="W991">
        <v>3</v>
      </c>
      <c r="X991">
        <v>2023</v>
      </c>
      <c r="Y991" t="s">
        <v>52</v>
      </c>
      <c r="Z991">
        <v>3</v>
      </c>
    </row>
    <row r="992" spans="1:26" x14ac:dyDescent="0.45">
      <c r="A992">
        <v>3036</v>
      </c>
      <c r="B992">
        <v>1310</v>
      </c>
      <c r="C992" t="s">
        <v>50</v>
      </c>
      <c r="D992" t="s">
        <v>42</v>
      </c>
      <c r="E992">
        <v>57</v>
      </c>
      <c r="F992">
        <v>709</v>
      </c>
      <c r="G992" t="s">
        <v>51</v>
      </c>
      <c r="H992" t="s">
        <v>52</v>
      </c>
      <c r="I992" t="s">
        <v>53</v>
      </c>
      <c r="J992" t="s">
        <v>54</v>
      </c>
      <c r="K992" t="s">
        <v>66</v>
      </c>
      <c r="L992" t="s">
        <v>28</v>
      </c>
      <c r="M992" t="s">
        <v>29</v>
      </c>
      <c r="N992" t="s">
        <v>30</v>
      </c>
      <c r="O992" t="s">
        <v>31</v>
      </c>
      <c r="P992">
        <v>2</v>
      </c>
      <c r="Q992" t="b">
        <v>1</v>
      </c>
      <c r="R992" s="1">
        <v>45240.568749999999</v>
      </c>
      <c r="S992" s="1">
        <v>45244.888888888891</v>
      </c>
      <c r="T992" t="s">
        <v>40</v>
      </c>
      <c r="U992" t="b">
        <v>0</v>
      </c>
      <c r="V992" s="2">
        <v>45240.568749999999</v>
      </c>
      <c r="W992">
        <v>11</v>
      </c>
      <c r="X992">
        <v>2023</v>
      </c>
      <c r="Y992" t="s">
        <v>52</v>
      </c>
      <c r="Z992">
        <v>2</v>
      </c>
    </row>
    <row r="993" spans="1:26" x14ac:dyDescent="0.45">
      <c r="A993">
        <v>3037</v>
      </c>
      <c r="B993">
        <v>1279</v>
      </c>
      <c r="C993" t="s">
        <v>702</v>
      </c>
      <c r="D993" t="s">
        <v>22</v>
      </c>
      <c r="E993">
        <v>34</v>
      </c>
      <c r="F993">
        <v>689</v>
      </c>
      <c r="G993" t="s">
        <v>703</v>
      </c>
      <c r="H993" t="s">
        <v>85</v>
      </c>
      <c r="I993" t="s">
        <v>86</v>
      </c>
      <c r="J993" t="s">
        <v>87</v>
      </c>
      <c r="K993" t="s">
        <v>66</v>
      </c>
      <c r="L993" t="s">
        <v>56</v>
      </c>
      <c r="M993" t="s">
        <v>197</v>
      </c>
      <c r="N993" t="s">
        <v>198</v>
      </c>
      <c r="O993" t="s">
        <v>199</v>
      </c>
      <c r="P993">
        <v>4</v>
      </c>
      <c r="Q993" t="b">
        <v>1</v>
      </c>
      <c r="R993" s="1">
        <v>45165.793749999997</v>
      </c>
      <c r="S993" s="1">
        <v>45171.086111111108</v>
      </c>
      <c r="T993" t="s">
        <v>60</v>
      </c>
      <c r="U993" t="b">
        <v>0</v>
      </c>
      <c r="V993" s="2">
        <v>45165.793749999997</v>
      </c>
      <c r="W993">
        <v>8</v>
      </c>
      <c r="X993">
        <v>2023</v>
      </c>
      <c r="Y993" t="s">
        <v>85</v>
      </c>
      <c r="Z993">
        <v>4</v>
      </c>
    </row>
    <row r="994" spans="1:26" x14ac:dyDescent="0.45">
      <c r="A994">
        <v>3038</v>
      </c>
      <c r="B994">
        <v>1010</v>
      </c>
      <c r="C994" t="s">
        <v>569</v>
      </c>
      <c r="D994" t="s">
        <v>42</v>
      </c>
      <c r="E994">
        <v>32</v>
      </c>
      <c r="F994">
        <v>698</v>
      </c>
      <c r="G994" t="s">
        <v>570</v>
      </c>
      <c r="H994" t="s">
        <v>63</v>
      </c>
      <c r="I994" t="s">
        <v>300</v>
      </c>
      <c r="J994" t="s">
        <v>388</v>
      </c>
      <c r="K994" t="s">
        <v>46</v>
      </c>
      <c r="L994" t="s">
        <v>96</v>
      </c>
      <c r="M994" t="s">
        <v>136</v>
      </c>
      <c r="N994" t="s">
        <v>30</v>
      </c>
      <c r="O994" t="s">
        <v>137</v>
      </c>
      <c r="P994">
        <v>3</v>
      </c>
      <c r="Q994" t="b">
        <v>0</v>
      </c>
      <c r="R994" s="1">
        <v>45021.450694444444</v>
      </c>
      <c r="V994" s="2">
        <v>45021.450694444444</v>
      </c>
      <c r="W994">
        <v>4</v>
      </c>
      <c r="X994">
        <v>2023</v>
      </c>
      <c r="Y994" t="s">
        <v>63</v>
      </c>
      <c r="Z994">
        <v>3</v>
      </c>
    </row>
    <row r="995" spans="1:26" x14ac:dyDescent="0.45">
      <c r="A995">
        <v>3039</v>
      </c>
      <c r="B995">
        <v>1398</v>
      </c>
      <c r="C995" t="s">
        <v>627</v>
      </c>
      <c r="D995" t="s">
        <v>22</v>
      </c>
      <c r="E995">
        <v>29</v>
      </c>
      <c r="F995">
        <v>689</v>
      </c>
      <c r="G995" t="s">
        <v>628</v>
      </c>
      <c r="H995" t="s">
        <v>35</v>
      </c>
      <c r="I995" t="s">
        <v>122</v>
      </c>
      <c r="J995" t="s">
        <v>135</v>
      </c>
      <c r="K995" t="s">
        <v>102</v>
      </c>
      <c r="L995" t="s">
        <v>96</v>
      </c>
      <c r="M995" t="s">
        <v>103</v>
      </c>
      <c r="N995" t="s">
        <v>31</v>
      </c>
      <c r="O995" t="s">
        <v>104</v>
      </c>
      <c r="P995">
        <v>3</v>
      </c>
      <c r="Q995" t="b">
        <v>1</v>
      </c>
      <c r="R995" s="1">
        <v>44053.3</v>
      </c>
      <c r="S995" s="1">
        <v>44053.931944444441</v>
      </c>
      <c r="T995" t="s">
        <v>40</v>
      </c>
      <c r="U995" t="b">
        <v>0</v>
      </c>
      <c r="V995" s="2">
        <v>44053.3</v>
      </c>
      <c r="W995">
        <v>8</v>
      </c>
      <c r="X995">
        <v>2020</v>
      </c>
      <c r="Y995" t="s">
        <v>35</v>
      </c>
      <c r="Z995">
        <v>3</v>
      </c>
    </row>
    <row r="996" spans="1:26" x14ac:dyDescent="0.45">
      <c r="A996">
        <v>3040</v>
      </c>
      <c r="B996">
        <v>1476</v>
      </c>
      <c r="C996" t="s">
        <v>704</v>
      </c>
      <c r="D996" t="s">
        <v>22</v>
      </c>
      <c r="E996">
        <v>41</v>
      </c>
      <c r="F996">
        <v>683</v>
      </c>
      <c r="G996" t="s">
        <v>705</v>
      </c>
      <c r="H996" t="s">
        <v>63</v>
      </c>
      <c r="I996" t="s">
        <v>64</v>
      </c>
      <c r="J996" t="s">
        <v>281</v>
      </c>
      <c r="K996" t="s">
        <v>37</v>
      </c>
      <c r="L996" t="s">
        <v>28</v>
      </c>
      <c r="M996" t="s">
        <v>142</v>
      </c>
      <c r="N996" t="s">
        <v>143</v>
      </c>
      <c r="O996" t="s">
        <v>144</v>
      </c>
      <c r="P996">
        <v>4</v>
      </c>
      <c r="Q996" t="b">
        <v>1</v>
      </c>
      <c r="R996" s="1">
        <v>44414.375694444447</v>
      </c>
      <c r="S996" s="1">
        <v>44415.547222222223</v>
      </c>
      <c r="T996" t="s">
        <v>60</v>
      </c>
      <c r="U996" t="b">
        <v>0</v>
      </c>
      <c r="V996" s="2">
        <v>44414.375694444447</v>
      </c>
      <c r="W996">
        <v>8</v>
      </c>
      <c r="X996">
        <v>2021</v>
      </c>
      <c r="Y996" t="s">
        <v>63</v>
      </c>
      <c r="Z996">
        <v>4</v>
      </c>
    </row>
    <row r="997" spans="1:26" x14ac:dyDescent="0.45">
      <c r="A997">
        <v>3041</v>
      </c>
      <c r="B997">
        <v>1365</v>
      </c>
      <c r="C997" t="s">
        <v>490</v>
      </c>
      <c r="D997" t="s">
        <v>42</v>
      </c>
      <c r="E997">
        <v>59</v>
      </c>
      <c r="F997">
        <v>741</v>
      </c>
      <c r="G997" t="s">
        <v>491</v>
      </c>
      <c r="H997" t="s">
        <v>93</v>
      </c>
      <c r="I997" t="s">
        <v>94</v>
      </c>
      <c r="J997" t="s">
        <v>107</v>
      </c>
      <c r="K997" t="s">
        <v>46</v>
      </c>
      <c r="L997" t="s">
        <v>56</v>
      </c>
      <c r="M997" t="s">
        <v>88</v>
      </c>
      <c r="N997" t="s">
        <v>89</v>
      </c>
      <c r="O997" t="s">
        <v>90</v>
      </c>
      <c r="P997">
        <v>4</v>
      </c>
      <c r="Q997" t="b">
        <v>0</v>
      </c>
      <c r="R997" s="1">
        <v>44646.577777777777</v>
      </c>
      <c r="V997" s="2">
        <v>44646.577777777777</v>
      </c>
      <c r="W997">
        <v>3</v>
      </c>
      <c r="X997">
        <v>2022</v>
      </c>
      <c r="Y997" t="s">
        <v>93</v>
      </c>
      <c r="Z997">
        <v>4</v>
      </c>
    </row>
    <row r="998" spans="1:26" x14ac:dyDescent="0.45">
      <c r="A998">
        <v>3043</v>
      </c>
      <c r="B998">
        <v>1079</v>
      </c>
      <c r="C998" t="s">
        <v>478</v>
      </c>
      <c r="D998" t="s">
        <v>22</v>
      </c>
      <c r="E998">
        <v>38</v>
      </c>
      <c r="F998">
        <v>686</v>
      </c>
      <c r="G998" t="s">
        <v>479</v>
      </c>
      <c r="H998" t="s">
        <v>24</v>
      </c>
      <c r="I998" t="s">
        <v>44</v>
      </c>
      <c r="J998" t="s">
        <v>225</v>
      </c>
      <c r="K998" t="s">
        <v>66</v>
      </c>
      <c r="L998" t="s">
        <v>56</v>
      </c>
      <c r="M998" t="s">
        <v>57</v>
      </c>
      <c r="N998" t="s">
        <v>58</v>
      </c>
      <c r="O998" t="s">
        <v>59</v>
      </c>
      <c r="P998">
        <v>3</v>
      </c>
      <c r="Q998" t="b">
        <v>1</v>
      </c>
      <c r="R998" s="1">
        <v>45002.334027777775</v>
      </c>
      <c r="S998" s="1">
        <v>45007.095833333333</v>
      </c>
      <c r="T998" t="s">
        <v>60</v>
      </c>
      <c r="U998" t="b">
        <v>0</v>
      </c>
      <c r="V998" s="2">
        <v>45002.334027777775</v>
      </c>
      <c r="W998">
        <v>3</v>
      </c>
      <c r="X998">
        <v>2023</v>
      </c>
      <c r="Y998" t="s">
        <v>24</v>
      </c>
      <c r="Z998">
        <v>3</v>
      </c>
    </row>
    <row r="999" spans="1:26" x14ac:dyDescent="0.45">
      <c r="A999">
        <v>3044</v>
      </c>
      <c r="B999">
        <v>1422</v>
      </c>
      <c r="C999" t="s">
        <v>348</v>
      </c>
      <c r="D999" t="s">
        <v>42</v>
      </c>
      <c r="E999">
        <v>40</v>
      </c>
      <c r="F999">
        <v>681</v>
      </c>
      <c r="G999" t="s">
        <v>349</v>
      </c>
      <c r="H999" t="s">
        <v>52</v>
      </c>
      <c r="I999" t="s">
        <v>150</v>
      </c>
      <c r="J999" t="s">
        <v>205</v>
      </c>
      <c r="K999" t="s">
        <v>66</v>
      </c>
      <c r="L999" t="s">
        <v>56</v>
      </c>
      <c r="M999" t="s">
        <v>197</v>
      </c>
      <c r="N999" t="s">
        <v>198</v>
      </c>
      <c r="O999" t="s">
        <v>199</v>
      </c>
      <c r="P999">
        <v>5</v>
      </c>
      <c r="Q999" t="b">
        <v>0</v>
      </c>
      <c r="R999" s="1">
        <v>44793.929166666669</v>
      </c>
      <c r="V999" s="2">
        <v>44793.929166666669</v>
      </c>
      <c r="W999">
        <v>8</v>
      </c>
      <c r="X999">
        <v>2022</v>
      </c>
      <c r="Y999" t="s">
        <v>52</v>
      </c>
      <c r="Z999">
        <v>5</v>
      </c>
    </row>
    <row r="1000" spans="1:26" x14ac:dyDescent="0.45">
      <c r="A1000">
        <v>3045</v>
      </c>
      <c r="B1000">
        <v>1401</v>
      </c>
      <c r="C1000" t="s">
        <v>706</v>
      </c>
      <c r="D1000" t="s">
        <v>22</v>
      </c>
      <c r="E1000">
        <v>75</v>
      </c>
      <c r="F1000">
        <v>745</v>
      </c>
      <c r="G1000" t="s">
        <v>707</v>
      </c>
      <c r="H1000" t="s">
        <v>63</v>
      </c>
      <c r="I1000" t="s">
        <v>300</v>
      </c>
      <c r="J1000" t="s">
        <v>388</v>
      </c>
      <c r="K1000" t="s">
        <v>46</v>
      </c>
      <c r="L1000" t="s">
        <v>28</v>
      </c>
      <c r="M1000" t="s">
        <v>29</v>
      </c>
      <c r="N1000" t="s">
        <v>30</v>
      </c>
      <c r="O1000" t="s">
        <v>31</v>
      </c>
      <c r="P1000">
        <v>5</v>
      </c>
      <c r="Q1000" t="b">
        <v>1</v>
      </c>
      <c r="R1000" s="1">
        <v>44646.690972222219</v>
      </c>
      <c r="S1000" s="1">
        <v>44651.17083333333</v>
      </c>
      <c r="T1000" t="s">
        <v>32</v>
      </c>
      <c r="U1000" t="b">
        <v>1</v>
      </c>
      <c r="V1000" s="2">
        <v>44646.690972222219</v>
      </c>
      <c r="W1000">
        <v>3</v>
      </c>
      <c r="X1000">
        <v>2022</v>
      </c>
      <c r="Y1000" t="s">
        <v>63</v>
      </c>
      <c r="Z1000">
        <v>5</v>
      </c>
    </row>
    <row r="1001" spans="1:26" x14ac:dyDescent="0.45">
      <c r="A1001">
        <v>3046</v>
      </c>
      <c r="B1001">
        <v>1108</v>
      </c>
      <c r="C1001" t="s">
        <v>708</v>
      </c>
      <c r="D1001" t="s">
        <v>22</v>
      </c>
      <c r="E1001">
        <v>59</v>
      </c>
      <c r="F1001">
        <v>756</v>
      </c>
      <c r="G1001" t="s">
        <v>134</v>
      </c>
      <c r="H1001" t="s">
        <v>93</v>
      </c>
      <c r="I1001" t="s">
        <v>112</v>
      </c>
      <c r="J1001" t="s">
        <v>113</v>
      </c>
      <c r="K1001" t="s">
        <v>55</v>
      </c>
      <c r="L1001" t="s">
        <v>96</v>
      </c>
      <c r="M1001" t="s">
        <v>118</v>
      </c>
      <c r="N1001" t="s">
        <v>90</v>
      </c>
      <c r="O1001" t="s">
        <v>119</v>
      </c>
      <c r="P1001">
        <v>2</v>
      </c>
      <c r="Q1001" t="b">
        <v>1</v>
      </c>
      <c r="R1001" s="1">
        <v>44195.058333333334</v>
      </c>
      <c r="S1001" s="1">
        <v>44197.896527777775</v>
      </c>
      <c r="T1001" t="s">
        <v>32</v>
      </c>
      <c r="U1001" t="b">
        <v>0</v>
      </c>
      <c r="V1001" s="2">
        <v>44195.058333333334</v>
      </c>
      <c r="W1001">
        <v>12</v>
      </c>
      <c r="X1001">
        <v>2020</v>
      </c>
      <c r="Y1001" t="s">
        <v>93</v>
      </c>
      <c r="Z1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001"/>
  <sheetViews>
    <sheetView workbookViewId="0">
      <selection activeCell="L5" sqref="L5"/>
    </sheetView>
  </sheetViews>
  <sheetFormatPr defaultRowHeight="14.25" x14ac:dyDescent="0.45"/>
  <cols>
    <col min="1" max="1" width="14.86328125" style="2" bestFit="1" customWidth="1"/>
    <col min="8" max="8" width="11.9296875" bestFit="1" customWidth="1"/>
    <col min="9" max="9" width="9.265625" bestFit="1" customWidth="1"/>
    <col min="10" max="10" width="13.3984375" bestFit="1" customWidth="1"/>
  </cols>
  <sheetData>
    <row r="1" spans="1:12" x14ac:dyDescent="0.45">
      <c r="A1" s="3" t="s">
        <v>709</v>
      </c>
      <c r="B1" s="4" t="s">
        <v>710</v>
      </c>
      <c r="C1" s="4" t="s">
        <v>711</v>
      </c>
      <c r="D1" s="4" t="s">
        <v>712</v>
      </c>
      <c r="E1" s="4" t="s">
        <v>713</v>
      </c>
      <c r="H1" s="5" t="s">
        <v>709</v>
      </c>
      <c r="I1" s="5" t="s">
        <v>712</v>
      </c>
      <c r="J1" t="s">
        <v>716</v>
      </c>
    </row>
    <row r="2" spans="1:12" x14ac:dyDescent="0.45">
      <c r="A2" s="2">
        <v>45291</v>
      </c>
      <c r="B2">
        <v>12</v>
      </c>
      <c r="C2">
        <v>2023</v>
      </c>
      <c r="D2" t="s">
        <v>52</v>
      </c>
      <c r="E2">
        <v>4</v>
      </c>
      <c r="H2" s="2">
        <v>43832</v>
      </c>
      <c r="I2" t="s">
        <v>24</v>
      </c>
      <c r="J2">
        <v>4</v>
      </c>
      <c r="L2" t="s">
        <v>718</v>
      </c>
    </row>
    <row r="3" spans="1:12" x14ac:dyDescent="0.45">
      <c r="A3" s="2">
        <v>45290</v>
      </c>
      <c r="B3">
        <v>12</v>
      </c>
      <c r="C3">
        <v>2023</v>
      </c>
      <c r="D3" t="s">
        <v>24</v>
      </c>
      <c r="E3">
        <v>5</v>
      </c>
      <c r="H3" s="2">
        <v>43832</v>
      </c>
      <c r="I3" t="s">
        <v>172</v>
      </c>
      <c r="J3">
        <v>5</v>
      </c>
    </row>
    <row r="4" spans="1:12" x14ac:dyDescent="0.45">
      <c r="A4" s="2">
        <v>45287</v>
      </c>
      <c r="B4">
        <v>12</v>
      </c>
      <c r="C4">
        <v>2023</v>
      </c>
      <c r="D4" t="s">
        <v>73</v>
      </c>
      <c r="E4">
        <v>3</v>
      </c>
      <c r="H4" s="2">
        <v>43834</v>
      </c>
      <c r="I4" t="s">
        <v>172</v>
      </c>
      <c r="J4">
        <v>2</v>
      </c>
      <c r="L4" t="s">
        <v>719</v>
      </c>
    </row>
    <row r="5" spans="1:12" x14ac:dyDescent="0.45">
      <c r="A5" s="2">
        <v>45287</v>
      </c>
      <c r="B5">
        <v>12</v>
      </c>
      <c r="C5">
        <v>2023</v>
      </c>
      <c r="D5" t="s">
        <v>73</v>
      </c>
      <c r="E5">
        <v>2</v>
      </c>
      <c r="H5" s="2">
        <v>43837</v>
      </c>
      <c r="I5" t="s">
        <v>24</v>
      </c>
      <c r="J5">
        <v>1</v>
      </c>
    </row>
    <row r="6" spans="1:12" x14ac:dyDescent="0.45">
      <c r="A6" s="2">
        <v>45287</v>
      </c>
      <c r="B6">
        <v>12</v>
      </c>
      <c r="C6">
        <v>2023</v>
      </c>
      <c r="D6" t="s">
        <v>93</v>
      </c>
      <c r="E6">
        <v>3</v>
      </c>
      <c r="H6" s="2">
        <v>43838</v>
      </c>
      <c r="I6" t="s">
        <v>129</v>
      </c>
      <c r="J6">
        <v>10</v>
      </c>
    </row>
    <row r="7" spans="1:12" x14ac:dyDescent="0.45">
      <c r="A7" s="2">
        <v>45285</v>
      </c>
      <c r="B7">
        <v>12</v>
      </c>
      <c r="C7">
        <v>2023</v>
      </c>
      <c r="D7" t="s">
        <v>63</v>
      </c>
      <c r="E7">
        <v>5</v>
      </c>
      <c r="H7" s="2">
        <v>43841</v>
      </c>
      <c r="I7" t="s">
        <v>85</v>
      </c>
      <c r="J7">
        <v>4</v>
      </c>
    </row>
    <row r="8" spans="1:12" x14ac:dyDescent="0.45">
      <c r="A8" s="2">
        <v>45282</v>
      </c>
      <c r="B8">
        <v>12</v>
      </c>
      <c r="C8">
        <v>2023</v>
      </c>
      <c r="D8" t="s">
        <v>24</v>
      </c>
      <c r="E8">
        <v>4</v>
      </c>
      <c r="H8" s="2">
        <v>43844</v>
      </c>
      <c r="I8" t="s">
        <v>129</v>
      </c>
      <c r="J8">
        <v>5</v>
      </c>
    </row>
    <row r="9" spans="1:12" x14ac:dyDescent="0.45">
      <c r="A9" s="2">
        <v>45280</v>
      </c>
      <c r="B9">
        <v>12</v>
      </c>
      <c r="C9">
        <v>2023</v>
      </c>
      <c r="D9" t="s">
        <v>129</v>
      </c>
      <c r="E9">
        <v>1</v>
      </c>
      <c r="H9" s="2">
        <v>43845</v>
      </c>
      <c r="I9" t="s">
        <v>93</v>
      </c>
      <c r="J9">
        <v>4</v>
      </c>
    </row>
    <row r="10" spans="1:12" x14ac:dyDescent="0.45">
      <c r="A10" s="2">
        <v>45280</v>
      </c>
      <c r="B10">
        <v>12</v>
      </c>
      <c r="C10">
        <v>2023</v>
      </c>
      <c r="D10" t="s">
        <v>73</v>
      </c>
      <c r="E10">
        <v>3</v>
      </c>
      <c r="H10" s="2">
        <v>43853</v>
      </c>
      <c r="I10" t="s">
        <v>85</v>
      </c>
      <c r="J10">
        <v>1</v>
      </c>
    </row>
    <row r="11" spans="1:12" x14ac:dyDescent="0.45">
      <c r="A11" s="2">
        <v>45279</v>
      </c>
      <c r="B11">
        <v>12</v>
      </c>
      <c r="C11">
        <v>2023</v>
      </c>
      <c r="D11" t="s">
        <v>24</v>
      </c>
      <c r="E11">
        <v>4</v>
      </c>
      <c r="H11" s="2">
        <v>43853</v>
      </c>
      <c r="I11" t="s">
        <v>172</v>
      </c>
      <c r="J11">
        <v>1</v>
      </c>
    </row>
    <row r="12" spans="1:12" x14ac:dyDescent="0.45">
      <c r="A12" s="2">
        <v>45279</v>
      </c>
      <c r="B12">
        <v>12</v>
      </c>
      <c r="C12">
        <v>2023</v>
      </c>
      <c r="D12" t="s">
        <v>52</v>
      </c>
      <c r="E12">
        <v>2</v>
      </c>
      <c r="H12" s="2">
        <v>43860</v>
      </c>
      <c r="I12" t="s">
        <v>73</v>
      </c>
      <c r="J12">
        <v>5</v>
      </c>
    </row>
    <row r="13" spans="1:12" x14ac:dyDescent="0.45">
      <c r="A13" s="2">
        <v>45278</v>
      </c>
      <c r="B13">
        <v>12</v>
      </c>
      <c r="C13">
        <v>2023</v>
      </c>
      <c r="D13" t="s">
        <v>93</v>
      </c>
      <c r="E13">
        <v>4</v>
      </c>
      <c r="H13" s="2">
        <v>43860</v>
      </c>
      <c r="I13" t="s">
        <v>93</v>
      </c>
      <c r="J13">
        <v>5</v>
      </c>
    </row>
    <row r="14" spans="1:12" x14ac:dyDescent="0.45">
      <c r="A14" s="2">
        <v>45277</v>
      </c>
      <c r="B14">
        <v>12</v>
      </c>
      <c r="C14">
        <v>2023</v>
      </c>
      <c r="D14" t="s">
        <v>93</v>
      </c>
      <c r="E14">
        <v>2</v>
      </c>
      <c r="H14" s="2">
        <v>43860</v>
      </c>
      <c r="I14" t="s">
        <v>52</v>
      </c>
      <c r="J14">
        <v>5</v>
      </c>
    </row>
    <row r="15" spans="1:12" x14ac:dyDescent="0.45">
      <c r="A15" s="2">
        <v>45275</v>
      </c>
      <c r="B15">
        <v>12</v>
      </c>
      <c r="C15">
        <v>2023</v>
      </c>
      <c r="D15" t="s">
        <v>52</v>
      </c>
      <c r="E15">
        <v>4</v>
      </c>
      <c r="H15" s="2">
        <v>43860</v>
      </c>
      <c r="I15" t="s">
        <v>172</v>
      </c>
      <c r="J15">
        <v>1</v>
      </c>
    </row>
    <row r="16" spans="1:12" x14ac:dyDescent="0.45">
      <c r="A16" s="2">
        <v>45270</v>
      </c>
      <c r="B16">
        <v>12</v>
      </c>
      <c r="C16">
        <v>2023</v>
      </c>
      <c r="D16" t="s">
        <v>63</v>
      </c>
      <c r="E16">
        <v>1</v>
      </c>
      <c r="H16" s="2">
        <v>43861</v>
      </c>
      <c r="I16" t="s">
        <v>129</v>
      </c>
      <c r="J16">
        <v>4</v>
      </c>
    </row>
    <row r="17" spans="1:10" x14ac:dyDescent="0.45">
      <c r="A17" s="2">
        <v>45269</v>
      </c>
      <c r="B17">
        <v>12</v>
      </c>
      <c r="C17">
        <v>2023</v>
      </c>
      <c r="D17" t="s">
        <v>52</v>
      </c>
      <c r="E17">
        <v>2</v>
      </c>
      <c r="H17" s="2">
        <v>43861</v>
      </c>
      <c r="I17" t="s">
        <v>52</v>
      </c>
      <c r="J17">
        <v>2</v>
      </c>
    </row>
    <row r="18" spans="1:10" x14ac:dyDescent="0.45">
      <c r="A18" s="2">
        <v>45269</v>
      </c>
      <c r="B18">
        <v>12</v>
      </c>
      <c r="C18">
        <v>2023</v>
      </c>
      <c r="D18" t="s">
        <v>35</v>
      </c>
      <c r="E18">
        <v>4</v>
      </c>
      <c r="H18" s="2">
        <v>43862</v>
      </c>
      <c r="I18" t="s">
        <v>129</v>
      </c>
      <c r="J18">
        <v>4</v>
      </c>
    </row>
    <row r="19" spans="1:10" x14ac:dyDescent="0.45">
      <c r="A19" s="2">
        <v>45268</v>
      </c>
      <c r="B19">
        <v>12</v>
      </c>
      <c r="C19">
        <v>2023</v>
      </c>
      <c r="D19" t="s">
        <v>63</v>
      </c>
      <c r="E19">
        <v>4</v>
      </c>
      <c r="H19" s="2">
        <v>43863</v>
      </c>
      <c r="I19" t="s">
        <v>35</v>
      </c>
      <c r="J19">
        <v>3</v>
      </c>
    </row>
    <row r="20" spans="1:10" x14ac:dyDescent="0.45">
      <c r="A20" s="2">
        <v>45268</v>
      </c>
      <c r="B20">
        <v>12</v>
      </c>
      <c r="C20">
        <v>2023</v>
      </c>
      <c r="D20" t="s">
        <v>93</v>
      </c>
      <c r="E20">
        <v>4</v>
      </c>
      <c r="H20" s="2">
        <v>43867</v>
      </c>
      <c r="I20" t="s">
        <v>73</v>
      </c>
      <c r="J20">
        <v>3</v>
      </c>
    </row>
    <row r="21" spans="1:10" x14ac:dyDescent="0.45">
      <c r="A21" s="2">
        <v>45266</v>
      </c>
      <c r="B21">
        <v>12</v>
      </c>
      <c r="C21">
        <v>2023</v>
      </c>
      <c r="D21" t="s">
        <v>24</v>
      </c>
      <c r="E21">
        <v>4</v>
      </c>
      <c r="H21" s="2">
        <v>43867</v>
      </c>
      <c r="I21" t="s">
        <v>172</v>
      </c>
      <c r="J21">
        <v>1</v>
      </c>
    </row>
    <row r="22" spans="1:10" x14ac:dyDescent="0.45">
      <c r="A22" s="2">
        <v>45264</v>
      </c>
      <c r="B22">
        <v>12</v>
      </c>
      <c r="C22">
        <v>2023</v>
      </c>
      <c r="D22" t="s">
        <v>24</v>
      </c>
      <c r="E22">
        <v>4</v>
      </c>
      <c r="H22" s="2">
        <v>43868</v>
      </c>
      <c r="I22" t="s">
        <v>93</v>
      </c>
      <c r="J22">
        <v>1</v>
      </c>
    </row>
    <row r="23" spans="1:10" x14ac:dyDescent="0.45">
      <c r="A23" s="2">
        <v>45264</v>
      </c>
      <c r="B23">
        <v>12</v>
      </c>
      <c r="C23">
        <v>2023</v>
      </c>
      <c r="D23" t="s">
        <v>93</v>
      </c>
      <c r="E23">
        <v>1</v>
      </c>
      <c r="H23" s="2">
        <v>43870</v>
      </c>
      <c r="I23" t="s">
        <v>52</v>
      </c>
      <c r="J23">
        <v>5</v>
      </c>
    </row>
    <row r="24" spans="1:10" x14ac:dyDescent="0.45">
      <c r="A24" s="2">
        <v>45263</v>
      </c>
      <c r="B24">
        <v>12</v>
      </c>
      <c r="C24">
        <v>2023</v>
      </c>
      <c r="D24" t="s">
        <v>24</v>
      </c>
      <c r="E24">
        <v>5</v>
      </c>
      <c r="H24" s="2">
        <v>43871</v>
      </c>
      <c r="I24" t="s">
        <v>85</v>
      </c>
      <c r="J24">
        <v>5</v>
      </c>
    </row>
    <row r="25" spans="1:10" x14ac:dyDescent="0.45">
      <c r="A25" s="2">
        <v>45263</v>
      </c>
      <c r="B25">
        <v>12</v>
      </c>
      <c r="C25">
        <v>2023</v>
      </c>
      <c r="D25" t="s">
        <v>35</v>
      </c>
      <c r="E25">
        <v>2</v>
      </c>
      <c r="H25" s="2">
        <v>43871</v>
      </c>
      <c r="I25" t="s">
        <v>63</v>
      </c>
      <c r="J25">
        <v>5</v>
      </c>
    </row>
    <row r="26" spans="1:10" x14ac:dyDescent="0.45">
      <c r="A26" s="2">
        <v>45261</v>
      </c>
      <c r="B26">
        <v>12</v>
      </c>
      <c r="C26">
        <v>2023</v>
      </c>
      <c r="D26" t="s">
        <v>35</v>
      </c>
      <c r="E26">
        <v>3</v>
      </c>
      <c r="H26" s="2">
        <v>43872</v>
      </c>
      <c r="I26" t="s">
        <v>63</v>
      </c>
      <c r="J26">
        <v>4</v>
      </c>
    </row>
    <row r="27" spans="1:10" x14ac:dyDescent="0.45">
      <c r="A27" s="2">
        <v>45257</v>
      </c>
      <c r="B27">
        <v>11</v>
      </c>
      <c r="C27">
        <v>2023</v>
      </c>
      <c r="D27" t="s">
        <v>63</v>
      </c>
      <c r="E27">
        <v>3</v>
      </c>
      <c r="H27" s="2">
        <v>43873</v>
      </c>
      <c r="I27" t="s">
        <v>85</v>
      </c>
      <c r="J27">
        <v>2</v>
      </c>
    </row>
    <row r="28" spans="1:10" x14ac:dyDescent="0.45">
      <c r="A28" s="2">
        <v>45257</v>
      </c>
      <c r="B28">
        <v>11</v>
      </c>
      <c r="C28">
        <v>2023</v>
      </c>
      <c r="D28" t="s">
        <v>85</v>
      </c>
      <c r="E28">
        <v>5</v>
      </c>
      <c r="H28" s="2">
        <v>43873</v>
      </c>
      <c r="I28" t="s">
        <v>63</v>
      </c>
      <c r="J28">
        <v>2</v>
      </c>
    </row>
    <row r="29" spans="1:10" x14ac:dyDescent="0.45">
      <c r="A29" s="2">
        <v>45257</v>
      </c>
      <c r="B29">
        <v>11</v>
      </c>
      <c r="C29">
        <v>2023</v>
      </c>
      <c r="D29" t="s">
        <v>73</v>
      </c>
      <c r="E29">
        <v>3</v>
      </c>
      <c r="H29" s="2">
        <v>43874</v>
      </c>
      <c r="I29" t="s">
        <v>63</v>
      </c>
      <c r="J29">
        <v>1</v>
      </c>
    </row>
    <row r="30" spans="1:10" x14ac:dyDescent="0.45">
      <c r="A30" s="2">
        <v>45255</v>
      </c>
      <c r="B30">
        <v>11</v>
      </c>
      <c r="C30">
        <v>2023</v>
      </c>
      <c r="D30" t="s">
        <v>73</v>
      </c>
      <c r="E30">
        <v>1</v>
      </c>
      <c r="H30" s="2">
        <v>43878</v>
      </c>
      <c r="I30" t="s">
        <v>93</v>
      </c>
      <c r="J30">
        <v>3</v>
      </c>
    </row>
    <row r="31" spans="1:10" x14ac:dyDescent="0.45">
      <c r="A31" s="2">
        <v>45254</v>
      </c>
      <c r="B31">
        <v>11</v>
      </c>
      <c r="C31">
        <v>2023</v>
      </c>
      <c r="D31" t="s">
        <v>85</v>
      </c>
      <c r="E31">
        <v>2</v>
      </c>
      <c r="H31" s="2">
        <v>43878</v>
      </c>
      <c r="I31" t="s">
        <v>35</v>
      </c>
      <c r="J31">
        <v>2</v>
      </c>
    </row>
    <row r="32" spans="1:10" x14ac:dyDescent="0.45">
      <c r="A32" s="2">
        <v>45249</v>
      </c>
      <c r="B32">
        <v>11</v>
      </c>
      <c r="C32">
        <v>2023</v>
      </c>
      <c r="D32" t="s">
        <v>172</v>
      </c>
      <c r="E32">
        <v>5</v>
      </c>
      <c r="H32" s="2">
        <v>43880</v>
      </c>
      <c r="I32" t="s">
        <v>52</v>
      </c>
      <c r="J32">
        <v>5</v>
      </c>
    </row>
    <row r="33" spans="1:10" x14ac:dyDescent="0.45">
      <c r="A33" s="2">
        <v>45249</v>
      </c>
      <c r="B33">
        <v>11</v>
      </c>
      <c r="C33">
        <v>2023</v>
      </c>
      <c r="D33" t="s">
        <v>85</v>
      </c>
      <c r="E33">
        <v>4</v>
      </c>
      <c r="H33" s="2">
        <v>43880</v>
      </c>
      <c r="I33" t="s">
        <v>172</v>
      </c>
      <c r="J33">
        <v>5</v>
      </c>
    </row>
    <row r="34" spans="1:10" x14ac:dyDescent="0.45">
      <c r="A34" s="2">
        <v>45248</v>
      </c>
      <c r="B34">
        <v>11</v>
      </c>
      <c r="C34">
        <v>2023</v>
      </c>
      <c r="D34" t="s">
        <v>93</v>
      </c>
      <c r="E34">
        <v>1</v>
      </c>
      <c r="H34" s="2">
        <v>43882</v>
      </c>
      <c r="I34" t="s">
        <v>52</v>
      </c>
      <c r="J34">
        <v>4</v>
      </c>
    </row>
    <row r="35" spans="1:10" x14ac:dyDescent="0.45">
      <c r="A35" s="2">
        <v>45245</v>
      </c>
      <c r="B35">
        <v>11</v>
      </c>
      <c r="C35">
        <v>2023</v>
      </c>
      <c r="D35" t="s">
        <v>129</v>
      </c>
      <c r="E35">
        <v>3</v>
      </c>
      <c r="H35" s="2">
        <v>43885</v>
      </c>
      <c r="I35" t="s">
        <v>172</v>
      </c>
      <c r="J35">
        <v>5</v>
      </c>
    </row>
    <row r="36" spans="1:10" x14ac:dyDescent="0.45">
      <c r="A36" s="2">
        <v>45241</v>
      </c>
      <c r="B36">
        <v>11</v>
      </c>
      <c r="C36">
        <v>2023</v>
      </c>
      <c r="D36" t="s">
        <v>85</v>
      </c>
      <c r="E36">
        <v>2</v>
      </c>
      <c r="H36" s="2">
        <v>43886</v>
      </c>
      <c r="I36" t="s">
        <v>85</v>
      </c>
      <c r="J36">
        <v>5</v>
      </c>
    </row>
    <row r="37" spans="1:10" x14ac:dyDescent="0.45">
      <c r="A37" s="2">
        <v>45240</v>
      </c>
      <c r="B37">
        <v>11</v>
      </c>
      <c r="C37">
        <v>2023</v>
      </c>
      <c r="D37" t="s">
        <v>52</v>
      </c>
      <c r="E37">
        <v>2</v>
      </c>
      <c r="H37" s="2">
        <v>43889</v>
      </c>
      <c r="I37" t="s">
        <v>85</v>
      </c>
      <c r="J37">
        <v>2</v>
      </c>
    </row>
    <row r="38" spans="1:10" x14ac:dyDescent="0.45">
      <c r="A38" s="2">
        <v>45239</v>
      </c>
      <c r="B38">
        <v>11</v>
      </c>
      <c r="C38">
        <v>2023</v>
      </c>
      <c r="D38" t="s">
        <v>63</v>
      </c>
      <c r="E38">
        <v>2</v>
      </c>
      <c r="H38" s="2">
        <v>43889</v>
      </c>
      <c r="I38" t="s">
        <v>52</v>
      </c>
      <c r="J38">
        <v>2</v>
      </c>
    </row>
    <row r="39" spans="1:10" x14ac:dyDescent="0.45">
      <c r="A39" s="2">
        <v>45238</v>
      </c>
      <c r="B39">
        <v>11</v>
      </c>
      <c r="C39">
        <v>2023</v>
      </c>
      <c r="D39" t="s">
        <v>52</v>
      </c>
      <c r="E39">
        <v>3</v>
      </c>
      <c r="H39" s="2">
        <v>43889</v>
      </c>
      <c r="I39" t="s">
        <v>35</v>
      </c>
      <c r="J39">
        <v>3</v>
      </c>
    </row>
    <row r="40" spans="1:10" x14ac:dyDescent="0.45">
      <c r="A40" s="2">
        <v>45238</v>
      </c>
      <c r="B40">
        <v>11</v>
      </c>
      <c r="C40">
        <v>2023</v>
      </c>
      <c r="D40" t="s">
        <v>63</v>
      </c>
      <c r="E40">
        <v>5</v>
      </c>
      <c r="H40" s="2">
        <v>43891</v>
      </c>
      <c r="I40" t="s">
        <v>63</v>
      </c>
      <c r="J40">
        <v>4</v>
      </c>
    </row>
    <row r="41" spans="1:10" x14ac:dyDescent="0.45">
      <c r="A41" s="2">
        <v>45236</v>
      </c>
      <c r="B41">
        <v>11</v>
      </c>
      <c r="C41">
        <v>2023</v>
      </c>
      <c r="D41" t="s">
        <v>172</v>
      </c>
      <c r="E41">
        <v>5</v>
      </c>
      <c r="H41" s="2">
        <v>43894</v>
      </c>
      <c r="I41" t="s">
        <v>93</v>
      </c>
      <c r="J41">
        <v>4</v>
      </c>
    </row>
    <row r="42" spans="1:10" x14ac:dyDescent="0.45">
      <c r="A42" s="2">
        <v>45234</v>
      </c>
      <c r="B42">
        <v>11</v>
      </c>
      <c r="C42">
        <v>2023</v>
      </c>
      <c r="D42" t="s">
        <v>85</v>
      </c>
      <c r="E42">
        <v>3</v>
      </c>
      <c r="H42" s="2">
        <v>43894</v>
      </c>
      <c r="I42" t="s">
        <v>172</v>
      </c>
      <c r="J42">
        <v>3</v>
      </c>
    </row>
    <row r="43" spans="1:10" x14ac:dyDescent="0.45">
      <c r="A43" s="2">
        <v>45234</v>
      </c>
      <c r="B43">
        <v>11</v>
      </c>
      <c r="C43">
        <v>2023</v>
      </c>
      <c r="D43" t="s">
        <v>172</v>
      </c>
      <c r="E43">
        <v>5</v>
      </c>
      <c r="H43" s="2">
        <v>43895</v>
      </c>
      <c r="I43" t="s">
        <v>63</v>
      </c>
      <c r="J43">
        <v>5</v>
      </c>
    </row>
    <row r="44" spans="1:10" x14ac:dyDescent="0.45">
      <c r="A44" s="2">
        <v>45233</v>
      </c>
      <c r="B44">
        <v>11</v>
      </c>
      <c r="C44">
        <v>2023</v>
      </c>
      <c r="D44" t="s">
        <v>63</v>
      </c>
      <c r="E44">
        <v>1</v>
      </c>
      <c r="H44" s="2">
        <v>43897</v>
      </c>
      <c r="I44" t="s">
        <v>85</v>
      </c>
      <c r="J44">
        <v>2</v>
      </c>
    </row>
    <row r="45" spans="1:10" x14ac:dyDescent="0.45">
      <c r="A45" s="2">
        <v>45232</v>
      </c>
      <c r="B45">
        <v>11</v>
      </c>
      <c r="C45">
        <v>2023</v>
      </c>
      <c r="D45" t="s">
        <v>85</v>
      </c>
      <c r="E45">
        <v>5</v>
      </c>
      <c r="H45" s="2">
        <v>43898</v>
      </c>
      <c r="I45" t="s">
        <v>63</v>
      </c>
      <c r="J45">
        <v>2</v>
      </c>
    </row>
    <row r="46" spans="1:10" x14ac:dyDescent="0.45">
      <c r="A46" s="2">
        <v>45231</v>
      </c>
      <c r="B46">
        <v>11</v>
      </c>
      <c r="C46">
        <v>2023</v>
      </c>
      <c r="D46" t="s">
        <v>129</v>
      </c>
      <c r="E46">
        <v>3</v>
      </c>
      <c r="H46" s="2">
        <v>43903</v>
      </c>
      <c r="I46" t="s">
        <v>63</v>
      </c>
      <c r="J46">
        <v>5</v>
      </c>
    </row>
    <row r="47" spans="1:10" x14ac:dyDescent="0.45">
      <c r="A47" s="2">
        <v>45231</v>
      </c>
      <c r="B47">
        <v>11</v>
      </c>
      <c r="C47">
        <v>2023</v>
      </c>
      <c r="D47" t="s">
        <v>129</v>
      </c>
      <c r="E47">
        <v>5</v>
      </c>
      <c r="H47" s="2">
        <v>43904</v>
      </c>
      <c r="I47" t="s">
        <v>93</v>
      </c>
      <c r="J47">
        <v>3</v>
      </c>
    </row>
    <row r="48" spans="1:10" x14ac:dyDescent="0.45">
      <c r="A48" s="2">
        <v>45230</v>
      </c>
      <c r="B48">
        <v>10</v>
      </c>
      <c r="C48">
        <v>2023</v>
      </c>
      <c r="D48" t="s">
        <v>85</v>
      </c>
      <c r="E48">
        <v>4</v>
      </c>
      <c r="H48" s="2">
        <v>43904</v>
      </c>
      <c r="I48" t="s">
        <v>52</v>
      </c>
      <c r="J48">
        <v>5</v>
      </c>
    </row>
    <row r="49" spans="1:10" x14ac:dyDescent="0.45">
      <c r="A49" s="2">
        <v>45230</v>
      </c>
      <c r="B49">
        <v>10</v>
      </c>
      <c r="C49">
        <v>2023</v>
      </c>
      <c r="D49" t="s">
        <v>73</v>
      </c>
      <c r="E49">
        <v>4</v>
      </c>
      <c r="H49" s="2">
        <v>43904</v>
      </c>
      <c r="I49" t="s">
        <v>63</v>
      </c>
      <c r="J49">
        <v>2</v>
      </c>
    </row>
    <row r="50" spans="1:10" x14ac:dyDescent="0.45">
      <c r="A50" s="2">
        <v>45228</v>
      </c>
      <c r="B50">
        <v>10</v>
      </c>
      <c r="C50">
        <v>2023</v>
      </c>
      <c r="D50" t="s">
        <v>35</v>
      </c>
      <c r="E50">
        <v>5</v>
      </c>
      <c r="H50" s="2">
        <v>43905</v>
      </c>
      <c r="I50" t="s">
        <v>172</v>
      </c>
      <c r="J50">
        <v>3</v>
      </c>
    </row>
    <row r="51" spans="1:10" x14ac:dyDescent="0.45">
      <c r="A51" s="2">
        <v>45228</v>
      </c>
      <c r="B51">
        <v>10</v>
      </c>
      <c r="C51">
        <v>2023</v>
      </c>
      <c r="D51" t="s">
        <v>63</v>
      </c>
      <c r="E51">
        <v>5</v>
      </c>
      <c r="H51" s="2">
        <v>43910</v>
      </c>
      <c r="I51" t="s">
        <v>129</v>
      </c>
      <c r="J51">
        <v>4</v>
      </c>
    </row>
    <row r="52" spans="1:10" x14ac:dyDescent="0.45">
      <c r="A52" s="2">
        <v>45228</v>
      </c>
      <c r="B52">
        <v>10</v>
      </c>
      <c r="C52">
        <v>2023</v>
      </c>
      <c r="D52" t="s">
        <v>35</v>
      </c>
      <c r="E52">
        <v>5</v>
      </c>
      <c r="H52" s="2">
        <v>43913</v>
      </c>
      <c r="I52" t="s">
        <v>35</v>
      </c>
      <c r="J52">
        <v>3</v>
      </c>
    </row>
    <row r="53" spans="1:10" x14ac:dyDescent="0.45">
      <c r="A53" s="2">
        <v>45224</v>
      </c>
      <c r="B53">
        <v>10</v>
      </c>
      <c r="C53">
        <v>2023</v>
      </c>
      <c r="D53" t="s">
        <v>24</v>
      </c>
      <c r="E53">
        <v>5</v>
      </c>
      <c r="H53" s="2">
        <v>43913</v>
      </c>
      <c r="I53" t="s">
        <v>24</v>
      </c>
      <c r="J53">
        <v>4</v>
      </c>
    </row>
    <row r="54" spans="1:10" x14ac:dyDescent="0.45">
      <c r="A54" s="2">
        <v>45224</v>
      </c>
      <c r="B54">
        <v>10</v>
      </c>
      <c r="C54">
        <v>2023</v>
      </c>
      <c r="D54" t="s">
        <v>52</v>
      </c>
      <c r="E54">
        <v>2</v>
      </c>
      <c r="H54" s="2">
        <v>43915</v>
      </c>
      <c r="I54" t="s">
        <v>73</v>
      </c>
      <c r="J54">
        <v>1</v>
      </c>
    </row>
    <row r="55" spans="1:10" x14ac:dyDescent="0.45">
      <c r="A55" s="2">
        <v>45224</v>
      </c>
      <c r="B55">
        <v>10</v>
      </c>
      <c r="C55">
        <v>2023</v>
      </c>
      <c r="D55" t="s">
        <v>35</v>
      </c>
      <c r="E55">
        <v>3</v>
      </c>
      <c r="H55" s="2">
        <v>43916</v>
      </c>
      <c r="I55" t="s">
        <v>93</v>
      </c>
      <c r="J55">
        <v>5</v>
      </c>
    </row>
    <row r="56" spans="1:10" x14ac:dyDescent="0.45">
      <c r="A56" s="2">
        <v>45223</v>
      </c>
      <c r="B56">
        <v>10</v>
      </c>
      <c r="C56">
        <v>2023</v>
      </c>
      <c r="D56" t="s">
        <v>35</v>
      </c>
      <c r="E56">
        <v>1</v>
      </c>
      <c r="H56" s="2">
        <v>43916</v>
      </c>
      <c r="I56" t="s">
        <v>63</v>
      </c>
      <c r="J56">
        <v>1</v>
      </c>
    </row>
    <row r="57" spans="1:10" x14ac:dyDescent="0.45">
      <c r="A57" s="2">
        <v>45221</v>
      </c>
      <c r="B57">
        <v>10</v>
      </c>
      <c r="C57">
        <v>2023</v>
      </c>
      <c r="D57" t="s">
        <v>93</v>
      </c>
      <c r="E57">
        <v>3</v>
      </c>
      <c r="H57" s="2">
        <v>43916</v>
      </c>
      <c r="I57" t="s">
        <v>172</v>
      </c>
      <c r="J57">
        <v>4</v>
      </c>
    </row>
    <row r="58" spans="1:10" x14ac:dyDescent="0.45">
      <c r="A58" s="2">
        <v>45220</v>
      </c>
      <c r="B58">
        <v>10</v>
      </c>
      <c r="C58">
        <v>2023</v>
      </c>
      <c r="D58" t="s">
        <v>73</v>
      </c>
      <c r="E58">
        <v>1</v>
      </c>
      <c r="H58" s="2">
        <v>43917</v>
      </c>
      <c r="I58" t="s">
        <v>73</v>
      </c>
      <c r="J58">
        <v>3</v>
      </c>
    </row>
    <row r="59" spans="1:10" x14ac:dyDescent="0.45">
      <c r="A59" s="2">
        <v>45219</v>
      </c>
      <c r="B59">
        <v>10</v>
      </c>
      <c r="C59">
        <v>2023</v>
      </c>
      <c r="D59" t="s">
        <v>172</v>
      </c>
      <c r="E59">
        <v>2</v>
      </c>
      <c r="H59" s="2">
        <v>43918</v>
      </c>
      <c r="I59" t="s">
        <v>93</v>
      </c>
      <c r="J59">
        <v>1</v>
      </c>
    </row>
    <row r="60" spans="1:10" x14ac:dyDescent="0.45">
      <c r="A60" s="2">
        <v>45219</v>
      </c>
      <c r="B60">
        <v>10</v>
      </c>
      <c r="C60">
        <v>2023</v>
      </c>
      <c r="D60" t="s">
        <v>35</v>
      </c>
      <c r="E60">
        <v>1</v>
      </c>
      <c r="H60" s="2">
        <v>43920</v>
      </c>
      <c r="I60" t="s">
        <v>85</v>
      </c>
      <c r="J60">
        <v>1</v>
      </c>
    </row>
    <row r="61" spans="1:10" x14ac:dyDescent="0.45">
      <c r="A61" s="2">
        <v>45217</v>
      </c>
      <c r="B61">
        <v>10</v>
      </c>
      <c r="C61">
        <v>2023</v>
      </c>
      <c r="D61" t="s">
        <v>35</v>
      </c>
      <c r="E61">
        <v>3</v>
      </c>
      <c r="H61" s="2">
        <v>43921</v>
      </c>
      <c r="I61" t="s">
        <v>73</v>
      </c>
      <c r="J61">
        <v>5</v>
      </c>
    </row>
    <row r="62" spans="1:10" x14ac:dyDescent="0.45">
      <c r="A62" s="2">
        <v>45217</v>
      </c>
      <c r="B62">
        <v>10</v>
      </c>
      <c r="C62">
        <v>2023</v>
      </c>
      <c r="D62" t="s">
        <v>63</v>
      </c>
      <c r="E62">
        <v>4</v>
      </c>
      <c r="H62" s="2">
        <v>43925</v>
      </c>
      <c r="I62" t="s">
        <v>129</v>
      </c>
      <c r="J62">
        <v>2</v>
      </c>
    </row>
    <row r="63" spans="1:10" x14ac:dyDescent="0.45">
      <c r="A63" s="2">
        <v>45215</v>
      </c>
      <c r="B63">
        <v>10</v>
      </c>
      <c r="C63">
        <v>2023</v>
      </c>
      <c r="D63" t="s">
        <v>85</v>
      </c>
      <c r="E63">
        <v>3</v>
      </c>
      <c r="H63" s="2">
        <v>43926</v>
      </c>
      <c r="I63" t="s">
        <v>63</v>
      </c>
      <c r="J63">
        <v>4</v>
      </c>
    </row>
    <row r="64" spans="1:10" x14ac:dyDescent="0.45">
      <c r="A64" s="2">
        <v>45214</v>
      </c>
      <c r="B64">
        <v>10</v>
      </c>
      <c r="C64">
        <v>2023</v>
      </c>
      <c r="D64" t="s">
        <v>85</v>
      </c>
      <c r="E64">
        <v>3</v>
      </c>
      <c r="H64" s="2">
        <v>43930</v>
      </c>
      <c r="I64" t="s">
        <v>52</v>
      </c>
      <c r="J64">
        <v>1</v>
      </c>
    </row>
    <row r="65" spans="1:10" x14ac:dyDescent="0.45">
      <c r="A65" s="2">
        <v>45214</v>
      </c>
      <c r="B65">
        <v>10</v>
      </c>
      <c r="C65">
        <v>2023</v>
      </c>
      <c r="D65" t="s">
        <v>73</v>
      </c>
      <c r="E65">
        <v>1</v>
      </c>
      <c r="H65" s="2">
        <v>43931</v>
      </c>
      <c r="I65" t="s">
        <v>172</v>
      </c>
      <c r="J65">
        <v>6</v>
      </c>
    </row>
    <row r="66" spans="1:10" x14ac:dyDescent="0.45">
      <c r="A66" s="2">
        <v>45213</v>
      </c>
      <c r="B66">
        <v>10</v>
      </c>
      <c r="C66">
        <v>2023</v>
      </c>
      <c r="D66" t="s">
        <v>52</v>
      </c>
      <c r="E66">
        <v>4</v>
      </c>
      <c r="H66" s="2">
        <v>43932</v>
      </c>
      <c r="I66" t="s">
        <v>73</v>
      </c>
      <c r="J66">
        <v>3</v>
      </c>
    </row>
    <row r="67" spans="1:10" x14ac:dyDescent="0.45">
      <c r="A67" s="2">
        <v>45212</v>
      </c>
      <c r="B67">
        <v>10</v>
      </c>
      <c r="C67">
        <v>2023</v>
      </c>
      <c r="D67" t="s">
        <v>35</v>
      </c>
      <c r="E67">
        <v>4</v>
      </c>
      <c r="H67" s="2">
        <v>43932</v>
      </c>
      <c r="I67" t="s">
        <v>85</v>
      </c>
      <c r="J67">
        <v>2</v>
      </c>
    </row>
    <row r="68" spans="1:10" x14ac:dyDescent="0.45">
      <c r="A68" s="2">
        <v>45211</v>
      </c>
      <c r="B68">
        <v>10</v>
      </c>
      <c r="C68">
        <v>2023</v>
      </c>
      <c r="D68" t="s">
        <v>73</v>
      </c>
      <c r="E68">
        <v>2</v>
      </c>
      <c r="H68" s="2">
        <v>43935</v>
      </c>
      <c r="I68" t="s">
        <v>172</v>
      </c>
      <c r="J68">
        <v>5</v>
      </c>
    </row>
    <row r="69" spans="1:10" x14ac:dyDescent="0.45">
      <c r="A69" s="2">
        <v>45211</v>
      </c>
      <c r="B69">
        <v>10</v>
      </c>
      <c r="C69">
        <v>2023</v>
      </c>
      <c r="D69" t="s">
        <v>63</v>
      </c>
      <c r="E69">
        <v>2</v>
      </c>
      <c r="H69" s="2">
        <v>43936</v>
      </c>
      <c r="I69" t="s">
        <v>85</v>
      </c>
      <c r="J69">
        <v>4</v>
      </c>
    </row>
    <row r="70" spans="1:10" x14ac:dyDescent="0.45">
      <c r="A70" s="2">
        <v>45210</v>
      </c>
      <c r="B70">
        <v>10</v>
      </c>
      <c r="C70">
        <v>2023</v>
      </c>
      <c r="D70" t="s">
        <v>52</v>
      </c>
      <c r="E70">
        <v>4</v>
      </c>
      <c r="H70" s="2">
        <v>43937</v>
      </c>
      <c r="I70" t="s">
        <v>35</v>
      </c>
      <c r="J70">
        <v>5</v>
      </c>
    </row>
    <row r="71" spans="1:10" x14ac:dyDescent="0.45">
      <c r="A71" s="2">
        <v>45209</v>
      </c>
      <c r="B71">
        <v>10</v>
      </c>
      <c r="C71">
        <v>2023</v>
      </c>
      <c r="D71" t="s">
        <v>73</v>
      </c>
      <c r="E71">
        <v>3</v>
      </c>
      <c r="H71" s="2">
        <v>43939</v>
      </c>
      <c r="I71" t="s">
        <v>93</v>
      </c>
      <c r="J71">
        <v>5</v>
      </c>
    </row>
    <row r="72" spans="1:10" x14ac:dyDescent="0.45">
      <c r="A72" s="2">
        <v>45207</v>
      </c>
      <c r="B72">
        <v>10</v>
      </c>
      <c r="C72">
        <v>2023</v>
      </c>
      <c r="D72" t="s">
        <v>85</v>
      </c>
      <c r="E72">
        <v>1</v>
      </c>
      <c r="H72" s="2">
        <v>43941</v>
      </c>
      <c r="I72" t="s">
        <v>129</v>
      </c>
      <c r="J72">
        <v>5</v>
      </c>
    </row>
    <row r="73" spans="1:10" x14ac:dyDescent="0.45">
      <c r="A73" s="2">
        <v>45203</v>
      </c>
      <c r="B73">
        <v>10</v>
      </c>
      <c r="C73">
        <v>2023</v>
      </c>
      <c r="D73" t="s">
        <v>52</v>
      </c>
      <c r="E73">
        <v>1</v>
      </c>
      <c r="H73" s="2">
        <v>43942</v>
      </c>
      <c r="I73" t="s">
        <v>73</v>
      </c>
      <c r="J73">
        <v>2</v>
      </c>
    </row>
    <row r="74" spans="1:10" x14ac:dyDescent="0.45">
      <c r="A74" s="2">
        <v>45201</v>
      </c>
      <c r="B74">
        <v>10</v>
      </c>
      <c r="C74">
        <v>2023</v>
      </c>
      <c r="D74" t="s">
        <v>52</v>
      </c>
      <c r="E74">
        <v>1</v>
      </c>
      <c r="H74" s="2">
        <v>43942</v>
      </c>
      <c r="I74" t="s">
        <v>35</v>
      </c>
      <c r="J74">
        <v>4</v>
      </c>
    </row>
    <row r="75" spans="1:10" x14ac:dyDescent="0.45">
      <c r="A75" s="2">
        <v>45201</v>
      </c>
      <c r="B75">
        <v>10</v>
      </c>
      <c r="C75">
        <v>2023</v>
      </c>
      <c r="D75" t="s">
        <v>85</v>
      </c>
      <c r="E75">
        <v>3</v>
      </c>
      <c r="H75" s="2">
        <v>43943</v>
      </c>
      <c r="I75" t="s">
        <v>129</v>
      </c>
      <c r="J75">
        <v>5</v>
      </c>
    </row>
    <row r="76" spans="1:10" x14ac:dyDescent="0.45">
      <c r="A76" s="2">
        <v>45200</v>
      </c>
      <c r="B76">
        <v>10</v>
      </c>
      <c r="C76">
        <v>2023</v>
      </c>
      <c r="D76" t="s">
        <v>35</v>
      </c>
      <c r="E76">
        <v>1</v>
      </c>
      <c r="H76" s="2">
        <v>43944</v>
      </c>
      <c r="I76" t="s">
        <v>35</v>
      </c>
      <c r="J76">
        <v>2</v>
      </c>
    </row>
    <row r="77" spans="1:10" x14ac:dyDescent="0.45">
      <c r="A77" s="2">
        <v>45200</v>
      </c>
      <c r="B77">
        <v>10</v>
      </c>
      <c r="C77">
        <v>2023</v>
      </c>
      <c r="D77" t="s">
        <v>63</v>
      </c>
      <c r="E77">
        <v>5</v>
      </c>
      <c r="H77" s="2">
        <v>43945</v>
      </c>
      <c r="I77" t="s">
        <v>52</v>
      </c>
      <c r="J77">
        <v>5</v>
      </c>
    </row>
    <row r="78" spans="1:10" x14ac:dyDescent="0.45">
      <c r="A78" s="2">
        <v>45199</v>
      </c>
      <c r="B78">
        <v>9</v>
      </c>
      <c r="C78">
        <v>2023</v>
      </c>
      <c r="D78" t="s">
        <v>85</v>
      </c>
      <c r="E78">
        <v>2</v>
      </c>
      <c r="H78" s="2">
        <v>43946</v>
      </c>
      <c r="I78" t="s">
        <v>85</v>
      </c>
      <c r="J78">
        <v>4</v>
      </c>
    </row>
    <row r="79" spans="1:10" x14ac:dyDescent="0.45">
      <c r="A79" s="2">
        <v>45192</v>
      </c>
      <c r="B79">
        <v>9</v>
      </c>
      <c r="C79">
        <v>2023</v>
      </c>
      <c r="D79" t="s">
        <v>63</v>
      </c>
      <c r="E79">
        <v>5</v>
      </c>
      <c r="H79" s="2">
        <v>43949</v>
      </c>
      <c r="I79" t="s">
        <v>129</v>
      </c>
      <c r="J79">
        <v>3</v>
      </c>
    </row>
    <row r="80" spans="1:10" x14ac:dyDescent="0.45">
      <c r="A80" s="2">
        <v>45191</v>
      </c>
      <c r="B80">
        <v>9</v>
      </c>
      <c r="C80">
        <v>2023</v>
      </c>
      <c r="D80" t="s">
        <v>73</v>
      </c>
      <c r="E80">
        <v>3</v>
      </c>
      <c r="H80" s="2">
        <v>43952</v>
      </c>
      <c r="I80" t="s">
        <v>172</v>
      </c>
      <c r="J80">
        <v>1</v>
      </c>
    </row>
    <row r="81" spans="1:10" x14ac:dyDescent="0.45">
      <c r="A81" s="2">
        <v>45187</v>
      </c>
      <c r="B81">
        <v>9</v>
      </c>
      <c r="C81">
        <v>2023</v>
      </c>
      <c r="D81" t="s">
        <v>93</v>
      </c>
      <c r="E81">
        <v>1</v>
      </c>
      <c r="H81" s="2">
        <v>43954</v>
      </c>
      <c r="I81" t="s">
        <v>73</v>
      </c>
      <c r="J81">
        <v>1</v>
      </c>
    </row>
    <row r="82" spans="1:10" x14ac:dyDescent="0.45">
      <c r="A82" s="2">
        <v>45186</v>
      </c>
      <c r="B82">
        <v>9</v>
      </c>
      <c r="C82">
        <v>2023</v>
      </c>
      <c r="D82" t="s">
        <v>52</v>
      </c>
      <c r="E82">
        <v>5</v>
      </c>
      <c r="H82" s="2">
        <v>43954</v>
      </c>
      <c r="I82" t="s">
        <v>129</v>
      </c>
      <c r="J82">
        <v>4</v>
      </c>
    </row>
    <row r="83" spans="1:10" x14ac:dyDescent="0.45">
      <c r="A83" s="2">
        <v>45185</v>
      </c>
      <c r="B83">
        <v>9</v>
      </c>
      <c r="C83">
        <v>2023</v>
      </c>
      <c r="D83" t="s">
        <v>172</v>
      </c>
      <c r="E83">
        <v>4</v>
      </c>
      <c r="H83" s="2">
        <v>43954</v>
      </c>
      <c r="I83" t="s">
        <v>24</v>
      </c>
      <c r="J83">
        <v>1</v>
      </c>
    </row>
    <row r="84" spans="1:10" x14ac:dyDescent="0.45">
      <c r="A84" s="2">
        <v>45183</v>
      </c>
      <c r="B84">
        <v>9</v>
      </c>
      <c r="C84">
        <v>2023</v>
      </c>
      <c r="D84" t="s">
        <v>129</v>
      </c>
      <c r="E84">
        <v>1</v>
      </c>
      <c r="H84" s="2">
        <v>43955</v>
      </c>
      <c r="I84" t="s">
        <v>129</v>
      </c>
      <c r="J84">
        <v>4</v>
      </c>
    </row>
    <row r="85" spans="1:10" x14ac:dyDescent="0.45">
      <c r="A85" s="2">
        <v>45183</v>
      </c>
      <c r="B85">
        <v>9</v>
      </c>
      <c r="C85">
        <v>2023</v>
      </c>
      <c r="D85" t="s">
        <v>52</v>
      </c>
      <c r="E85">
        <v>4</v>
      </c>
      <c r="H85" s="2">
        <v>43955</v>
      </c>
      <c r="I85" t="s">
        <v>24</v>
      </c>
      <c r="J85">
        <v>3</v>
      </c>
    </row>
    <row r="86" spans="1:10" x14ac:dyDescent="0.45">
      <c r="A86" s="2">
        <v>45182</v>
      </c>
      <c r="B86">
        <v>9</v>
      </c>
      <c r="C86">
        <v>2023</v>
      </c>
      <c r="D86" t="s">
        <v>129</v>
      </c>
      <c r="E86">
        <v>3</v>
      </c>
      <c r="H86" s="2">
        <v>43961</v>
      </c>
      <c r="I86" t="s">
        <v>93</v>
      </c>
      <c r="J86">
        <v>5</v>
      </c>
    </row>
    <row r="87" spans="1:10" x14ac:dyDescent="0.45">
      <c r="A87" s="2">
        <v>45182</v>
      </c>
      <c r="B87">
        <v>9</v>
      </c>
      <c r="C87">
        <v>2023</v>
      </c>
      <c r="D87" t="s">
        <v>172</v>
      </c>
      <c r="E87">
        <v>1</v>
      </c>
      <c r="H87" s="2">
        <v>43962</v>
      </c>
      <c r="I87" t="s">
        <v>73</v>
      </c>
      <c r="J87">
        <v>1</v>
      </c>
    </row>
    <row r="88" spans="1:10" x14ac:dyDescent="0.45">
      <c r="A88" s="2">
        <v>45181</v>
      </c>
      <c r="B88">
        <v>9</v>
      </c>
      <c r="C88">
        <v>2023</v>
      </c>
      <c r="D88" t="s">
        <v>172</v>
      </c>
      <c r="E88">
        <v>5</v>
      </c>
      <c r="H88" s="2">
        <v>43962</v>
      </c>
      <c r="I88" t="s">
        <v>93</v>
      </c>
      <c r="J88">
        <v>4</v>
      </c>
    </row>
    <row r="89" spans="1:10" x14ac:dyDescent="0.45">
      <c r="A89" s="2">
        <v>45181</v>
      </c>
      <c r="B89">
        <v>9</v>
      </c>
      <c r="C89">
        <v>2023</v>
      </c>
      <c r="D89" t="s">
        <v>35</v>
      </c>
      <c r="E89">
        <v>2</v>
      </c>
      <c r="H89" s="2">
        <v>43963</v>
      </c>
      <c r="I89" t="s">
        <v>52</v>
      </c>
      <c r="J89">
        <v>1</v>
      </c>
    </row>
    <row r="90" spans="1:10" x14ac:dyDescent="0.45">
      <c r="A90" s="2">
        <v>45181</v>
      </c>
      <c r="B90">
        <v>9</v>
      </c>
      <c r="C90">
        <v>2023</v>
      </c>
      <c r="D90" t="s">
        <v>52</v>
      </c>
      <c r="E90">
        <v>4</v>
      </c>
      <c r="H90" s="2">
        <v>43964</v>
      </c>
      <c r="I90" t="s">
        <v>93</v>
      </c>
      <c r="J90">
        <v>1</v>
      </c>
    </row>
    <row r="91" spans="1:10" x14ac:dyDescent="0.45">
      <c r="A91" s="2">
        <v>45179</v>
      </c>
      <c r="B91">
        <v>9</v>
      </c>
      <c r="C91">
        <v>2023</v>
      </c>
      <c r="D91" t="s">
        <v>172</v>
      </c>
      <c r="E91">
        <v>1</v>
      </c>
      <c r="H91" s="2">
        <v>43964</v>
      </c>
      <c r="I91" t="s">
        <v>35</v>
      </c>
      <c r="J91">
        <v>5</v>
      </c>
    </row>
    <row r="92" spans="1:10" x14ac:dyDescent="0.45">
      <c r="A92" s="2">
        <v>45178</v>
      </c>
      <c r="B92">
        <v>9</v>
      </c>
      <c r="C92">
        <v>2023</v>
      </c>
      <c r="D92" t="s">
        <v>35</v>
      </c>
      <c r="E92">
        <v>3</v>
      </c>
      <c r="H92" s="2">
        <v>43966</v>
      </c>
      <c r="I92" t="s">
        <v>73</v>
      </c>
      <c r="J92">
        <v>5</v>
      </c>
    </row>
    <row r="93" spans="1:10" x14ac:dyDescent="0.45">
      <c r="A93" s="2">
        <v>45178</v>
      </c>
      <c r="B93">
        <v>9</v>
      </c>
      <c r="C93">
        <v>2023</v>
      </c>
      <c r="D93" t="s">
        <v>35</v>
      </c>
      <c r="E93">
        <v>2</v>
      </c>
      <c r="H93" s="2">
        <v>43970</v>
      </c>
      <c r="I93" t="s">
        <v>93</v>
      </c>
      <c r="J93">
        <v>4</v>
      </c>
    </row>
    <row r="94" spans="1:10" x14ac:dyDescent="0.45">
      <c r="A94" s="2">
        <v>45175</v>
      </c>
      <c r="B94">
        <v>9</v>
      </c>
      <c r="C94">
        <v>2023</v>
      </c>
      <c r="D94" t="s">
        <v>129</v>
      </c>
      <c r="E94">
        <v>4</v>
      </c>
      <c r="H94" s="2">
        <v>43971</v>
      </c>
      <c r="I94" t="s">
        <v>93</v>
      </c>
      <c r="J94">
        <v>5</v>
      </c>
    </row>
    <row r="95" spans="1:10" x14ac:dyDescent="0.45">
      <c r="A95" s="2">
        <v>45175</v>
      </c>
      <c r="B95">
        <v>9</v>
      </c>
      <c r="C95">
        <v>2023</v>
      </c>
      <c r="D95" t="s">
        <v>85</v>
      </c>
      <c r="E95">
        <v>4</v>
      </c>
      <c r="H95" s="2">
        <v>43978</v>
      </c>
      <c r="I95" t="s">
        <v>24</v>
      </c>
      <c r="J95">
        <v>2</v>
      </c>
    </row>
    <row r="96" spans="1:10" x14ac:dyDescent="0.45">
      <c r="A96" s="2">
        <v>45174</v>
      </c>
      <c r="B96">
        <v>9</v>
      </c>
      <c r="C96">
        <v>2023</v>
      </c>
      <c r="D96" t="s">
        <v>85</v>
      </c>
      <c r="E96">
        <v>2</v>
      </c>
      <c r="H96" s="2">
        <v>43983</v>
      </c>
      <c r="I96" t="s">
        <v>52</v>
      </c>
      <c r="J96">
        <v>1</v>
      </c>
    </row>
    <row r="97" spans="1:10" x14ac:dyDescent="0.45">
      <c r="A97" s="2">
        <v>45173</v>
      </c>
      <c r="B97">
        <v>9</v>
      </c>
      <c r="C97">
        <v>2023</v>
      </c>
      <c r="D97" t="s">
        <v>129</v>
      </c>
      <c r="E97">
        <v>2</v>
      </c>
      <c r="H97" s="2">
        <v>43984</v>
      </c>
      <c r="I97" t="s">
        <v>85</v>
      </c>
      <c r="J97">
        <v>5</v>
      </c>
    </row>
    <row r="98" spans="1:10" x14ac:dyDescent="0.45">
      <c r="A98" s="2">
        <v>45171</v>
      </c>
      <c r="B98">
        <v>9</v>
      </c>
      <c r="C98">
        <v>2023</v>
      </c>
      <c r="D98" t="s">
        <v>24</v>
      </c>
      <c r="E98">
        <v>3</v>
      </c>
      <c r="H98" s="2">
        <v>43984</v>
      </c>
      <c r="I98" t="s">
        <v>129</v>
      </c>
      <c r="J98">
        <v>3</v>
      </c>
    </row>
    <row r="99" spans="1:10" x14ac:dyDescent="0.45">
      <c r="A99" s="2">
        <v>45170</v>
      </c>
      <c r="B99">
        <v>9</v>
      </c>
      <c r="C99">
        <v>2023</v>
      </c>
      <c r="D99" t="s">
        <v>35</v>
      </c>
      <c r="E99">
        <v>1</v>
      </c>
      <c r="H99" s="2">
        <v>43985</v>
      </c>
      <c r="I99" t="s">
        <v>85</v>
      </c>
      <c r="J99">
        <v>1</v>
      </c>
    </row>
    <row r="100" spans="1:10" x14ac:dyDescent="0.45">
      <c r="A100" s="2">
        <v>45169</v>
      </c>
      <c r="B100">
        <v>8</v>
      </c>
      <c r="C100">
        <v>2023</v>
      </c>
      <c r="D100" t="s">
        <v>52</v>
      </c>
      <c r="E100">
        <v>1</v>
      </c>
      <c r="H100" s="2">
        <v>43985</v>
      </c>
      <c r="I100" t="s">
        <v>35</v>
      </c>
      <c r="J100">
        <v>2</v>
      </c>
    </row>
    <row r="101" spans="1:10" x14ac:dyDescent="0.45">
      <c r="A101" s="2">
        <v>45169</v>
      </c>
      <c r="B101">
        <v>8</v>
      </c>
      <c r="C101">
        <v>2023</v>
      </c>
      <c r="D101" t="s">
        <v>172</v>
      </c>
      <c r="E101">
        <v>5</v>
      </c>
      <c r="H101" s="2">
        <v>43987</v>
      </c>
      <c r="I101" t="s">
        <v>24</v>
      </c>
      <c r="J101">
        <v>2</v>
      </c>
    </row>
    <row r="102" spans="1:10" x14ac:dyDescent="0.45">
      <c r="A102" s="2">
        <v>45168</v>
      </c>
      <c r="B102">
        <v>8</v>
      </c>
      <c r="C102">
        <v>2023</v>
      </c>
      <c r="D102" t="s">
        <v>172</v>
      </c>
      <c r="E102">
        <v>4</v>
      </c>
      <c r="H102" s="2">
        <v>43988</v>
      </c>
      <c r="I102" t="s">
        <v>52</v>
      </c>
      <c r="J102">
        <v>3</v>
      </c>
    </row>
    <row r="103" spans="1:10" x14ac:dyDescent="0.45">
      <c r="A103" s="2">
        <v>45168</v>
      </c>
      <c r="B103">
        <v>8</v>
      </c>
      <c r="C103">
        <v>2023</v>
      </c>
      <c r="D103" t="s">
        <v>52</v>
      </c>
      <c r="E103">
        <v>5</v>
      </c>
      <c r="H103" s="2">
        <v>43988</v>
      </c>
      <c r="I103" t="s">
        <v>24</v>
      </c>
      <c r="J103">
        <v>5</v>
      </c>
    </row>
    <row r="104" spans="1:10" x14ac:dyDescent="0.45">
      <c r="A104" s="2">
        <v>45167</v>
      </c>
      <c r="B104">
        <v>8</v>
      </c>
      <c r="C104">
        <v>2023</v>
      </c>
      <c r="D104" t="s">
        <v>63</v>
      </c>
      <c r="E104">
        <v>2</v>
      </c>
      <c r="H104" s="2">
        <v>43988</v>
      </c>
      <c r="I104" t="s">
        <v>172</v>
      </c>
      <c r="J104">
        <v>9</v>
      </c>
    </row>
    <row r="105" spans="1:10" x14ac:dyDescent="0.45">
      <c r="A105" s="2">
        <v>45166</v>
      </c>
      <c r="B105">
        <v>8</v>
      </c>
      <c r="C105">
        <v>2023</v>
      </c>
      <c r="D105" t="s">
        <v>35</v>
      </c>
      <c r="E105">
        <v>3</v>
      </c>
      <c r="H105" s="2">
        <v>43989</v>
      </c>
      <c r="I105" t="s">
        <v>73</v>
      </c>
      <c r="J105">
        <v>1</v>
      </c>
    </row>
    <row r="106" spans="1:10" x14ac:dyDescent="0.45">
      <c r="A106" s="2">
        <v>45165</v>
      </c>
      <c r="B106">
        <v>8</v>
      </c>
      <c r="C106">
        <v>2023</v>
      </c>
      <c r="D106" t="s">
        <v>85</v>
      </c>
      <c r="E106">
        <v>4</v>
      </c>
      <c r="H106" s="2">
        <v>43989</v>
      </c>
      <c r="I106" t="s">
        <v>52</v>
      </c>
      <c r="J106">
        <v>5</v>
      </c>
    </row>
    <row r="107" spans="1:10" x14ac:dyDescent="0.45">
      <c r="A107" s="2">
        <v>45165</v>
      </c>
      <c r="B107">
        <v>8</v>
      </c>
      <c r="C107">
        <v>2023</v>
      </c>
      <c r="D107" t="s">
        <v>24</v>
      </c>
      <c r="E107">
        <v>4</v>
      </c>
      <c r="H107" s="2">
        <v>43990</v>
      </c>
      <c r="I107" t="s">
        <v>85</v>
      </c>
      <c r="J107">
        <v>1</v>
      </c>
    </row>
    <row r="108" spans="1:10" x14ac:dyDescent="0.45">
      <c r="A108" s="2">
        <v>45163</v>
      </c>
      <c r="B108">
        <v>8</v>
      </c>
      <c r="C108">
        <v>2023</v>
      </c>
      <c r="D108" t="s">
        <v>93</v>
      </c>
      <c r="E108">
        <v>5</v>
      </c>
      <c r="H108" s="2">
        <v>43990</v>
      </c>
      <c r="I108" t="s">
        <v>24</v>
      </c>
      <c r="J108">
        <v>2</v>
      </c>
    </row>
    <row r="109" spans="1:10" x14ac:dyDescent="0.45">
      <c r="A109" s="2">
        <v>45159</v>
      </c>
      <c r="B109">
        <v>8</v>
      </c>
      <c r="C109">
        <v>2023</v>
      </c>
      <c r="D109" t="s">
        <v>172</v>
      </c>
      <c r="E109">
        <v>3</v>
      </c>
      <c r="H109" s="2">
        <v>43991</v>
      </c>
      <c r="I109" t="s">
        <v>172</v>
      </c>
      <c r="J109">
        <v>3</v>
      </c>
    </row>
    <row r="110" spans="1:10" x14ac:dyDescent="0.45">
      <c r="A110" s="2">
        <v>45157</v>
      </c>
      <c r="B110">
        <v>8</v>
      </c>
      <c r="C110">
        <v>2023</v>
      </c>
      <c r="D110" t="s">
        <v>172</v>
      </c>
      <c r="E110">
        <v>5</v>
      </c>
      <c r="H110" s="2">
        <v>43992</v>
      </c>
      <c r="I110" t="s">
        <v>35</v>
      </c>
      <c r="J110">
        <v>4</v>
      </c>
    </row>
    <row r="111" spans="1:10" x14ac:dyDescent="0.45">
      <c r="A111" s="2">
        <v>45157</v>
      </c>
      <c r="B111">
        <v>8</v>
      </c>
      <c r="C111">
        <v>2023</v>
      </c>
      <c r="D111" t="s">
        <v>73</v>
      </c>
      <c r="E111">
        <v>1</v>
      </c>
      <c r="H111" s="2">
        <v>43994</v>
      </c>
      <c r="I111" t="s">
        <v>35</v>
      </c>
      <c r="J111">
        <v>4</v>
      </c>
    </row>
    <row r="112" spans="1:10" x14ac:dyDescent="0.45">
      <c r="A112" s="2">
        <v>45152</v>
      </c>
      <c r="B112">
        <v>8</v>
      </c>
      <c r="C112">
        <v>2023</v>
      </c>
      <c r="D112" t="s">
        <v>172</v>
      </c>
      <c r="E112">
        <v>3</v>
      </c>
      <c r="H112" s="2">
        <v>43996</v>
      </c>
      <c r="I112" t="s">
        <v>172</v>
      </c>
      <c r="J112">
        <v>5</v>
      </c>
    </row>
    <row r="113" spans="1:10" x14ac:dyDescent="0.45">
      <c r="A113" s="2">
        <v>45151</v>
      </c>
      <c r="B113">
        <v>8</v>
      </c>
      <c r="C113">
        <v>2023</v>
      </c>
      <c r="D113" t="s">
        <v>52</v>
      </c>
      <c r="E113">
        <v>1</v>
      </c>
      <c r="H113" s="2">
        <v>43997</v>
      </c>
      <c r="I113" t="s">
        <v>63</v>
      </c>
      <c r="J113">
        <v>4</v>
      </c>
    </row>
    <row r="114" spans="1:10" x14ac:dyDescent="0.45">
      <c r="A114" s="2">
        <v>45150</v>
      </c>
      <c r="B114">
        <v>8</v>
      </c>
      <c r="C114">
        <v>2023</v>
      </c>
      <c r="D114" t="s">
        <v>73</v>
      </c>
      <c r="E114">
        <v>1</v>
      </c>
      <c r="H114" s="2">
        <v>43999</v>
      </c>
      <c r="I114" t="s">
        <v>93</v>
      </c>
      <c r="J114">
        <v>2</v>
      </c>
    </row>
    <row r="115" spans="1:10" x14ac:dyDescent="0.45">
      <c r="A115" s="2">
        <v>45150</v>
      </c>
      <c r="B115">
        <v>8</v>
      </c>
      <c r="C115">
        <v>2023</v>
      </c>
      <c r="D115" t="s">
        <v>129</v>
      </c>
      <c r="E115">
        <v>3</v>
      </c>
      <c r="H115" s="2">
        <v>44000</v>
      </c>
      <c r="I115" t="s">
        <v>73</v>
      </c>
      <c r="J115">
        <v>1</v>
      </c>
    </row>
    <row r="116" spans="1:10" x14ac:dyDescent="0.45">
      <c r="A116" s="2">
        <v>45149</v>
      </c>
      <c r="B116">
        <v>8</v>
      </c>
      <c r="C116">
        <v>2023</v>
      </c>
      <c r="D116" t="s">
        <v>129</v>
      </c>
      <c r="E116">
        <v>4</v>
      </c>
      <c r="H116" s="2">
        <v>44002</v>
      </c>
      <c r="I116" t="s">
        <v>24</v>
      </c>
      <c r="J116">
        <v>5</v>
      </c>
    </row>
    <row r="117" spans="1:10" x14ac:dyDescent="0.45">
      <c r="A117" s="2">
        <v>45149</v>
      </c>
      <c r="B117">
        <v>8</v>
      </c>
      <c r="C117">
        <v>2023</v>
      </c>
      <c r="D117" t="s">
        <v>85</v>
      </c>
      <c r="E117">
        <v>2</v>
      </c>
      <c r="H117" s="2">
        <v>44003</v>
      </c>
      <c r="I117" t="s">
        <v>172</v>
      </c>
      <c r="J117">
        <v>3</v>
      </c>
    </row>
    <row r="118" spans="1:10" x14ac:dyDescent="0.45">
      <c r="A118" s="2">
        <v>45147</v>
      </c>
      <c r="B118">
        <v>8</v>
      </c>
      <c r="C118">
        <v>2023</v>
      </c>
      <c r="D118" t="s">
        <v>24</v>
      </c>
      <c r="E118">
        <v>2</v>
      </c>
      <c r="H118" s="2">
        <v>44005</v>
      </c>
      <c r="I118" t="s">
        <v>85</v>
      </c>
      <c r="J118">
        <v>5</v>
      </c>
    </row>
    <row r="119" spans="1:10" x14ac:dyDescent="0.45">
      <c r="A119" s="2">
        <v>45145</v>
      </c>
      <c r="B119">
        <v>8</v>
      </c>
      <c r="C119">
        <v>2023</v>
      </c>
      <c r="D119" t="s">
        <v>63</v>
      </c>
      <c r="E119">
        <v>5</v>
      </c>
      <c r="H119" s="2">
        <v>44005</v>
      </c>
      <c r="I119" t="s">
        <v>35</v>
      </c>
      <c r="J119">
        <v>1</v>
      </c>
    </row>
    <row r="120" spans="1:10" x14ac:dyDescent="0.45">
      <c r="A120" s="2">
        <v>45144</v>
      </c>
      <c r="B120">
        <v>8</v>
      </c>
      <c r="C120">
        <v>2023</v>
      </c>
      <c r="D120" t="s">
        <v>93</v>
      </c>
      <c r="E120">
        <v>4</v>
      </c>
      <c r="H120" s="2">
        <v>44006</v>
      </c>
      <c r="I120" t="s">
        <v>85</v>
      </c>
      <c r="J120">
        <v>5</v>
      </c>
    </row>
    <row r="121" spans="1:10" x14ac:dyDescent="0.45">
      <c r="A121" s="2">
        <v>45144</v>
      </c>
      <c r="B121">
        <v>8</v>
      </c>
      <c r="C121">
        <v>2023</v>
      </c>
      <c r="D121" t="s">
        <v>129</v>
      </c>
      <c r="E121">
        <v>3</v>
      </c>
      <c r="H121" s="2">
        <v>44007</v>
      </c>
      <c r="I121" t="s">
        <v>85</v>
      </c>
      <c r="J121">
        <v>4</v>
      </c>
    </row>
    <row r="122" spans="1:10" x14ac:dyDescent="0.45">
      <c r="A122" s="2">
        <v>45141</v>
      </c>
      <c r="B122">
        <v>8</v>
      </c>
      <c r="C122">
        <v>2023</v>
      </c>
      <c r="D122" t="s">
        <v>73</v>
      </c>
      <c r="E122">
        <v>3</v>
      </c>
      <c r="H122" s="2">
        <v>44009</v>
      </c>
      <c r="I122" t="s">
        <v>85</v>
      </c>
      <c r="J122">
        <v>5</v>
      </c>
    </row>
    <row r="123" spans="1:10" x14ac:dyDescent="0.45">
      <c r="A123" s="2">
        <v>45139</v>
      </c>
      <c r="B123">
        <v>8</v>
      </c>
      <c r="C123">
        <v>2023</v>
      </c>
      <c r="D123" t="s">
        <v>52</v>
      </c>
      <c r="E123">
        <v>2</v>
      </c>
      <c r="H123" s="2">
        <v>44010</v>
      </c>
      <c r="I123" t="s">
        <v>85</v>
      </c>
      <c r="J123">
        <v>7</v>
      </c>
    </row>
    <row r="124" spans="1:10" x14ac:dyDescent="0.45">
      <c r="A124" s="2">
        <v>45137</v>
      </c>
      <c r="B124">
        <v>7</v>
      </c>
      <c r="C124">
        <v>2023</v>
      </c>
      <c r="D124" t="s">
        <v>52</v>
      </c>
      <c r="E124">
        <v>3</v>
      </c>
      <c r="H124" s="2">
        <v>44010</v>
      </c>
      <c r="I124" t="s">
        <v>24</v>
      </c>
      <c r="J124">
        <v>4</v>
      </c>
    </row>
    <row r="125" spans="1:10" x14ac:dyDescent="0.45">
      <c r="A125" s="2">
        <v>45136</v>
      </c>
      <c r="B125">
        <v>7</v>
      </c>
      <c r="C125">
        <v>2023</v>
      </c>
      <c r="D125" t="s">
        <v>63</v>
      </c>
      <c r="E125">
        <v>2</v>
      </c>
      <c r="H125" s="2">
        <v>44012</v>
      </c>
      <c r="I125" t="s">
        <v>85</v>
      </c>
      <c r="J125">
        <v>1</v>
      </c>
    </row>
    <row r="126" spans="1:10" x14ac:dyDescent="0.45">
      <c r="A126" s="2">
        <v>45133</v>
      </c>
      <c r="B126">
        <v>7</v>
      </c>
      <c r="C126">
        <v>2023</v>
      </c>
      <c r="D126" t="s">
        <v>35</v>
      </c>
      <c r="E126">
        <v>3</v>
      </c>
      <c r="H126" s="2">
        <v>44012</v>
      </c>
      <c r="I126" t="s">
        <v>24</v>
      </c>
      <c r="J126">
        <v>5</v>
      </c>
    </row>
    <row r="127" spans="1:10" x14ac:dyDescent="0.45">
      <c r="A127" s="2">
        <v>45130</v>
      </c>
      <c r="B127">
        <v>7</v>
      </c>
      <c r="C127">
        <v>2023</v>
      </c>
      <c r="D127" t="s">
        <v>35</v>
      </c>
      <c r="E127">
        <v>3</v>
      </c>
      <c r="H127" s="2">
        <v>44012</v>
      </c>
      <c r="I127" t="s">
        <v>172</v>
      </c>
      <c r="J127">
        <v>3</v>
      </c>
    </row>
    <row r="128" spans="1:10" x14ac:dyDescent="0.45">
      <c r="A128" s="2">
        <v>45128</v>
      </c>
      <c r="B128">
        <v>7</v>
      </c>
      <c r="C128">
        <v>2023</v>
      </c>
      <c r="D128" t="s">
        <v>35</v>
      </c>
      <c r="E128">
        <v>5</v>
      </c>
      <c r="H128" s="2">
        <v>44017</v>
      </c>
      <c r="I128" t="s">
        <v>63</v>
      </c>
      <c r="J128">
        <v>3</v>
      </c>
    </row>
    <row r="129" spans="1:10" x14ac:dyDescent="0.45">
      <c r="A129" s="2">
        <v>45126</v>
      </c>
      <c r="B129">
        <v>7</v>
      </c>
      <c r="C129">
        <v>2023</v>
      </c>
      <c r="D129" t="s">
        <v>24</v>
      </c>
      <c r="E129">
        <v>1</v>
      </c>
      <c r="H129" s="2">
        <v>44018</v>
      </c>
      <c r="I129" t="s">
        <v>73</v>
      </c>
      <c r="J129">
        <v>3</v>
      </c>
    </row>
    <row r="130" spans="1:10" x14ac:dyDescent="0.45">
      <c r="A130" s="2">
        <v>45126</v>
      </c>
      <c r="B130">
        <v>7</v>
      </c>
      <c r="C130">
        <v>2023</v>
      </c>
      <c r="D130" t="s">
        <v>85</v>
      </c>
      <c r="E130">
        <v>2</v>
      </c>
      <c r="H130" s="2">
        <v>44018</v>
      </c>
      <c r="I130" t="s">
        <v>24</v>
      </c>
      <c r="J130">
        <v>2</v>
      </c>
    </row>
    <row r="131" spans="1:10" x14ac:dyDescent="0.45">
      <c r="A131" s="2">
        <v>45126</v>
      </c>
      <c r="B131">
        <v>7</v>
      </c>
      <c r="C131">
        <v>2023</v>
      </c>
      <c r="D131" t="s">
        <v>93</v>
      </c>
      <c r="E131">
        <v>2</v>
      </c>
      <c r="H131" s="2">
        <v>44019</v>
      </c>
      <c r="I131" t="s">
        <v>73</v>
      </c>
      <c r="J131">
        <v>2</v>
      </c>
    </row>
    <row r="132" spans="1:10" x14ac:dyDescent="0.45">
      <c r="A132" s="2">
        <v>45126</v>
      </c>
      <c r="B132">
        <v>7</v>
      </c>
      <c r="C132">
        <v>2023</v>
      </c>
      <c r="D132" t="s">
        <v>129</v>
      </c>
      <c r="E132">
        <v>2</v>
      </c>
      <c r="H132" s="2">
        <v>44021</v>
      </c>
      <c r="I132" t="s">
        <v>85</v>
      </c>
      <c r="J132">
        <v>1</v>
      </c>
    </row>
    <row r="133" spans="1:10" x14ac:dyDescent="0.45">
      <c r="A133" s="2">
        <v>45125</v>
      </c>
      <c r="B133">
        <v>7</v>
      </c>
      <c r="C133">
        <v>2023</v>
      </c>
      <c r="D133" t="s">
        <v>73</v>
      </c>
      <c r="E133">
        <v>2</v>
      </c>
      <c r="H133" s="2">
        <v>44021</v>
      </c>
      <c r="I133" t="s">
        <v>172</v>
      </c>
      <c r="J133">
        <v>4</v>
      </c>
    </row>
    <row r="134" spans="1:10" x14ac:dyDescent="0.45">
      <c r="A134" s="2">
        <v>45124</v>
      </c>
      <c r="B134">
        <v>7</v>
      </c>
      <c r="C134">
        <v>2023</v>
      </c>
      <c r="D134" t="s">
        <v>35</v>
      </c>
      <c r="E134">
        <v>1</v>
      </c>
      <c r="H134" s="2">
        <v>44028</v>
      </c>
      <c r="I134" t="s">
        <v>35</v>
      </c>
      <c r="J134">
        <v>4</v>
      </c>
    </row>
    <row r="135" spans="1:10" x14ac:dyDescent="0.45">
      <c r="A135" s="2">
        <v>45122</v>
      </c>
      <c r="B135">
        <v>7</v>
      </c>
      <c r="C135">
        <v>2023</v>
      </c>
      <c r="D135" t="s">
        <v>35</v>
      </c>
      <c r="E135">
        <v>5</v>
      </c>
      <c r="H135" s="2">
        <v>44030</v>
      </c>
      <c r="I135" t="s">
        <v>52</v>
      </c>
      <c r="J135">
        <v>2</v>
      </c>
    </row>
    <row r="136" spans="1:10" x14ac:dyDescent="0.45">
      <c r="A136" s="2">
        <v>45121</v>
      </c>
      <c r="B136">
        <v>7</v>
      </c>
      <c r="C136">
        <v>2023</v>
      </c>
      <c r="D136" t="s">
        <v>63</v>
      </c>
      <c r="E136">
        <v>2</v>
      </c>
      <c r="H136" s="2">
        <v>44031</v>
      </c>
      <c r="I136" t="s">
        <v>73</v>
      </c>
      <c r="J136">
        <v>3</v>
      </c>
    </row>
    <row r="137" spans="1:10" x14ac:dyDescent="0.45">
      <c r="A137" s="2">
        <v>45120</v>
      </c>
      <c r="B137">
        <v>7</v>
      </c>
      <c r="C137">
        <v>2023</v>
      </c>
      <c r="D137" t="s">
        <v>52</v>
      </c>
      <c r="E137">
        <v>1</v>
      </c>
      <c r="H137" s="2">
        <v>44032</v>
      </c>
      <c r="I137" t="s">
        <v>24</v>
      </c>
      <c r="J137">
        <v>4</v>
      </c>
    </row>
    <row r="138" spans="1:10" x14ac:dyDescent="0.45">
      <c r="A138" s="2">
        <v>45119</v>
      </c>
      <c r="B138">
        <v>7</v>
      </c>
      <c r="C138">
        <v>2023</v>
      </c>
      <c r="D138" t="s">
        <v>93</v>
      </c>
      <c r="E138">
        <v>3</v>
      </c>
      <c r="H138" s="2">
        <v>44033</v>
      </c>
      <c r="I138" t="s">
        <v>63</v>
      </c>
      <c r="J138">
        <v>3</v>
      </c>
    </row>
    <row r="139" spans="1:10" x14ac:dyDescent="0.45">
      <c r="A139" s="2">
        <v>45118</v>
      </c>
      <c r="B139">
        <v>7</v>
      </c>
      <c r="C139">
        <v>2023</v>
      </c>
      <c r="D139" t="s">
        <v>85</v>
      </c>
      <c r="E139">
        <v>5</v>
      </c>
      <c r="H139" s="2">
        <v>44036</v>
      </c>
      <c r="I139" t="s">
        <v>73</v>
      </c>
      <c r="J139">
        <v>3</v>
      </c>
    </row>
    <row r="140" spans="1:10" x14ac:dyDescent="0.45">
      <c r="A140" s="2">
        <v>45117</v>
      </c>
      <c r="B140">
        <v>7</v>
      </c>
      <c r="C140">
        <v>2023</v>
      </c>
      <c r="D140" t="s">
        <v>129</v>
      </c>
      <c r="E140">
        <v>4</v>
      </c>
      <c r="H140" s="2">
        <v>44037</v>
      </c>
      <c r="I140" t="s">
        <v>35</v>
      </c>
      <c r="J140">
        <v>4</v>
      </c>
    </row>
    <row r="141" spans="1:10" x14ac:dyDescent="0.45">
      <c r="A141" s="2">
        <v>45116</v>
      </c>
      <c r="B141">
        <v>7</v>
      </c>
      <c r="C141">
        <v>2023</v>
      </c>
      <c r="D141" t="s">
        <v>24</v>
      </c>
      <c r="E141">
        <v>1</v>
      </c>
      <c r="H141" s="2">
        <v>44039</v>
      </c>
      <c r="I141" t="s">
        <v>63</v>
      </c>
      <c r="J141">
        <v>5</v>
      </c>
    </row>
    <row r="142" spans="1:10" x14ac:dyDescent="0.45">
      <c r="A142" s="2">
        <v>45116</v>
      </c>
      <c r="B142">
        <v>7</v>
      </c>
      <c r="C142">
        <v>2023</v>
      </c>
      <c r="D142" t="s">
        <v>35</v>
      </c>
      <c r="E142">
        <v>1</v>
      </c>
      <c r="H142" s="2">
        <v>44039</v>
      </c>
      <c r="I142" t="s">
        <v>172</v>
      </c>
      <c r="J142">
        <v>4</v>
      </c>
    </row>
    <row r="143" spans="1:10" x14ac:dyDescent="0.45">
      <c r="A143" s="2">
        <v>45115</v>
      </c>
      <c r="B143">
        <v>7</v>
      </c>
      <c r="C143">
        <v>2023</v>
      </c>
      <c r="D143" t="s">
        <v>52</v>
      </c>
      <c r="E143">
        <v>5</v>
      </c>
      <c r="H143" s="2">
        <v>44040</v>
      </c>
      <c r="I143" t="s">
        <v>63</v>
      </c>
      <c r="J143">
        <v>5</v>
      </c>
    </row>
    <row r="144" spans="1:10" x14ac:dyDescent="0.45">
      <c r="A144" s="2">
        <v>45114</v>
      </c>
      <c r="B144">
        <v>7</v>
      </c>
      <c r="C144">
        <v>2023</v>
      </c>
      <c r="D144" t="s">
        <v>63</v>
      </c>
      <c r="E144">
        <v>5</v>
      </c>
      <c r="H144" s="2">
        <v>44041</v>
      </c>
      <c r="I144" t="s">
        <v>93</v>
      </c>
      <c r="J144">
        <v>5</v>
      </c>
    </row>
    <row r="145" spans="1:10" x14ac:dyDescent="0.45">
      <c r="A145" s="2">
        <v>45110</v>
      </c>
      <c r="B145">
        <v>7</v>
      </c>
      <c r="C145">
        <v>2023</v>
      </c>
      <c r="D145" t="s">
        <v>52</v>
      </c>
      <c r="E145">
        <v>2</v>
      </c>
      <c r="H145" s="2">
        <v>44042</v>
      </c>
      <c r="I145" t="s">
        <v>35</v>
      </c>
      <c r="J145">
        <v>3</v>
      </c>
    </row>
    <row r="146" spans="1:10" x14ac:dyDescent="0.45">
      <c r="A146" s="2">
        <v>45108</v>
      </c>
      <c r="B146">
        <v>7</v>
      </c>
      <c r="C146">
        <v>2023</v>
      </c>
      <c r="D146" t="s">
        <v>63</v>
      </c>
      <c r="E146">
        <v>2</v>
      </c>
      <c r="H146" s="2">
        <v>44042</v>
      </c>
      <c r="I146" t="s">
        <v>172</v>
      </c>
      <c r="J146">
        <v>3</v>
      </c>
    </row>
    <row r="147" spans="1:10" x14ac:dyDescent="0.45">
      <c r="A147" s="2">
        <v>45104</v>
      </c>
      <c r="B147">
        <v>6</v>
      </c>
      <c r="C147">
        <v>2023</v>
      </c>
      <c r="D147" t="s">
        <v>172</v>
      </c>
      <c r="E147">
        <v>5</v>
      </c>
      <c r="H147" s="2">
        <v>44047</v>
      </c>
      <c r="I147" t="s">
        <v>85</v>
      </c>
      <c r="J147">
        <v>1</v>
      </c>
    </row>
    <row r="148" spans="1:10" x14ac:dyDescent="0.45">
      <c r="A148" s="2">
        <v>45104</v>
      </c>
      <c r="B148">
        <v>6</v>
      </c>
      <c r="C148">
        <v>2023</v>
      </c>
      <c r="D148" t="s">
        <v>93</v>
      </c>
      <c r="E148">
        <v>2</v>
      </c>
      <c r="H148" s="2">
        <v>44047</v>
      </c>
      <c r="I148" t="s">
        <v>52</v>
      </c>
      <c r="J148">
        <v>4</v>
      </c>
    </row>
    <row r="149" spans="1:10" x14ac:dyDescent="0.45">
      <c r="A149" s="2">
        <v>45103</v>
      </c>
      <c r="B149">
        <v>6</v>
      </c>
      <c r="C149">
        <v>2023</v>
      </c>
      <c r="D149" t="s">
        <v>73</v>
      </c>
      <c r="E149">
        <v>1</v>
      </c>
      <c r="H149" s="2">
        <v>44048</v>
      </c>
      <c r="I149" t="s">
        <v>85</v>
      </c>
      <c r="J149">
        <v>2</v>
      </c>
    </row>
    <row r="150" spans="1:10" x14ac:dyDescent="0.45">
      <c r="A150" s="2">
        <v>45103</v>
      </c>
      <c r="B150">
        <v>6</v>
      </c>
      <c r="C150">
        <v>2023</v>
      </c>
      <c r="D150" t="s">
        <v>24</v>
      </c>
      <c r="E150">
        <v>5</v>
      </c>
      <c r="H150" s="2">
        <v>44049</v>
      </c>
      <c r="I150" t="s">
        <v>129</v>
      </c>
      <c r="J150">
        <v>4</v>
      </c>
    </row>
    <row r="151" spans="1:10" x14ac:dyDescent="0.45">
      <c r="A151" s="2">
        <v>45102</v>
      </c>
      <c r="B151">
        <v>6</v>
      </c>
      <c r="C151">
        <v>2023</v>
      </c>
      <c r="D151" t="s">
        <v>24</v>
      </c>
      <c r="E151">
        <v>5</v>
      </c>
      <c r="H151" s="2">
        <v>44049</v>
      </c>
      <c r="I151" t="s">
        <v>35</v>
      </c>
      <c r="J151">
        <v>4</v>
      </c>
    </row>
    <row r="152" spans="1:10" x14ac:dyDescent="0.45">
      <c r="A152" s="2">
        <v>45098</v>
      </c>
      <c r="B152">
        <v>6</v>
      </c>
      <c r="C152">
        <v>2023</v>
      </c>
      <c r="D152" t="s">
        <v>93</v>
      </c>
      <c r="E152">
        <v>3</v>
      </c>
      <c r="H152" s="2">
        <v>44051</v>
      </c>
      <c r="I152" t="s">
        <v>63</v>
      </c>
      <c r="J152">
        <v>4</v>
      </c>
    </row>
    <row r="153" spans="1:10" x14ac:dyDescent="0.45">
      <c r="A153" s="2">
        <v>45095</v>
      </c>
      <c r="B153">
        <v>6</v>
      </c>
      <c r="C153">
        <v>2023</v>
      </c>
      <c r="D153" t="s">
        <v>35</v>
      </c>
      <c r="E153">
        <v>3</v>
      </c>
      <c r="H153" s="2">
        <v>44052</v>
      </c>
      <c r="I153" t="s">
        <v>52</v>
      </c>
      <c r="J153">
        <v>2</v>
      </c>
    </row>
    <row r="154" spans="1:10" x14ac:dyDescent="0.45">
      <c r="A154" s="2">
        <v>45093</v>
      </c>
      <c r="B154">
        <v>6</v>
      </c>
      <c r="C154">
        <v>2023</v>
      </c>
      <c r="D154" t="s">
        <v>85</v>
      </c>
      <c r="E154">
        <v>4</v>
      </c>
      <c r="H154" s="2">
        <v>44053</v>
      </c>
      <c r="I154" t="s">
        <v>35</v>
      </c>
      <c r="J154">
        <v>3</v>
      </c>
    </row>
    <row r="155" spans="1:10" x14ac:dyDescent="0.45">
      <c r="A155" s="2">
        <v>45092</v>
      </c>
      <c r="B155">
        <v>6</v>
      </c>
      <c r="C155">
        <v>2023</v>
      </c>
      <c r="D155" t="s">
        <v>93</v>
      </c>
      <c r="E155">
        <v>2</v>
      </c>
      <c r="H155" s="2">
        <v>44053</v>
      </c>
      <c r="I155" t="s">
        <v>24</v>
      </c>
      <c r="J155">
        <v>4</v>
      </c>
    </row>
    <row r="156" spans="1:10" x14ac:dyDescent="0.45">
      <c r="A156" s="2">
        <v>45092</v>
      </c>
      <c r="B156">
        <v>6</v>
      </c>
      <c r="C156">
        <v>2023</v>
      </c>
      <c r="D156" t="s">
        <v>35</v>
      </c>
      <c r="E156">
        <v>4</v>
      </c>
      <c r="H156" s="2">
        <v>44054</v>
      </c>
      <c r="I156" t="s">
        <v>172</v>
      </c>
      <c r="J156">
        <v>1</v>
      </c>
    </row>
    <row r="157" spans="1:10" x14ac:dyDescent="0.45">
      <c r="A157" s="2">
        <v>45090</v>
      </c>
      <c r="B157">
        <v>6</v>
      </c>
      <c r="C157">
        <v>2023</v>
      </c>
      <c r="D157" t="s">
        <v>172</v>
      </c>
      <c r="E157">
        <v>5</v>
      </c>
      <c r="H157" s="2">
        <v>44055</v>
      </c>
      <c r="I157" t="s">
        <v>52</v>
      </c>
      <c r="J157">
        <v>1</v>
      </c>
    </row>
    <row r="158" spans="1:10" x14ac:dyDescent="0.45">
      <c r="A158" s="2">
        <v>45089</v>
      </c>
      <c r="B158">
        <v>6</v>
      </c>
      <c r="C158">
        <v>2023</v>
      </c>
      <c r="D158" t="s">
        <v>35</v>
      </c>
      <c r="E158">
        <v>4</v>
      </c>
      <c r="H158" s="2">
        <v>44056</v>
      </c>
      <c r="I158" t="s">
        <v>24</v>
      </c>
      <c r="J158">
        <v>1</v>
      </c>
    </row>
    <row r="159" spans="1:10" x14ac:dyDescent="0.45">
      <c r="A159" s="2">
        <v>45087</v>
      </c>
      <c r="B159">
        <v>6</v>
      </c>
      <c r="C159">
        <v>2023</v>
      </c>
      <c r="D159" t="s">
        <v>73</v>
      </c>
      <c r="E159">
        <v>3</v>
      </c>
      <c r="H159" s="2">
        <v>44057</v>
      </c>
      <c r="I159" t="s">
        <v>172</v>
      </c>
      <c r="J159">
        <v>5</v>
      </c>
    </row>
    <row r="160" spans="1:10" x14ac:dyDescent="0.45">
      <c r="A160" s="2">
        <v>45086</v>
      </c>
      <c r="B160">
        <v>6</v>
      </c>
      <c r="C160">
        <v>2023</v>
      </c>
      <c r="D160" t="s">
        <v>73</v>
      </c>
      <c r="E160">
        <v>2</v>
      </c>
      <c r="H160" s="2">
        <v>44059</v>
      </c>
      <c r="I160" t="s">
        <v>85</v>
      </c>
      <c r="J160">
        <v>4</v>
      </c>
    </row>
    <row r="161" spans="1:10" x14ac:dyDescent="0.45">
      <c r="A161" s="2">
        <v>45085</v>
      </c>
      <c r="B161">
        <v>6</v>
      </c>
      <c r="C161">
        <v>2023</v>
      </c>
      <c r="D161" t="s">
        <v>172</v>
      </c>
      <c r="E161">
        <v>2</v>
      </c>
      <c r="H161" s="2">
        <v>44064</v>
      </c>
      <c r="I161" t="s">
        <v>172</v>
      </c>
      <c r="J161">
        <v>1</v>
      </c>
    </row>
    <row r="162" spans="1:10" x14ac:dyDescent="0.45">
      <c r="A162" s="2">
        <v>45082</v>
      </c>
      <c r="B162">
        <v>6</v>
      </c>
      <c r="C162">
        <v>2023</v>
      </c>
      <c r="D162" t="s">
        <v>85</v>
      </c>
      <c r="E162">
        <v>2</v>
      </c>
      <c r="H162" s="2">
        <v>44067</v>
      </c>
      <c r="I162" t="s">
        <v>35</v>
      </c>
      <c r="J162">
        <v>3</v>
      </c>
    </row>
    <row r="163" spans="1:10" x14ac:dyDescent="0.45">
      <c r="A163" s="2">
        <v>45080</v>
      </c>
      <c r="B163">
        <v>6</v>
      </c>
      <c r="C163">
        <v>2023</v>
      </c>
      <c r="D163" t="s">
        <v>172</v>
      </c>
      <c r="E163">
        <v>3</v>
      </c>
      <c r="H163" s="2">
        <v>44067</v>
      </c>
      <c r="I163" t="s">
        <v>24</v>
      </c>
      <c r="J163">
        <v>1</v>
      </c>
    </row>
    <row r="164" spans="1:10" x14ac:dyDescent="0.45">
      <c r="A164" s="2">
        <v>45079</v>
      </c>
      <c r="B164">
        <v>6</v>
      </c>
      <c r="C164">
        <v>2023</v>
      </c>
      <c r="D164" t="s">
        <v>73</v>
      </c>
      <c r="E164">
        <v>5</v>
      </c>
      <c r="H164" s="2">
        <v>44070</v>
      </c>
      <c r="I164" t="s">
        <v>73</v>
      </c>
      <c r="J164">
        <v>1</v>
      </c>
    </row>
    <row r="165" spans="1:10" x14ac:dyDescent="0.45">
      <c r="A165" s="2">
        <v>45079</v>
      </c>
      <c r="B165">
        <v>6</v>
      </c>
      <c r="C165">
        <v>2023</v>
      </c>
      <c r="D165" t="s">
        <v>93</v>
      </c>
      <c r="E165">
        <v>3</v>
      </c>
      <c r="H165" s="2">
        <v>44075</v>
      </c>
      <c r="I165" t="s">
        <v>35</v>
      </c>
      <c r="J165">
        <v>2</v>
      </c>
    </row>
    <row r="166" spans="1:10" x14ac:dyDescent="0.45">
      <c r="A166" s="2">
        <v>45078</v>
      </c>
      <c r="B166">
        <v>6</v>
      </c>
      <c r="C166">
        <v>2023</v>
      </c>
      <c r="D166" t="s">
        <v>35</v>
      </c>
      <c r="E166">
        <v>3</v>
      </c>
      <c r="H166" s="2">
        <v>44075</v>
      </c>
      <c r="I166" t="s">
        <v>63</v>
      </c>
      <c r="J166">
        <v>3</v>
      </c>
    </row>
    <row r="167" spans="1:10" x14ac:dyDescent="0.45">
      <c r="A167" s="2">
        <v>45075</v>
      </c>
      <c r="B167">
        <v>5</v>
      </c>
      <c r="C167">
        <v>2023</v>
      </c>
      <c r="D167" t="s">
        <v>73</v>
      </c>
      <c r="E167">
        <v>3</v>
      </c>
      <c r="H167" s="2">
        <v>44076</v>
      </c>
      <c r="I167" t="s">
        <v>93</v>
      </c>
      <c r="J167">
        <v>4</v>
      </c>
    </row>
    <row r="168" spans="1:10" x14ac:dyDescent="0.45">
      <c r="A168" s="2">
        <v>45075</v>
      </c>
      <c r="B168">
        <v>5</v>
      </c>
      <c r="C168">
        <v>2023</v>
      </c>
      <c r="D168" t="s">
        <v>35</v>
      </c>
      <c r="E168">
        <v>2</v>
      </c>
      <c r="H168" s="2">
        <v>44078</v>
      </c>
      <c r="I168" t="s">
        <v>85</v>
      </c>
      <c r="J168">
        <v>3</v>
      </c>
    </row>
    <row r="169" spans="1:10" x14ac:dyDescent="0.45">
      <c r="A169" s="2">
        <v>45072</v>
      </c>
      <c r="B169">
        <v>5</v>
      </c>
      <c r="C169">
        <v>2023</v>
      </c>
      <c r="D169" t="s">
        <v>73</v>
      </c>
      <c r="E169">
        <v>5</v>
      </c>
      <c r="H169" s="2">
        <v>44079</v>
      </c>
      <c r="I169" t="s">
        <v>73</v>
      </c>
      <c r="J169">
        <v>1</v>
      </c>
    </row>
    <row r="170" spans="1:10" x14ac:dyDescent="0.45">
      <c r="A170" s="2">
        <v>45070</v>
      </c>
      <c r="B170">
        <v>5</v>
      </c>
      <c r="C170">
        <v>2023</v>
      </c>
      <c r="D170" t="s">
        <v>93</v>
      </c>
      <c r="E170">
        <v>4</v>
      </c>
      <c r="H170" s="2">
        <v>44079</v>
      </c>
      <c r="I170" t="s">
        <v>93</v>
      </c>
      <c r="J170">
        <v>3</v>
      </c>
    </row>
    <row r="171" spans="1:10" x14ac:dyDescent="0.45">
      <c r="A171" s="2">
        <v>45067</v>
      </c>
      <c r="B171">
        <v>5</v>
      </c>
      <c r="C171">
        <v>2023</v>
      </c>
      <c r="D171" t="s">
        <v>172</v>
      </c>
      <c r="E171">
        <v>3</v>
      </c>
      <c r="H171" s="2">
        <v>44079</v>
      </c>
      <c r="I171" t="s">
        <v>63</v>
      </c>
      <c r="J171">
        <v>2</v>
      </c>
    </row>
    <row r="172" spans="1:10" x14ac:dyDescent="0.45">
      <c r="A172" s="2">
        <v>45067</v>
      </c>
      <c r="B172">
        <v>5</v>
      </c>
      <c r="C172">
        <v>2023</v>
      </c>
      <c r="D172" t="s">
        <v>129</v>
      </c>
      <c r="E172">
        <v>3</v>
      </c>
      <c r="H172" s="2">
        <v>44082</v>
      </c>
      <c r="I172" t="s">
        <v>63</v>
      </c>
      <c r="J172">
        <v>5</v>
      </c>
    </row>
    <row r="173" spans="1:10" x14ac:dyDescent="0.45">
      <c r="A173" s="2">
        <v>45066</v>
      </c>
      <c r="B173">
        <v>5</v>
      </c>
      <c r="C173">
        <v>2023</v>
      </c>
      <c r="D173" t="s">
        <v>63</v>
      </c>
      <c r="E173">
        <v>5</v>
      </c>
      <c r="H173" s="2">
        <v>44083</v>
      </c>
      <c r="I173" t="s">
        <v>35</v>
      </c>
      <c r="J173">
        <v>4</v>
      </c>
    </row>
    <row r="174" spans="1:10" x14ac:dyDescent="0.45">
      <c r="A174" s="2">
        <v>45065</v>
      </c>
      <c r="B174">
        <v>5</v>
      </c>
      <c r="C174">
        <v>2023</v>
      </c>
      <c r="D174" t="s">
        <v>129</v>
      </c>
      <c r="E174">
        <v>3</v>
      </c>
      <c r="H174" s="2">
        <v>44084</v>
      </c>
      <c r="I174" t="s">
        <v>73</v>
      </c>
      <c r="J174">
        <v>4</v>
      </c>
    </row>
    <row r="175" spans="1:10" x14ac:dyDescent="0.45">
      <c r="A175" s="2">
        <v>45062</v>
      </c>
      <c r="B175">
        <v>5</v>
      </c>
      <c r="C175">
        <v>2023</v>
      </c>
      <c r="D175" t="s">
        <v>129</v>
      </c>
      <c r="E175">
        <v>3</v>
      </c>
      <c r="H175" s="2">
        <v>44084</v>
      </c>
      <c r="I175" t="s">
        <v>172</v>
      </c>
      <c r="J175">
        <v>2</v>
      </c>
    </row>
    <row r="176" spans="1:10" x14ac:dyDescent="0.45">
      <c r="A176" s="2">
        <v>45059</v>
      </c>
      <c r="B176">
        <v>5</v>
      </c>
      <c r="C176">
        <v>2023</v>
      </c>
      <c r="D176" t="s">
        <v>73</v>
      </c>
      <c r="E176">
        <v>4</v>
      </c>
      <c r="H176" s="2">
        <v>44085</v>
      </c>
      <c r="I176" t="s">
        <v>85</v>
      </c>
      <c r="J176">
        <v>4</v>
      </c>
    </row>
    <row r="177" spans="1:10" x14ac:dyDescent="0.45">
      <c r="A177" s="2">
        <v>45057</v>
      </c>
      <c r="B177">
        <v>5</v>
      </c>
      <c r="C177">
        <v>2023</v>
      </c>
      <c r="D177" t="s">
        <v>129</v>
      </c>
      <c r="E177">
        <v>4</v>
      </c>
      <c r="H177" s="2">
        <v>44087</v>
      </c>
      <c r="I177" t="s">
        <v>85</v>
      </c>
      <c r="J177">
        <v>3</v>
      </c>
    </row>
    <row r="178" spans="1:10" x14ac:dyDescent="0.45">
      <c r="A178" s="2">
        <v>45055</v>
      </c>
      <c r="B178">
        <v>5</v>
      </c>
      <c r="C178">
        <v>2023</v>
      </c>
      <c r="D178" t="s">
        <v>73</v>
      </c>
      <c r="E178">
        <v>4</v>
      </c>
      <c r="H178" s="2">
        <v>44088</v>
      </c>
      <c r="I178" t="s">
        <v>85</v>
      </c>
      <c r="J178">
        <v>2</v>
      </c>
    </row>
    <row r="179" spans="1:10" x14ac:dyDescent="0.45">
      <c r="A179" s="2">
        <v>45054</v>
      </c>
      <c r="B179">
        <v>5</v>
      </c>
      <c r="C179">
        <v>2023</v>
      </c>
      <c r="D179" t="s">
        <v>93</v>
      </c>
      <c r="E179">
        <v>2</v>
      </c>
      <c r="H179" s="2">
        <v>44088</v>
      </c>
      <c r="I179" t="s">
        <v>63</v>
      </c>
      <c r="J179">
        <v>4</v>
      </c>
    </row>
    <row r="180" spans="1:10" x14ac:dyDescent="0.45">
      <c r="A180" s="2">
        <v>45052</v>
      </c>
      <c r="B180">
        <v>5</v>
      </c>
      <c r="C180">
        <v>2023</v>
      </c>
      <c r="D180" t="s">
        <v>172</v>
      </c>
      <c r="E180">
        <v>4</v>
      </c>
      <c r="H180" s="2">
        <v>44089</v>
      </c>
      <c r="I180" t="s">
        <v>35</v>
      </c>
      <c r="J180">
        <v>4</v>
      </c>
    </row>
    <row r="181" spans="1:10" x14ac:dyDescent="0.45">
      <c r="A181" s="2">
        <v>45052</v>
      </c>
      <c r="B181">
        <v>5</v>
      </c>
      <c r="C181">
        <v>2023</v>
      </c>
      <c r="D181" t="s">
        <v>172</v>
      </c>
      <c r="E181">
        <v>4</v>
      </c>
      <c r="H181" s="2">
        <v>44089</v>
      </c>
      <c r="I181" t="s">
        <v>63</v>
      </c>
      <c r="J181">
        <v>4</v>
      </c>
    </row>
    <row r="182" spans="1:10" x14ac:dyDescent="0.45">
      <c r="A182" s="2">
        <v>45052</v>
      </c>
      <c r="B182">
        <v>5</v>
      </c>
      <c r="C182">
        <v>2023</v>
      </c>
      <c r="D182" t="s">
        <v>73</v>
      </c>
      <c r="E182">
        <v>5</v>
      </c>
      <c r="H182" s="2">
        <v>44093</v>
      </c>
      <c r="I182" t="s">
        <v>24</v>
      </c>
      <c r="J182">
        <v>3</v>
      </c>
    </row>
    <row r="183" spans="1:10" x14ac:dyDescent="0.45">
      <c r="A183" s="2">
        <v>45048</v>
      </c>
      <c r="B183">
        <v>5</v>
      </c>
      <c r="C183">
        <v>2023</v>
      </c>
      <c r="D183" t="s">
        <v>85</v>
      </c>
      <c r="E183">
        <v>2</v>
      </c>
      <c r="H183" s="2">
        <v>44095</v>
      </c>
      <c r="I183" t="s">
        <v>172</v>
      </c>
      <c r="J183">
        <v>4</v>
      </c>
    </row>
    <row r="184" spans="1:10" x14ac:dyDescent="0.45">
      <c r="A184" s="2">
        <v>45047</v>
      </c>
      <c r="B184">
        <v>5</v>
      </c>
      <c r="C184">
        <v>2023</v>
      </c>
      <c r="D184" t="s">
        <v>63</v>
      </c>
      <c r="E184">
        <v>4</v>
      </c>
      <c r="H184" s="2">
        <v>44098</v>
      </c>
      <c r="I184" t="s">
        <v>73</v>
      </c>
      <c r="J184">
        <v>2</v>
      </c>
    </row>
    <row r="185" spans="1:10" x14ac:dyDescent="0.45">
      <c r="A185" s="2">
        <v>45045</v>
      </c>
      <c r="B185">
        <v>4</v>
      </c>
      <c r="C185">
        <v>2023</v>
      </c>
      <c r="D185" t="s">
        <v>73</v>
      </c>
      <c r="E185">
        <v>5</v>
      </c>
      <c r="H185" s="2">
        <v>44098</v>
      </c>
      <c r="I185" t="s">
        <v>63</v>
      </c>
      <c r="J185">
        <v>5</v>
      </c>
    </row>
    <row r="186" spans="1:10" x14ac:dyDescent="0.45">
      <c r="A186" s="2">
        <v>45045</v>
      </c>
      <c r="B186">
        <v>4</v>
      </c>
      <c r="C186">
        <v>2023</v>
      </c>
      <c r="D186" t="s">
        <v>73</v>
      </c>
      <c r="E186">
        <v>4</v>
      </c>
      <c r="H186" s="2">
        <v>44099</v>
      </c>
      <c r="I186" t="s">
        <v>85</v>
      </c>
      <c r="J186">
        <v>2</v>
      </c>
    </row>
    <row r="187" spans="1:10" x14ac:dyDescent="0.45">
      <c r="A187" s="2">
        <v>45044</v>
      </c>
      <c r="B187">
        <v>4</v>
      </c>
      <c r="C187">
        <v>2023</v>
      </c>
      <c r="D187" t="s">
        <v>73</v>
      </c>
      <c r="E187">
        <v>1</v>
      </c>
      <c r="H187" s="2">
        <v>44102</v>
      </c>
      <c r="I187" t="s">
        <v>129</v>
      </c>
      <c r="J187">
        <v>5</v>
      </c>
    </row>
    <row r="188" spans="1:10" x14ac:dyDescent="0.45">
      <c r="A188" s="2">
        <v>45044</v>
      </c>
      <c r="B188">
        <v>4</v>
      </c>
      <c r="C188">
        <v>2023</v>
      </c>
      <c r="D188" t="s">
        <v>35</v>
      </c>
      <c r="E188">
        <v>5</v>
      </c>
      <c r="H188" s="2">
        <v>44104</v>
      </c>
      <c r="I188" t="s">
        <v>93</v>
      </c>
      <c r="J188">
        <v>1</v>
      </c>
    </row>
    <row r="189" spans="1:10" x14ac:dyDescent="0.45">
      <c r="A189" s="2">
        <v>45042</v>
      </c>
      <c r="B189">
        <v>4</v>
      </c>
      <c r="C189">
        <v>2023</v>
      </c>
      <c r="D189" t="s">
        <v>172</v>
      </c>
      <c r="E189">
        <v>3</v>
      </c>
      <c r="H189" s="2">
        <v>44106</v>
      </c>
      <c r="I189" t="s">
        <v>93</v>
      </c>
      <c r="J189">
        <v>1</v>
      </c>
    </row>
    <row r="190" spans="1:10" x14ac:dyDescent="0.45">
      <c r="A190" s="2">
        <v>45040</v>
      </c>
      <c r="B190">
        <v>4</v>
      </c>
      <c r="C190">
        <v>2023</v>
      </c>
      <c r="D190" t="s">
        <v>52</v>
      </c>
      <c r="E190">
        <v>4</v>
      </c>
      <c r="H190" s="2">
        <v>44109</v>
      </c>
      <c r="I190" t="s">
        <v>24</v>
      </c>
      <c r="J190">
        <v>4</v>
      </c>
    </row>
    <row r="191" spans="1:10" x14ac:dyDescent="0.45">
      <c r="A191" s="2">
        <v>45040</v>
      </c>
      <c r="B191">
        <v>4</v>
      </c>
      <c r="C191">
        <v>2023</v>
      </c>
      <c r="D191" t="s">
        <v>129</v>
      </c>
      <c r="E191">
        <v>4</v>
      </c>
      <c r="H191" s="2">
        <v>44110</v>
      </c>
      <c r="I191" t="s">
        <v>172</v>
      </c>
      <c r="J191">
        <v>4</v>
      </c>
    </row>
    <row r="192" spans="1:10" x14ac:dyDescent="0.45">
      <c r="A192" s="2">
        <v>45039</v>
      </c>
      <c r="B192">
        <v>4</v>
      </c>
      <c r="C192">
        <v>2023</v>
      </c>
      <c r="D192" t="s">
        <v>85</v>
      </c>
      <c r="E192">
        <v>5</v>
      </c>
      <c r="H192" s="2">
        <v>44111</v>
      </c>
      <c r="I192" t="s">
        <v>63</v>
      </c>
      <c r="J192">
        <v>10</v>
      </c>
    </row>
    <row r="193" spans="1:10" x14ac:dyDescent="0.45">
      <c r="A193" s="2">
        <v>45039</v>
      </c>
      <c r="B193">
        <v>4</v>
      </c>
      <c r="C193">
        <v>2023</v>
      </c>
      <c r="D193" t="s">
        <v>52</v>
      </c>
      <c r="E193">
        <v>1</v>
      </c>
      <c r="H193" s="2">
        <v>44111</v>
      </c>
      <c r="I193" t="s">
        <v>24</v>
      </c>
      <c r="J193">
        <v>2</v>
      </c>
    </row>
    <row r="194" spans="1:10" x14ac:dyDescent="0.45">
      <c r="A194" s="2">
        <v>45037</v>
      </c>
      <c r="B194">
        <v>4</v>
      </c>
      <c r="C194">
        <v>2023</v>
      </c>
      <c r="D194" t="s">
        <v>73</v>
      </c>
      <c r="E194">
        <v>3</v>
      </c>
      <c r="H194" s="2">
        <v>44112</v>
      </c>
      <c r="I194" t="s">
        <v>85</v>
      </c>
      <c r="J194">
        <v>1</v>
      </c>
    </row>
    <row r="195" spans="1:10" x14ac:dyDescent="0.45">
      <c r="A195" s="2">
        <v>45036</v>
      </c>
      <c r="B195">
        <v>4</v>
      </c>
      <c r="C195">
        <v>2023</v>
      </c>
      <c r="D195" t="s">
        <v>73</v>
      </c>
      <c r="E195">
        <v>4</v>
      </c>
      <c r="H195" s="2">
        <v>44114</v>
      </c>
      <c r="I195" t="s">
        <v>52</v>
      </c>
      <c r="J195">
        <v>2</v>
      </c>
    </row>
    <row r="196" spans="1:10" x14ac:dyDescent="0.45">
      <c r="A196" s="2">
        <v>45034</v>
      </c>
      <c r="B196">
        <v>4</v>
      </c>
      <c r="C196">
        <v>2023</v>
      </c>
      <c r="D196" t="s">
        <v>85</v>
      </c>
      <c r="E196">
        <v>4</v>
      </c>
      <c r="H196" s="2">
        <v>44117</v>
      </c>
      <c r="I196" t="s">
        <v>172</v>
      </c>
      <c r="J196">
        <v>1</v>
      </c>
    </row>
    <row r="197" spans="1:10" x14ac:dyDescent="0.45">
      <c r="A197" s="2">
        <v>45030</v>
      </c>
      <c r="B197">
        <v>4</v>
      </c>
      <c r="C197">
        <v>2023</v>
      </c>
      <c r="D197" t="s">
        <v>35</v>
      </c>
      <c r="E197">
        <v>1</v>
      </c>
      <c r="H197" s="2">
        <v>44118</v>
      </c>
      <c r="I197" t="s">
        <v>129</v>
      </c>
      <c r="J197">
        <v>1</v>
      </c>
    </row>
    <row r="198" spans="1:10" x14ac:dyDescent="0.45">
      <c r="A198" s="2">
        <v>45030</v>
      </c>
      <c r="B198">
        <v>4</v>
      </c>
      <c r="C198">
        <v>2023</v>
      </c>
      <c r="D198" t="s">
        <v>35</v>
      </c>
      <c r="E198">
        <v>1</v>
      </c>
      <c r="H198" s="2">
        <v>44120</v>
      </c>
      <c r="I198" t="s">
        <v>129</v>
      </c>
      <c r="J198">
        <v>4</v>
      </c>
    </row>
    <row r="199" spans="1:10" x14ac:dyDescent="0.45">
      <c r="A199" s="2">
        <v>45025</v>
      </c>
      <c r="B199">
        <v>4</v>
      </c>
      <c r="C199">
        <v>2023</v>
      </c>
      <c r="D199" t="s">
        <v>35</v>
      </c>
      <c r="E199">
        <v>4</v>
      </c>
      <c r="H199" s="2">
        <v>44122</v>
      </c>
      <c r="I199" t="s">
        <v>73</v>
      </c>
      <c r="J199">
        <v>1</v>
      </c>
    </row>
    <row r="200" spans="1:10" x14ac:dyDescent="0.45">
      <c r="A200" s="2">
        <v>45024</v>
      </c>
      <c r="B200">
        <v>4</v>
      </c>
      <c r="C200">
        <v>2023</v>
      </c>
      <c r="D200" t="s">
        <v>85</v>
      </c>
      <c r="E200">
        <v>5</v>
      </c>
      <c r="H200" s="2">
        <v>44122</v>
      </c>
      <c r="I200" t="s">
        <v>129</v>
      </c>
      <c r="J200">
        <v>4</v>
      </c>
    </row>
    <row r="201" spans="1:10" x14ac:dyDescent="0.45">
      <c r="A201" s="2">
        <v>45024</v>
      </c>
      <c r="B201">
        <v>4</v>
      </c>
      <c r="C201">
        <v>2023</v>
      </c>
      <c r="D201" t="s">
        <v>93</v>
      </c>
      <c r="E201">
        <v>5</v>
      </c>
      <c r="H201" s="2">
        <v>44122</v>
      </c>
      <c r="I201" t="s">
        <v>63</v>
      </c>
      <c r="J201">
        <v>4</v>
      </c>
    </row>
    <row r="202" spans="1:10" x14ac:dyDescent="0.45">
      <c r="A202" s="2">
        <v>45022</v>
      </c>
      <c r="B202">
        <v>4</v>
      </c>
      <c r="C202">
        <v>2023</v>
      </c>
      <c r="D202" t="s">
        <v>73</v>
      </c>
      <c r="E202">
        <v>1</v>
      </c>
      <c r="H202" s="2">
        <v>44123</v>
      </c>
      <c r="I202" t="s">
        <v>85</v>
      </c>
      <c r="J202">
        <v>2</v>
      </c>
    </row>
    <row r="203" spans="1:10" x14ac:dyDescent="0.45">
      <c r="A203" s="2">
        <v>45021</v>
      </c>
      <c r="B203">
        <v>4</v>
      </c>
      <c r="C203">
        <v>2023</v>
      </c>
      <c r="D203" t="s">
        <v>35</v>
      </c>
      <c r="E203">
        <v>1</v>
      </c>
      <c r="H203" s="2">
        <v>44124</v>
      </c>
      <c r="I203" t="s">
        <v>35</v>
      </c>
      <c r="J203">
        <v>3</v>
      </c>
    </row>
    <row r="204" spans="1:10" x14ac:dyDescent="0.45">
      <c r="A204" s="2">
        <v>45021</v>
      </c>
      <c r="B204">
        <v>4</v>
      </c>
      <c r="C204">
        <v>2023</v>
      </c>
      <c r="D204" t="s">
        <v>63</v>
      </c>
      <c r="E204">
        <v>1</v>
      </c>
      <c r="H204" s="2">
        <v>44125</v>
      </c>
      <c r="I204" t="s">
        <v>93</v>
      </c>
      <c r="J204">
        <v>3</v>
      </c>
    </row>
    <row r="205" spans="1:10" x14ac:dyDescent="0.45">
      <c r="A205" s="2">
        <v>45021</v>
      </c>
      <c r="B205">
        <v>4</v>
      </c>
      <c r="C205">
        <v>2023</v>
      </c>
      <c r="D205" t="s">
        <v>63</v>
      </c>
      <c r="E205">
        <v>3</v>
      </c>
      <c r="H205" s="2">
        <v>44125</v>
      </c>
      <c r="I205" t="s">
        <v>129</v>
      </c>
      <c r="J205">
        <v>5</v>
      </c>
    </row>
    <row r="206" spans="1:10" x14ac:dyDescent="0.45">
      <c r="A206" s="2">
        <v>45021</v>
      </c>
      <c r="B206">
        <v>4</v>
      </c>
      <c r="C206">
        <v>2023</v>
      </c>
      <c r="D206" t="s">
        <v>52</v>
      </c>
      <c r="E206">
        <v>2</v>
      </c>
      <c r="H206" s="2">
        <v>44126</v>
      </c>
      <c r="I206" t="s">
        <v>129</v>
      </c>
      <c r="J206">
        <v>4</v>
      </c>
    </row>
    <row r="207" spans="1:10" x14ac:dyDescent="0.45">
      <c r="A207" s="2">
        <v>45019</v>
      </c>
      <c r="B207">
        <v>4</v>
      </c>
      <c r="C207">
        <v>2023</v>
      </c>
      <c r="D207" t="s">
        <v>129</v>
      </c>
      <c r="E207">
        <v>1</v>
      </c>
      <c r="H207" s="2">
        <v>44128</v>
      </c>
      <c r="I207" t="s">
        <v>24</v>
      </c>
      <c r="J207">
        <v>4</v>
      </c>
    </row>
    <row r="208" spans="1:10" x14ac:dyDescent="0.45">
      <c r="A208" s="2">
        <v>45018</v>
      </c>
      <c r="B208">
        <v>4</v>
      </c>
      <c r="C208">
        <v>2023</v>
      </c>
      <c r="D208" t="s">
        <v>85</v>
      </c>
      <c r="E208">
        <v>1</v>
      </c>
      <c r="H208" s="2">
        <v>44131</v>
      </c>
      <c r="I208" t="s">
        <v>85</v>
      </c>
      <c r="J208">
        <v>4</v>
      </c>
    </row>
    <row r="209" spans="1:10" x14ac:dyDescent="0.45">
      <c r="A209" s="2">
        <v>45017</v>
      </c>
      <c r="B209">
        <v>4</v>
      </c>
      <c r="C209">
        <v>2023</v>
      </c>
      <c r="D209" t="s">
        <v>35</v>
      </c>
      <c r="E209">
        <v>2</v>
      </c>
      <c r="H209" s="2">
        <v>44133</v>
      </c>
      <c r="I209" t="s">
        <v>24</v>
      </c>
      <c r="J209">
        <v>1</v>
      </c>
    </row>
    <row r="210" spans="1:10" x14ac:dyDescent="0.45">
      <c r="A210" s="2">
        <v>45017</v>
      </c>
      <c r="B210">
        <v>4</v>
      </c>
      <c r="C210">
        <v>2023</v>
      </c>
      <c r="D210" t="s">
        <v>172</v>
      </c>
      <c r="E210">
        <v>3</v>
      </c>
      <c r="H210" s="2">
        <v>44134</v>
      </c>
      <c r="I210" t="s">
        <v>85</v>
      </c>
      <c r="J210">
        <v>1</v>
      </c>
    </row>
    <row r="211" spans="1:10" x14ac:dyDescent="0.45">
      <c r="A211" s="2">
        <v>45017</v>
      </c>
      <c r="B211">
        <v>4</v>
      </c>
      <c r="C211">
        <v>2023</v>
      </c>
      <c r="D211" t="s">
        <v>172</v>
      </c>
      <c r="E211">
        <v>2</v>
      </c>
      <c r="H211" s="2">
        <v>44137</v>
      </c>
      <c r="I211" t="s">
        <v>129</v>
      </c>
      <c r="J211">
        <v>5</v>
      </c>
    </row>
    <row r="212" spans="1:10" x14ac:dyDescent="0.45">
      <c r="A212" s="2">
        <v>45014</v>
      </c>
      <c r="B212">
        <v>3</v>
      </c>
      <c r="C212">
        <v>2023</v>
      </c>
      <c r="D212" t="s">
        <v>52</v>
      </c>
      <c r="E212">
        <v>5</v>
      </c>
      <c r="H212" s="2">
        <v>44139</v>
      </c>
      <c r="I212" t="s">
        <v>85</v>
      </c>
      <c r="J212">
        <v>2</v>
      </c>
    </row>
    <row r="213" spans="1:10" x14ac:dyDescent="0.45">
      <c r="A213" s="2">
        <v>45012</v>
      </c>
      <c r="B213">
        <v>3</v>
      </c>
      <c r="C213">
        <v>2023</v>
      </c>
      <c r="D213" t="s">
        <v>85</v>
      </c>
      <c r="E213">
        <v>5</v>
      </c>
      <c r="H213" s="2">
        <v>44139</v>
      </c>
      <c r="I213" t="s">
        <v>63</v>
      </c>
      <c r="J213">
        <v>4</v>
      </c>
    </row>
    <row r="214" spans="1:10" x14ac:dyDescent="0.45">
      <c r="A214" s="2">
        <v>45011</v>
      </c>
      <c r="B214">
        <v>3</v>
      </c>
      <c r="C214">
        <v>2023</v>
      </c>
      <c r="D214" t="s">
        <v>129</v>
      </c>
      <c r="E214">
        <v>3</v>
      </c>
      <c r="H214" s="2">
        <v>44141</v>
      </c>
      <c r="I214" t="s">
        <v>129</v>
      </c>
      <c r="J214">
        <v>4</v>
      </c>
    </row>
    <row r="215" spans="1:10" x14ac:dyDescent="0.45">
      <c r="A215" s="2">
        <v>45010</v>
      </c>
      <c r="B215">
        <v>3</v>
      </c>
      <c r="C215">
        <v>2023</v>
      </c>
      <c r="D215" t="s">
        <v>172</v>
      </c>
      <c r="E215">
        <v>3</v>
      </c>
      <c r="H215" s="2">
        <v>44143</v>
      </c>
      <c r="I215" t="s">
        <v>85</v>
      </c>
      <c r="J215">
        <v>2</v>
      </c>
    </row>
    <row r="216" spans="1:10" x14ac:dyDescent="0.45">
      <c r="A216" s="2">
        <v>45008</v>
      </c>
      <c r="B216">
        <v>3</v>
      </c>
      <c r="C216">
        <v>2023</v>
      </c>
      <c r="D216" t="s">
        <v>172</v>
      </c>
      <c r="E216">
        <v>5</v>
      </c>
      <c r="H216" s="2">
        <v>44144</v>
      </c>
      <c r="I216" t="s">
        <v>93</v>
      </c>
      <c r="J216">
        <v>3</v>
      </c>
    </row>
    <row r="217" spans="1:10" x14ac:dyDescent="0.45">
      <c r="A217" s="2">
        <v>45006</v>
      </c>
      <c r="B217">
        <v>3</v>
      </c>
      <c r="C217">
        <v>2023</v>
      </c>
      <c r="D217" t="s">
        <v>129</v>
      </c>
      <c r="E217">
        <v>5</v>
      </c>
      <c r="H217" s="2">
        <v>44144</v>
      </c>
      <c r="I217" t="s">
        <v>129</v>
      </c>
      <c r="J217">
        <v>2</v>
      </c>
    </row>
    <row r="218" spans="1:10" x14ac:dyDescent="0.45">
      <c r="A218" s="2">
        <v>45004</v>
      </c>
      <c r="B218">
        <v>3</v>
      </c>
      <c r="C218">
        <v>2023</v>
      </c>
      <c r="D218" t="s">
        <v>129</v>
      </c>
      <c r="E218">
        <v>5</v>
      </c>
      <c r="H218" s="2">
        <v>44145</v>
      </c>
      <c r="I218" t="s">
        <v>35</v>
      </c>
      <c r="J218">
        <v>1</v>
      </c>
    </row>
    <row r="219" spans="1:10" x14ac:dyDescent="0.45">
      <c r="A219" s="2">
        <v>45002</v>
      </c>
      <c r="B219">
        <v>3</v>
      </c>
      <c r="C219">
        <v>2023</v>
      </c>
      <c r="D219" t="s">
        <v>24</v>
      </c>
      <c r="E219">
        <v>3</v>
      </c>
      <c r="H219" s="2">
        <v>44147</v>
      </c>
      <c r="I219" t="s">
        <v>172</v>
      </c>
      <c r="J219">
        <v>1</v>
      </c>
    </row>
    <row r="220" spans="1:10" x14ac:dyDescent="0.45">
      <c r="A220" s="2">
        <v>45001</v>
      </c>
      <c r="B220">
        <v>3</v>
      </c>
      <c r="C220">
        <v>2023</v>
      </c>
      <c r="D220" t="s">
        <v>52</v>
      </c>
      <c r="E220">
        <v>3</v>
      </c>
      <c r="H220" s="2">
        <v>44148</v>
      </c>
      <c r="I220" t="s">
        <v>73</v>
      </c>
      <c r="J220">
        <v>5</v>
      </c>
    </row>
    <row r="221" spans="1:10" x14ac:dyDescent="0.45">
      <c r="A221" s="2">
        <v>44998</v>
      </c>
      <c r="B221">
        <v>3</v>
      </c>
      <c r="C221">
        <v>2023</v>
      </c>
      <c r="D221" t="s">
        <v>172</v>
      </c>
      <c r="E221">
        <v>4</v>
      </c>
      <c r="H221" s="2">
        <v>44148</v>
      </c>
      <c r="I221" t="s">
        <v>85</v>
      </c>
      <c r="J221">
        <v>1</v>
      </c>
    </row>
    <row r="222" spans="1:10" x14ac:dyDescent="0.45">
      <c r="A222" s="2">
        <v>44998</v>
      </c>
      <c r="B222">
        <v>3</v>
      </c>
      <c r="C222">
        <v>2023</v>
      </c>
      <c r="D222" t="s">
        <v>93</v>
      </c>
      <c r="E222">
        <v>1</v>
      </c>
      <c r="H222" s="2">
        <v>44149</v>
      </c>
      <c r="I222" t="s">
        <v>93</v>
      </c>
      <c r="J222">
        <v>4</v>
      </c>
    </row>
    <row r="223" spans="1:10" x14ac:dyDescent="0.45">
      <c r="A223" s="2">
        <v>44998</v>
      </c>
      <c r="B223">
        <v>3</v>
      </c>
      <c r="C223">
        <v>2023</v>
      </c>
      <c r="D223" t="s">
        <v>24</v>
      </c>
      <c r="E223">
        <v>3</v>
      </c>
      <c r="H223" s="2">
        <v>44150</v>
      </c>
      <c r="I223" t="s">
        <v>93</v>
      </c>
      <c r="J223">
        <v>2</v>
      </c>
    </row>
    <row r="224" spans="1:10" x14ac:dyDescent="0.45">
      <c r="A224" s="2">
        <v>44995</v>
      </c>
      <c r="B224">
        <v>3</v>
      </c>
      <c r="C224">
        <v>2023</v>
      </c>
      <c r="D224" t="s">
        <v>172</v>
      </c>
      <c r="E224">
        <v>1</v>
      </c>
      <c r="H224" s="2">
        <v>44152</v>
      </c>
      <c r="I224" t="s">
        <v>85</v>
      </c>
      <c r="J224">
        <v>2</v>
      </c>
    </row>
    <row r="225" spans="1:10" x14ac:dyDescent="0.45">
      <c r="A225" s="2">
        <v>44995</v>
      </c>
      <c r="B225">
        <v>3</v>
      </c>
      <c r="C225">
        <v>2023</v>
      </c>
      <c r="D225" t="s">
        <v>24</v>
      </c>
      <c r="E225">
        <v>4</v>
      </c>
      <c r="H225" s="2">
        <v>44153</v>
      </c>
      <c r="I225" t="s">
        <v>85</v>
      </c>
      <c r="J225">
        <v>1</v>
      </c>
    </row>
    <row r="226" spans="1:10" x14ac:dyDescent="0.45">
      <c r="A226" s="2">
        <v>44995</v>
      </c>
      <c r="B226">
        <v>3</v>
      </c>
      <c r="C226">
        <v>2023</v>
      </c>
      <c r="D226" t="s">
        <v>85</v>
      </c>
      <c r="E226">
        <v>3</v>
      </c>
      <c r="H226" s="2">
        <v>44154</v>
      </c>
      <c r="I226" t="s">
        <v>172</v>
      </c>
      <c r="J226">
        <v>1</v>
      </c>
    </row>
    <row r="227" spans="1:10" x14ac:dyDescent="0.45">
      <c r="A227" s="2">
        <v>44993</v>
      </c>
      <c r="B227">
        <v>3</v>
      </c>
      <c r="C227">
        <v>2023</v>
      </c>
      <c r="D227" t="s">
        <v>85</v>
      </c>
      <c r="E227">
        <v>2</v>
      </c>
      <c r="H227" s="2">
        <v>44161</v>
      </c>
      <c r="I227" t="s">
        <v>52</v>
      </c>
      <c r="J227">
        <v>5</v>
      </c>
    </row>
    <row r="228" spans="1:10" x14ac:dyDescent="0.45">
      <c r="A228" s="2">
        <v>44990</v>
      </c>
      <c r="B228">
        <v>3</v>
      </c>
      <c r="C228">
        <v>2023</v>
      </c>
      <c r="D228" t="s">
        <v>35</v>
      </c>
      <c r="E228">
        <v>5</v>
      </c>
      <c r="H228" s="2">
        <v>44163</v>
      </c>
      <c r="I228" t="s">
        <v>24</v>
      </c>
      <c r="J228">
        <v>5</v>
      </c>
    </row>
    <row r="229" spans="1:10" x14ac:dyDescent="0.45">
      <c r="A229" s="2">
        <v>44989</v>
      </c>
      <c r="B229">
        <v>3</v>
      </c>
      <c r="C229">
        <v>2023</v>
      </c>
      <c r="D229" t="s">
        <v>93</v>
      </c>
      <c r="E229">
        <v>1</v>
      </c>
      <c r="H229" s="2">
        <v>44163</v>
      </c>
      <c r="I229" t="s">
        <v>172</v>
      </c>
      <c r="J229">
        <v>1</v>
      </c>
    </row>
    <row r="230" spans="1:10" x14ac:dyDescent="0.45">
      <c r="A230" s="2">
        <v>44981</v>
      </c>
      <c r="B230">
        <v>2</v>
      </c>
      <c r="C230">
        <v>2023</v>
      </c>
      <c r="D230" t="s">
        <v>172</v>
      </c>
      <c r="E230">
        <v>4</v>
      </c>
      <c r="H230" s="2">
        <v>44166</v>
      </c>
      <c r="I230" t="s">
        <v>85</v>
      </c>
      <c r="J230">
        <v>1</v>
      </c>
    </row>
    <row r="231" spans="1:10" x14ac:dyDescent="0.45">
      <c r="A231" s="2">
        <v>44979</v>
      </c>
      <c r="B231">
        <v>2</v>
      </c>
      <c r="C231">
        <v>2023</v>
      </c>
      <c r="D231" t="s">
        <v>63</v>
      </c>
      <c r="E231">
        <v>4</v>
      </c>
      <c r="H231" s="2">
        <v>44166</v>
      </c>
      <c r="I231" t="s">
        <v>129</v>
      </c>
      <c r="J231">
        <v>1</v>
      </c>
    </row>
    <row r="232" spans="1:10" x14ac:dyDescent="0.45">
      <c r="A232" s="2">
        <v>44979</v>
      </c>
      <c r="B232">
        <v>2</v>
      </c>
      <c r="C232">
        <v>2023</v>
      </c>
      <c r="D232" t="s">
        <v>85</v>
      </c>
      <c r="E232">
        <v>3</v>
      </c>
      <c r="H232" s="2">
        <v>44167</v>
      </c>
      <c r="I232" t="s">
        <v>35</v>
      </c>
      <c r="J232">
        <v>1</v>
      </c>
    </row>
    <row r="233" spans="1:10" x14ac:dyDescent="0.45">
      <c r="A233" s="2">
        <v>44978</v>
      </c>
      <c r="B233">
        <v>2</v>
      </c>
      <c r="C233">
        <v>2023</v>
      </c>
      <c r="D233" t="s">
        <v>85</v>
      </c>
      <c r="E233">
        <v>1</v>
      </c>
      <c r="H233" s="2">
        <v>44167</v>
      </c>
      <c r="I233" t="s">
        <v>63</v>
      </c>
      <c r="J233">
        <v>4</v>
      </c>
    </row>
    <row r="234" spans="1:10" x14ac:dyDescent="0.45">
      <c r="A234" s="2">
        <v>44977</v>
      </c>
      <c r="B234">
        <v>2</v>
      </c>
      <c r="C234">
        <v>2023</v>
      </c>
      <c r="D234" t="s">
        <v>52</v>
      </c>
      <c r="E234">
        <v>4</v>
      </c>
      <c r="H234" s="2">
        <v>44167</v>
      </c>
      <c r="I234" t="s">
        <v>172</v>
      </c>
      <c r="J234">
        <v>2</v>
      </c>
    </row>
    <row r="235" spans="1:10" x14ac:dyDescent="0.45">
      <c r="A235" s="2">
        <v>44973</v>
      </c>
      <c r="B235">
        <v>2</v>
      </c>
      <c r="C235">
        <v>2023</v>
      </c>
      <c r="D235" t="s">
        <v>63</v>
      </c>
      <c r="E235">
        <v>1</v>
      </c>
      <c r="H235" s="2">
        <v>44168</v>
      </c>
      <c r="I235" t="s">
        <v>52</v>
      </c>
      <c r="J235">
        <v>4</v>
      </c>
    </row>
    <row r="236" spans="1:10" x14ac:dyDescent="0.45">
      <c r="A236" s="2">
        <v>44972</v>
      </c>
      <c r="B236">
        <v>2</v>
      </c>
      <c r="C236">
        <v>2023</v>
      </c>
      <c r="D236" t="s">
        <v>52</v>
      </c>
      <c r="E236">
        <v>1</v>
      </c>
      <c r="H236" s="2">
        <v>44169</v>
      </c>
      <c r="I236" t="s">
        <v>73</v>
      </c>
      <c r="J236">
        <v>5</v>
      </c>
    </row>
    <row r="237" spans="1:10" x14ac:dyDescent="0.45">
      <c r="A237" s="2">
        <v>44968</v>
      </c>
      <c r="B237">
        <v>2</v>
      </c>
      <c r="C237">
        <v>2023</v>
      </c>
      <c r="D237" t="s">
        <v>52</v>
      </c>
      <c r="E237">
        <v>3</v>
      </c>
      <c r="H237" s="2">
        <v>44170</v>
      </c>
      <c r="I237" t="s">
        <v>73</v>
      </c>
      <c r="J237">
        <v>3</v>
      </c>
    </row>
    <row r="238" spans="1:10" x14ac:dyDescent="0.45">
      <c r="A238" s="2">
        <v>44964</v>
      </c>
      <c r="B238">
        <v>2</v>
      </c>
      <c r="C238">
        <v>2023</v>
      </c>
      <c r="D238" t="s">
        <v>85</v>
      </c>
      <c r="E238">
        <v>5</v>
      </c>
      <c r="H238" s="2">
        <v>44173</v>
      </c>
      <c r="I238" t="s">
        <v>93</v>
      </c>
      <c r="J238">
        <v>3</v>
      </c>
    </row>
    <row r="239" spans="1:10" x14ac:dyDescent="0.45">
      <c r="A239" s="2">
        <v>44963</v>
      </c>
      <c r="B239">
        <v>2</v>
      </c>
      <c r="C239">
        <v>2023</v>
      </c>
      <c r="D239" t="s">
        <v>129</v>
      </c>
      <c r="E239">
        <v>2</v>
      </c>
      <c r="H239" s="2">
        <v>44176</v>
      </c>
      <c r="I239" t="s">
        <v>24</v>
      </c>
      <c r="J239">
        <v>3</v>
      </c>
    </row>
    <row r="240" spans="1:10" x14ac:dyDescent="0.45">
      <c r="A240" s="2">
        <v>44963</v>
      </c>
      <c r="B240">
        <v>2</v>
      </c>
      <c r="C240">
        <v>2023</v>
      </c>
      <c r="D240" t="s">
        <v>85</v>
      </c>
      <c r="E240">
        <v>1</v>
      </c>
      <c r="H240" s="2">
        <v>44180</v>
      </c>
      <c r="I240" t="s">
        <v>85</v>
      </c>
      <c r="J240">
        <v>1</v>
      </c>
    </row>
    <row r="241" spans="1:10" x14ac:dyDescent="0.45">
      <c r="A241" s="2">
        <v>44959</v>
      </c>
      <c r="B241">
        <v>2</v>
      </c>
      <c r="C241">
        <v>2023</v>
      </c>
      <c r="D241" t="s">
        <v>73</v>
      </c>
      <c r="E241">
        <v>4</v>
      </c>
      <c r="H241" s="2">
        <v>44180</v>
      </c>
      <c r="I241" t="s">
        <v>35</v>
      </c>
      <c r="J241">
        <v>1</v>
      </c>
    </row>
    <row r="242" spans="1:10" x14ac:dyDescent="0.45">
      <c r="A242" s="2">
        <v>44954</v>
      </c>
      <c r="B242">
        <v>1</v>
      </c>
      <c r="C242">
        <v>2023</v>
      </c>
      <c r="D242" t="s">
        <v>52</v>
      </c>
      <c r="E242">
        <v>1</v>
      </c>
      <c r="H242" s="2">
        <v>44181</v>
      </c>
      <c r="I242" t="s">
        <v>172</v>
      </c>
      <c r="J242">
        <v>3</v>
      </c>
    </row>
    <row r="243" spans="1:10" x14ac:dyDescent="0.45">
      <c r="A243" s="2">
        <v>44954</v>
      </c>
      <c r="B243">
        <v>1</v>
      </c>
      <c r="C243">
        <v>2023</v>
      </c>
      <c r="D243" t="s">
        <v>172</v>
      </c>
      <c r="E243">
        <v>2</v>
      </c>
      <c r="H243" s="2">
        <v>44183</v>
      </c>
      <c r="I243" t="s">
        <v>73</v>
      </c>
      <c r="J243">
        <v>9</v>
      </c>
    </row>
    <row r="244" spans="1:10" x14ac:dyDescent="0.45">
      <c r="A244" s="2">
        <v>44951</v>
      </c>
      <c r="B244">
        <v>1</v>
      </c>
      <c r="C244">
        <v>2023</v>
      </c>
      <c r="D244" t="s">
        <v>93</v>
      </c>
      <c r="E244">
        <v>1</v>
      </c>
      <c r="H244" s="2">
        <v>44183</v>
      </c>
      <c r="I244" t="s">
        <v>85</v>
      </c>
      <c r="J244">
        <v>3</v>
      </c>
    </row>
    <row r="245" spans="1:10" x14ac:dyDescent="0.45">
      <c r="A245" s="2">
        <v>44948</v>
      </c>
      <c r="B245">
        <v>1</v>
      </c>
      <c r="C245">
        <v>2023</v>
      </c>
      <c r="D245" t="s">
        <v>35</v>
      </c>
      <c r="E245">
        <v>4</v>
      </c>
      <c r="H245" s="2">
        <v>44185</v>
      </c>
      <c r="I245" t="s">
        <v>129</v>
      </c>
      <c r="J245">
        <v>1</v>
      </c>
    </row>
    <row r="246" spans="1:10" x14ac:dyDescent="0.45">
      <c r="A246" s="2">
        <v>44947</v>
      </c>
      <c r="B246">
        <v>1</v>
      </c>
      <c r="C246">
        <v>2023</v>
      </c>
      <c r="D246" t="s">
        <v>85</v>
      </c>
      <c r="E246">
        <v>2</v>
      </c>
      <c r="H246" s="2">
        <v>44188</v>
      </c>
      <c r="I246" t="s">
        <v>85</v>
      </c>
      <c r="J246">
        <v>5</v>
      </c>
    </row>
    <row r="247" spans="1:10" x14ac:dyDescent="0.45">
      <c r="A247" s="2">
        <v>44944</v>
      </c>
      <c r="B247">
        <v>1</v>
      </c>
      <c r="C247">
        <v>2023</v>
      </c>
      <c r="D247" t="s">
        <v>73</v>
      </c>
      <c r="E247">
        <v>5</v>
      </c>
      <c r="H247" s="2">
        <v>44195</v>
      </c>
      <c r="I247" t="s">
        <v>93</v>
      </c>
      <c r="J247">
        <v>2</v>
      </c>
    </row>
    <row r="248" spans="1:10" x14ac:dyDescent="0.45">
      <c r="A248" s="2">
        <v>44941</v>
      </c>
      <c r="B248">
        <v>1</v>
      </c>
      <c r="C248">
        <v>2023</v>
      </c>
      <c r="D248" t="s">
        <v>63</v>
      </c>
      <c r="E248">
        <v>5</v>
      </c>
      <c r="H248" s="2">
        <v>44197</v>
      </c>
      <c r="I248" t="s">
        <v>129</v>
      </c>
      <c r="J248">
        <v>1</v>
      </c>
    </row>
    <row r="249" spans="1:10" x14ac:dyDescent="0.45">
      <c r="A249" s="2">
        <v>44940</v>
      </c>
      <c r="B249">
        <v>1</v>
      </c>
      <c r="C249">
        <v>2023</v>
      </c>
      <c r="D249" t="s">
        <v>172</v>
      </c>
      <c r="E249">
        <v>3</v>
      </c>
      <c r="H249" s="2">
        <v>44198</v>
      </c>
      <c r="I249" t="s">
        <v>93</v>
      </c>
      <c r="J249">
        <v>1</v>
      </c>
    </row>
    <row r="250" spans="1:10" x14ac:dyDescent="0.45">
      <c r="A250" s="2">
        <v>44939</v>
      </c>
      <c r="B250">
        <v>1</v>
      </c>
      <c r="C250">
        <v>2023</v>
      </c>
      <c r="D250" t="s">
        <v>85</v>
      </c>
      <c r="E250">
        <v>4</v>
      </c>
      <c r="H250" s="2">
        <v>44200</v>
      </c>
      <c r="I250" t="s">
        <v>73</v>
      </c>
      <c r="J250">
        <v>2</v>
      </c>
    </row>
    <row r="251" spans="1:10" x14ac:dyDescent="0.45">
      <c r="A251" s="2">
        <v>44939</v>
      </c>
      <c r="B251">
        <v>1</v>
      </c>
      <c r="C251">
        <v>2023</v>
      </c>
      <c r="D251" t="s">
        <v>63</v>
      </c>
      <c r="E251">
        <v>3</v>
      </c>
      <c r="H251" s="2">
        <v>44202</v>
      </c>
      <c r="I251" t="s">
        <v>73</v>
      </c>
      <c r="J251">
        <v>1</v>
      </c>
    </row>
    <row r="252" spans="1:10" x14ac:dyDescent="0.45">
      <c r="A252" s="2">
        <v>44937</v>
      </c>
      <c r="B252">
        <v>1</v>
      </c>
      <c r="C252">
        <v>2023</v>
      </c>
      <c r="D252" t="s">
        <v>172</v>
      </c>
      <c r="E252">
        <v>5</v>
      </c>
      <c r="H252" s="2">
        <v>44203</v>
      </c>
      <c r="I252" t="s">
        <v>63</v>
      </c>
      <c r="J252">
        <v>4</v>
      </c>
    </row>
    <row r="253" spans="1:10" x14ac:dyDescent="0.45">
      <c r="A253" s="2">
        <v>44936</v>
      </c>
      <c r="B253">
        <v>1</v>
      </c>
      <c r="C253">
        <v>2023</v>
      </c>
      <c r="D253" t="s">
        <v>85</v>
      </c>
      <c r="E253">
        <v>1</v>
      </c>
      <c r="H253" s="2">
        <v>44207</v>
      </c>
      <c r="I253" t="s">
        <v>85</v>
      </c>
      <c r="J253">
        <v>5</v>
      </c>
    </row>
    <row r="254" spans="1:10" x14ac:dyDescent="0.45">
      <c r="A254" s="2">
        <v>44934</v>
      </c>
      <c r="B254">
        <v>1</v>
      </c>
      <c r="C254">
        <v>2023</v>
      </c>
      <c r="D254" t="s">
        <v>24</v>
      </c>
      <c r="E254">
        <v>3</v>
      </c>
      <c r="H254" s="2">
        <v>44208</v>
      </c>
      <c r="I254" t="s">
        <v>93</v>
      </c>
      <c r="J254">
        <v>4</v>
      </c>
    </row>
    <row r="255" spans="1:10" x14ac:dyDescent="0.45">
      <c r="A255" s="2">
        <v>44934</v>
      </c>
      <c r="B255">
        <v>1</v>
      </c>
      <c r="C255">
        <v>2023</v>
      </c>
      <c r="D255" t="s">
        <v>129</v>
      </c>
      <c r="E255">
        <v>4</v>
      </c>
      <c r="H255" s="2">
        <v>44214</v>
      </c>
      <c r="I255" t="s">
        <v>73</v>
      </c>
      <c r="J255">
        <v>4</v>
      </c>
    </row>
    <row r="256" spans="1:10" x14ac:dyDescent="0.45">
      <c r="A256" s="2">
        <v>44933</v>
      </c>
      <c r="B256">
        <v>1</v>
      </c>
      <c r="C256">
        <v>2023</v>
      </c>
      <c r="D256" t="s">
        <v>35</v>
      </c>
      <c r="E256">
        <v>4</v>
      </c>
      <c r="H256" s="2">
        <v>44215</v>
      </c>
      <c r="I256" t="s">
        <v>73</v>
      </c>
      <c r="J256">
        <v>1</v>
      </c>
    </row>
    <row r="257" spans="1:10" x14ac:dyDescent="0.45">
      <c r="A257" s="2">
        <v>44932</v>
      </c>
      <c r="B257">
        <v>1</v>
      </c>
      <c r="C257">
        <v>2023</v>
      </c>
      <c r="D257" t="s">
        <v>73</v>
      </c>
      <c r="E257">
        <v>5</v>
      </c>
      <c r="H257" s="2">
        <v>44216</v>
      </c>
      <c r="I257" t="s">
        <v>172</v>
      </c>
      <c r="J257">
        <v>2</v>
      </c>
    </row>
    <row r="258" spans="1:10" x14ac:dyDescent="0.45">
      <c r="A258" s="2">
        <v>44931</v>
      </c>
      <c r="B258">
        <v>1</v>
      </c>
      <c r="C258">
        <v>2023</v>
      </c>
      <c r="D258" t="s">
        <v>129</v>
      </c>
      <c r="E258">
        <v>1</v>
      </c>
      <c r="H258" s="2">
        <v>44218</v>
      </c>
      <c r="I258" t="s">
        <v>85</v>
      </c>
      <c r="J258">
        <v>4</v>
      </c>
    </row>
    <row r="259" spans="1:10" x14ac:dyDescent="0.45">
      <c r="A259" s="2">
        <v>44931</v>
      </c>
      <c r="B259">
        <v>1</v>
      </c>
      <c r="C259">
        <v>2023</v>
      </c>
      <c r="D259" t="s">
        <v>93</v>
      </c>
      <c r="E259">
        <v>4</v>
      </c>
      <c r="H259" s="2">
        <v>44219</v>
      </c>
      <c r="I259" t="s">
        <v>63</v>
      </c>
      <c r="J259">
        <v>5</v>
      </c>
    </row>
    <row r="260" spans="1:10" x14ac:dyDescent="0.45">
      <c r="A260" s="2">
        <v>44930</v>
      </c>
      <c r="B260">
        <v>1</v>
      </c>
      <c r="C260">
        <v>2023</v>
      </c>
      <c r="D260" t="s">
        <v>63</v>
      </c>
      <c r="E260">
        <v>2</v>
      </c>
      <c r="H260" s="2">
        <v>44222</v>
      </c>
      <c r="I260" t="s">
        <v>172</v>
      </c>
      <c r="J260">
        <v>5</v>
      </c>
    </row>
    <row r="261" spans="1:10" x14ac:dyDescent="0.45">
      <c r="A261" s="2">
        <v>44929</v>
      </c>
      <c r="B261">
        <v>1</v>
      </c>
      <c r="C261">
        <v>2023</v>
      </c>
      <c r="D261" t="s">
        <v>129</v>
      </c>
      <c r="E261">
        <v>3</v>
      </c>
      <c r="H261" s="2">
        <v>44224</v>
      </c>
      <c r="I261" t="s">
        <v>63</v>
      </c>
      <c r="J261">
        <v>4</v>
      </c>
    </row>
    <row r="262" spans="1:10" x14ac:dyDescent="0.45">
      <c r="A262" s="2">
        <v>44927</v>
      </c>
      <c r="B262">
        <v>1</v>
      </c>
      <c r="C262">
        <v>2023</v>
      </c>
      <c r="D262" t="s">
        <v>85</v>
      </c>
      <c r="E262">
        <v>1</v>
      </c>
      <c r="H262" s="2">
        <v>44227</v>
      </c>
      <c r="I262" t="s">
        <v>35</v>
      </c>
      <c r="J262">
        <v>2</v>
      </c>
    </row>
    <row r="263" spans="1:10" x14ac:dyDescent="0.45">
      <c r="A263" s="2">
        <v>44926</v>
      </c>
      <c r="B263">
        <v>12</v>
      </c>
      <c r="C263">
        <v>2022</v>
      </c>
      <c r="D263" t="s">
        <v>85</v>
      </c>
      <c r="E263">
        <v>5</v>
      </c>
      <c r="H263" s="2">
        <v>44227</v>
      </c>
      <c r="I263" t="s">
        <v>63</v>
      </c>
      <c r="J263">
        <v>1</v>
      </c>
    </row>
    <row r="264" spans="1:10" x14ac:dyDescent="0.45">
      <c r="A264" s="2">
        <v>44920</v>
      </c>
      <c r="B264">
        <v>12</v>
      </c>
      <c r="C264">
        <v>2022</v>
      </c>
      <c r="D264" t="s">
        <v>52</v>
      </c>
      <c r="E264">
        <v>2</v>
      </c>
      <c r="H264" s="2">
        <v>44229</v>
      </c>
      <c r="I264" t="s">
        <v>52</v>
      </c>
      <c r="J264">
        <v>3</v>
      </c>
    </row>
    <row r="265" spans="1:10" x14ac:dyDescent="0.45">
      <c r="A265" s="2">
        <v>44920</v>
      </c>
      <c r="B265">
        <v>12</v>
      </c>
      <c r="C265">
        <v>2022</v>
      </c>
      <c r="D265" t="s">
        <v>73</v>
      </c>
      <c r="E265">
        <v>1</v>
      </c>
      <c r="H265" s="2">
        <v>44229</v>
      </c>
      <c r="I265" t="s">
        <v>172</v>
      </c>
      <c r="J265">
        <v>3</v>
      </c>
    </row>
    <row r="266" spans="1:10" x14ac:dyDescent="0.45">
      <c r="A266" s="2">
        <v>44919</v>
      </c>
      <c r="B266">
        <v>12</v>
      </c>
      <c r="C266">
        <v>2022</v>
      </c>
      <c r="D266" t="s">
        <v>35</v>
      </c>
      <c r="E266">
        <v>2</v>
      </c>
      <c r="H266" s="2">
        <v>44238</v>
      </c>
      <c r="I266" t="s">
        <v>24</v>
      </c>
      <c r="J266">
        <v>7</v>
      </c>
    </row>
    <row r="267" spans="1:10" x14ac:dyDescent="0.45">
      <c r="A267" s="2">
        <v>44916</v>
      </c>
      <c r="B267">
        <v>12</v>
      </c>
      <c r="C267">
        <v>2022</v>
      </c>
      <c r="D267" t="s">
        <v>129</v>
      </c>
      <c r="E267">
        <v>5</v>
      </c>
      <c r="H267" s="2">
        <v>44243</v>
      </c>
      <c r="I267" t="s">
        <v>129</v>
      </c>
      <c r="J267">
        <v>1</v>
      </c>
    </row>
    <row r="268" spans="1:10" x14ac:dyDescent="0.45">
      <c r="A268" s="2">
        <v>44915</v>
      </c>
      <c r="B268">
        <v>12</v>
      </c>
      <c r="C268">
        <v>2022</v>
      </c>
      <c r="D268" t="s">
        <v>73</v>
      </c>
      <c r="E268">
        <v>1</v>
      </c>
      <c r="H268" s="2">
        <v>44243</v>
      </c>
      <c r="I268" t="s">
        <v>52</v>
      </c>
      <c r="J268">
        <v>4</v>
      </c>
    </row>
    <row r="269" spans="1:10" x14ac:dyDescent="0.45">
      <c r="A269" s="2">
        <v>44915</v>
      </c>
      <c r="B269">
        <v>12</v>
      </c>
      <c r="C269">
        <v>2022</v>
      </c>
      <c r="D269" t="s">
        <v>172</v>
      </c>
      <c r="E269">
        <v>2</v>
      </c>
      <c r="H269" s="2">
        <v>44244</v>
      </c>
      <c r="I269" t="s">
        <v>73</v>
      </c>
      <c r="J269">
        <v>5</v>
      </c>
    </row>
    <row r="270" spans="1:10" x14ac:dyDescent="0.45">
      <c r="A270" s="2">
        <v>44914</v>
      </c>
      <c r="B270">
        <v>12</v>
      </c>
      <c r="C270">
        <v>2022</v>
      </c>
      <c r="D270" t="s">
        <v>73</v>
      </c>
      <c r="E270">
        <v>4</v>
      </c>
      <c r="H270" s="2">
        <v>44244</v>
      </c>
      <c r="I270" t="s">
        <v>172</v>
      </c>
      <c r="J270">
        <v>1</v>
      </c>
    </row>
    <row r="271" spans="1:10" x14ac:dyDescent="0.45">
      <c r="A271" s="2">
        <v>44913</v>
      </c>
      <c r="B271">
        <v>12</v>
      </c>
      <c r="C271">
        <v>2022</v>
      </c>
      <c r="D271" t="s">
        <v>35</v>
      </c>
      <c r="E271">
        <v>1</v>
      </c>
      <c r="H271" s="2">
        <v>44247</v>
      </c>
      <c r="I271" t="s">
        <v>85</v>
      </c>
      <c r="J271">
        <v>2</v>
      </c>
    </row>
    <row r="272" spans="1:10" x14ac:dyDescent="0.45">
      <c r="A272" s="2">
        <v>44911</v>
      </c>
      <c r="B272">
        <v>12</v>
      </c>
      <c r="C272">
        <v>2022</v>
      </c>
      <c r="D272" t="s">
        <v>24</v>
      </c>
      <c r="E272">
        <v>1</v>
      </c>
      <c r="H272" s="2">
        <v>44249</v>
      </c>
      <c r="I272" t="s">
        <v>73</v>
      </c>
      <c r="J272">
        <v>5</v>
      </c>
    </row>
    <row r="273" spans="1:10" x14ac:dyDescent="0.45">
      <c r="A273" s="2">
        <v>44910</v>
      </c>
      <c r="B273">
        <v>12</v>
      </c>
      <c r="C273">
        <v>2022</v>
      </c>
      <c r="D273" t="s">
        <v>52</v>
      </c>
      <c r="E273">
        <v>2</v>
      </c>
      <c r="H273" s="2">
        <v>44249</v>
      </c>
      <c r="I273" t="s">
        <v>93</v>
      </c>
      <c r="J273">
        <v>3</v>
      </c>
    </row>
    <row r="274" spans="1:10" x14ac:dyDescent="0.45">
      <c r="A274" s="2">
        <v>44908</v>
      </c>
      <c r="B274">
        <v>12</v>
      </c>
      <c r="C274">
        <v>2022</v>
      </c>
      <c r="D274" t="s">
        <v>172</v>
      </c>
      <c r="E274">
        <v>3</v>
      </c>
      <c r="H274" s="2">
        <v>44250</v>
      </c>
      <c r="I274" t="s">
        <v>73</v>
      </c>
      <c r="J274">
        <v>5</v>
      </c>
    </row>
    <row r="275" spans="1:10" x14ac:dyDescent="0.45">
      <c r="A275" s="2">
        <v>44906</v>
      </c>
      <c r="B275">
        <v>12</v>
      </c>
      <c r="C275">
        <v>2022</v>
      </c>
      <c r="D275" t="s">
        <v>172</v>
      </c>
      <c r="E275">
        <v>5</v>
      </c>
      <c r="H275" s="2">
        <v>44250</v>
      </c>
      <c r="I275" t="s">
        <v>35</v>
      </c>
      <c r="J275">
        <v>5</v>
      </c>
    </row>
    <row r="276" spans="1:10" x14ac:dyDescent="0.45">
      <c r="A276" s="2">
        <v>44905</v>
      </c>
      <c r="B276">
        <v>12</v>
      </c>
      <c r="C276">
        <v>2022</v>
      </c>
      <c r="D276" t="s">
        <v>93</v>
      </c>
      <c r="E276">
        <v>2</v>
      </c>
      <c r="H276" s="2">
        <v>44250</v>
      </c>
      <c r="I276" t="s">
        <v>172</v>
      </c>
      <c r="J276">
        <v>1</v>
      </c>
    </row>
    <row r="277" spans="1:10" x14ac:dyDescent="0.45">
      <c r="A277" s="2">
        <v>44899</v>
      </c>
      <c r="B277">
        <v>12</v>
      </c>
      <c r="C277">
        <v>2022</v>
      </c>
      <c r="D277" t="s">
        <v>93</v>
      </c>
      <c r="E277">
        <v>4</v>
      </c>
      <c r="H277" s="2">
        <v>44251</v>
      </c>
      <c r="I277" t="s">
        <v>52</v>
      </c>
      <c r="J277">
        <v>3</v>
      </c>
    </row>
    <row r="278" spans="1:10" x14ac:dyDescent="0.45">
      <c r="A278" s="2">
        <v>44897</v>
      </c>
      <c r="B278">
        <v>12</v>
      </c>
      <c r="C278">
        <v>2022</v>
      </c>
      <c r="D278" t="s">
        <v>73</v>
      </c>
      <c r="E278">
        <v>3</v>
      </c>
      <c r="H278" s="2">
        <v>44251</v>
      </c>
      <c r="I278" t="s">
        <v>63</v>
      </c>
      <c r="J278">
        <v>4</v>
      </c>
    </row>
    <row r="279" spans="1:10" x14ac:dyDescent="0.45">
      <c r="A279" s="2">
        <v>44897</v>
      </c>
      <c r="B279">
        <v>12</v>
      </c>
      <c r="C279">
        <v>2022</v>
      </c>
      <c r="D279" t="s">
        <v>63</v>
      </c>
      <c r="E279">
        <v>5</v>
      </c>
      <c r="H279" s="2">
        <v>44254</v>
      </c>
      <c r="I279" t="s">
        <v>35</v>
      </c>
      <c r="J279">
        <v>2</v>
      </c>
    </row>
    <row r="280" spans="1:10" x14ac:dyDescent="0.45">
      <c r="A280" s="2">
        <v>44893</v>
      </c>
      <c r="B280">
        <v>11</v>
      </c>
      <c r="C280">
        <v>2022</v>
      </c>
      <c r="D280" t="s">
        <v>24</v>
      </c>
      <c r="E280">
        <v>3</v>
      </c>
      <c r="H280" s="2">
        <v>44257</v>
      </c>
      <c r="I280" t="s">
        <v>85</v>
      </c>
      <c r="J280">
        <v>3</v>
      </c>
    </row>
    <row r="281" spans="1:10" x14ac:dyDescent="0.45">
      <c r="A281" s="2">
        <v>44893</v>
      </c>
      <c r="B281">
        <v>11</v>
      </c>
      <c r="C281">
        <v>2022</v>
      </c>
      <c r="D281" t="s">
        <v>52</v>
      </c>
      <c r="E281">
        <v>5</v>
      </c>
      <c r="H281" s="2">
        <v>44262</v>
      </c>
      <c r="I281" t="s">
        <v>172</v>
      </c>
      <c r="J281">
        <v>4</v>
      </c>
    </row>
    <row r="282" spans="1:10" x14ac:dyDescent="0.45">
      <c r="A282" s="2">
        <v>44891</v>
      </c>
      <c r="B282">
        <v>11</v>
      </c>
      <c r="C282">
        <v>2022</v>
      </c>
      <c r="D282" t="s">
        <v>85</v>
      </c>
      <c r="E282">
        <v>3</v>
      </c>
      <c r="H282" s="2">
        <v>44263</v>
      </c>
      <c r="I282" t="s">
        <v>73</v>
      </c>
      <c r="J282">
        <v>3</v>
      </c>
    </row>
    <row r="283" spans="1:10" x14ac:dyDescent="0.45">
      <c r="A283" s="2">
        <v>44890</v>
      </c>
      <c r="B283">
        <v>11</v>
      </c>
      <c r="C283">
        <v>2022</v>
      </c>
      <c r="D283" t="s">
        <v>129</v>
      </c>
      <c r="E283">
        <v>5</v>
      </c>
      <c r="H283" s="2">
        <v>44264</v>
      </c>
      <c r="I283" t="s">
        <v>35</v>
      </c>
      <c r="J283">
        <v>4</v>
      </c>
    </row>
    <row r="284" spans="1:10" x14ac:dyDescent="0.45">
      <c r="A284" s="2">
        <v>44888</v>
      </c>
      <c r="B284">
        <v>11</v>
      </c>
      <c r="C284">
        <v>2022</v>
      </c>
      <c r="D284" t="s">
        <v>63</v>
      </c>
      <c r="E284">
        <v>5</v>
      </c>
      <c r="H284" s="2">
        <v>44265</v>
      </c>
      <c r="I284" t="s">
        <v>93</v>
      </c>
      <c r="J284">
        <v>2</v>
      </c>
    </row>
    <row r="285" spans="1:10" x14ac:dyDescent="0.45">
      <c r="A285" s="2">
        <v>44886</v>
      </c>
      <c r="B285">
        <v>11</v>
      </c>
      <c r="C285">
        <v>2022</v>
      </c>
      <c r="D285" t="s">
        <v>73</v>
      </c>
      <c r="E285">
        <v>2</v>
      </c>
      <c r="H285" s="2">
        <v>44269</v>
      </c>
      <c r="I285" t="s">
        <v>73</v>
      </c>
      <c r="J285">
        <v>5</v>
      </c>
    </row>
    <row r="286" spans="1:10" x14ac:dyDescent="0.45">
      <c r="A286" s="2">
        <v>44885</v>
      </c>
      <c r="B286">
        <v>11</v>
      </c>
      <c r="C286">
        <v>2022</v>
      </c>
      <c r="D286" t="s">
        <v>93</v>
      </c>
      <c r="E286">
        <v>1</v>
      </c>
      <c r="H286" s="2">
        <v>44269</v>
      </c>
      <c r="I286" t="s">
        <v>93</v>
      </c>
      <c r="J286">
        <v>2</v>
      </c>
    </row>
    <row r="287" spans="1:10" x14ac:dyDescent="0.45">
      <c r="A287" s="2">
        <v>44885</v>
      </c>
      <c r="B287">
        <v>11</v>
      </c>
      <c r="C287">
        <v>2022</v>
      </c>
      <c r="D287" t="s">
        <v>63</v>
      </c>
      <c r="E287">
        <v>2</v>
      </c>
      <c r="H287" s="2">
        <v>44269</v>
      </c>
      <c r="I287" t="s">
        <v>35</v>
      </c>
      <c r="J287">
        <v>4</v>
      </c>
    </row>
    <row r="288" spans="1:10" x14ac:dyDescent="0.45">
      <c r="A288" s="2">
        <v>44882</v>
      </c>
      <c r="B288">
        <v>11</v>
      </c>
      <c r="C288">
        <v>2022</v>
      </c>
      <c r="D288" t="s">
        <v>35</v>
      </c>
      <c r="E288">
        <v>5</v>
      </c>
      <c r="H288" s="2">
        <v>44270</v>
      </c>
      <c r="I288" t="s">
        <v>129</v>
      </c>
      <c r="J288">
        <v>4</v>
      </c>
    </row>
    <row r="289" spans="1:10" x14ac:dyDescent="0.45">
      <c r="A289" s="2">
        <v>44880</v>
      </c>
      <c r="B289">
        <v>11</v>
      </c>
      <c r="C289">
        <v>2022</v>
      </c>
      <c r="D289" t="s">
        <v>24</v>
      </c>
      <c r="E289">
        <v>1</v>
      </c>
      <c r="H289" s="2">
        <v>44271</v>
      </c>
      <c r="I289" t="s">
        <v>24</v>
      </c>
      <c r="J289">
        <v>2</v>
      </c>
    </row>
    <row r="290" spans="1:10" x14ac:dyDescent="0.45">
      <c r="A290" s="2">
        <v>44877</v>
      </c>
      <c r="B290">
        <v>11</v>
      </c>
      <c r="C290">
        <v>2022</v>
      </c>
      <c r="D290" t="s">
        <v>52</v>
      </c>
      <c r="E290">
        <v>1</v>
      </c>
      <c r="H290" s="2">
        <v>44274</v>
      </c>
      <c r="I290" t="s">
        <v>52</v>
      </c>
      <c r="J290">
        <v>3</v>
      </c>
    </row>
    <row r="291" spans="1:10" x14ac:dyDescent="0.45">
      <c r="A291" s="2">
        <v>44874</v>
      </c>
      <c r="B291">
        <v>11</v>
      </c>
      <c r="C291">
        <v>2022</v>
      </c>
      <c r="D291" t="s">
        <v>52</v>
      </c>
      <c r="E291">
        <v>4</v>
      </c>
      <c r="H291" s="2">
        <v>44276</v>
      </c>
      <c r="I291" t="s">
        <v>172</v>
      </c>
      <c r="J291">
        <v>1</v>
      </c>
    </row>
    <row r="292" spans="1:10" x14ac:dyDescent="0.45">
      <c r="A292" s="2">
        <v>44873</v>
      </c>
      <c r="B292">
        <v>11</v>
      </c>
      <c r="C292">
        <v>2022</v>
      </c>
      <c r="D292" t="s">
        <v>52</v>
      </c>
      <c r="E292">
        <v>1</v>
      </c>
      <c r="H292" s="2">
        <v>44284</v>
      </c>
      <c r="I292" t="s">
        <v>24</v>
      </c>
      <c r="J292">
        <v>5</v>
      </c>
    </row>
    <row r="293" spans="1:10" x14ac:dyDescent="0.45">
      <c r="A293" s="2">
        <v>44873</v>
      </c>
      <c r="B293">
        <v>11</v>
      </c>
      <c r="C293">
        <v>2022</v>
      </c>
      <c r="D293" t="s">
        <v>93</v>
      </c>
      <c r="E293">
        <v>5</v>
      </c>
      <c r="H293" s="2">
        <v>44286</v>
      </c>
      <c r="I293" t="s">
        <v>172</v>
      </c>
      <c r="J293">
        <v>5</v>
      </c>
    </row>
    <row r="294" spans="1:10" x14ac:dyDescent="0.45">
      <c r="A294" s="2">
        <v>44873</v>
      </c>
      <c r="B294">
        <v>11</v>
      </c>
      <c r="C294">
        <v>2022</v>
      </c>
      <c r="D294" t="s">
        <v>52</v>
      </c>
      <c r="E294">
        <v>5</v>
      </c>
      <c r="H294" s="2">
        <v>44287</v>
      </c>
      <c r="I294" t="s">
        <v>24</v>
      </c>
      <c r="J294">
        <v>3</v>
      </c>
    </row>
    <row r="295" spans="1:10" x14ac:dyDescent="0.45">
      <c r="A295" s="2">
        <v>44872</v>
      </c>
      <c r="B295">
        <v>11</v>
      </c>
      <c r="C295">
        <v>2022</v>
      </c>
      <c r="D295" t="s">
        <v>63</v>
      </c>
      <c r="E295">
        <v>2</v>
      </c>
      <c r="H295" s="2">
        <v>44288</v>
      </c>
      <c r="I295" t="s">
        <v>63</v>
      </c>
      <c r="J295">
        <v>1</v>
      </c>
    </row>
    <row r="296" spans="1:10" x14ac:dyDescent="0.45">
      <c r="A296" s="2">
        <v>44870</v>
      </c>
      <c r="B296">
        <v>11</v>
      </c>
      <c r="C296">
        <v>2022</v>
      </c>
      <c r="D296" t="s">
        <v>85</v>
      </c>
      <c r="E296">
        <v>4</v>
      </c>
      <c r="H296" s="2">
        <v>44290</v>
      </c>
      <c r="I296" t="s">
        <v>52</v>
      </c>
      <c r="J296">
        <v>4</v>
      </c>
    </row>
    <row r="297" spans="1:10" x14ac:dyDescent="0.45">
      <c r="A297" s="2">
        <v>44868</v>
      </c>
      <c r="B297">
        <v>11</v>
      </c>
      <c r="C297">
        <v>2022</v>
      </c>
      <c r="D297" t="s">
        <v>35</v>
      </c>
      <c r="E297">
        <v>2</v>
      </c>
      <c r="H297" s="2">
        <v>44295</v>
      </c>
      <c r="I297" t="s">
        <v>172</v>
      </c>
      <c r="J297">
        <v>2</v>
      </c>
    </row>
    <row r="298" spans="1:10" x14ac:dyDescent="0.45">
      <c r="A298" s="2">
        <v>44866</v>
      </c>
      <c r="B298">
        <v>11</v>
      </c>
      <c r="C298">
        <v>2022</v>
      </c>
      <c r="D298" t="s">
        <v>129</v>
      </c>
      <c r="E298">
        <v>1</v>
      </c>
      <c r="H298" s="2">
        <v>44298</v>
      </c>
      <c r="I298" t="s">
        <v>63</v>
      </c>
      <c r="J298">
        <v>2</v>
      </c>
    </row>
    <row r="299" spans="1:10" x14ac:dyDescent="0.45">
      <c r="A299" s="2">
        <v>44866</v>
      </c>
      <c r="B299">
        <v>11</v>
      </c>
      <c r="C299">
        <v>2022</v>
      </c>
      <c r="D299" t="s">
        <v>35</v>
      </c>
      <c r="E299">
        <v>2</v>
      </c>
      <c r="H299" s="2">
        <v>44299</v>
      </c>
      <c r="I299" t="s">
        <v>73</v>
      </c>
      <c r="J299">
        <v>4</v>
      </c>
    </row>
    <row r="300" spans="1:10" x14ac:dyDescent="0.45">
      <c r="A300" s="2">
        <v>44865</v>
      </c>
      <c r="B300">
        <v>10</v>
      </c>
      <c r="C300">
        <v>2022</v>
      </c>
      <c r="D300" t="s">
        <v>35</v>
      </c>
      <c r="E300">
        <v>1</v>
      </c>
      <c r="H300" s="2">
        <v>44301</v>
      </c>
      <c r="I300" t="s">
        <v>85</v>
      </c>
      <c r="J300">
        <v>2</v>
      </c>
    </row>
    <row r="301" spans="1:10" x14ac:dyDescent="0.45">
      <c r="A301" s="2">
        <v>44865</v>
      </c>
      <c r="B301">
        <v>10</v>
      </c>
      <c r="C301">
        <v>2022</v>
      </c>
      <c r="D301" t="s">
        <v>172</v>
      </c>
      <c r="E301">
        <v>4</v>
      </c>
      <c r="H301" s="2">
        <v>44303</v>
      </c>
      <c r="I301" t="s">
        <v>93</v>
      </c>
      <c r="J301">
        <v>3</v>
      </c>
    </row>
    <row r="302" spans="1:10" x14ac:dyDescent="0.45">
      <c r="A302" s="2">
        <v>44863</v>
      </c>
      <c r="B302">
        <v>10</v>
      </c>
      <c r="C302">
        <v>2022</v>
      </c>
      <c r="D302" t="s">
        <v>85</v>
      </c>
      <c r="E302">
        <v>1</v>
      </c>
      <c r="H302" s="2">
        <v>44305</v>
      </c>
      <c r="I302" t="s">
        <v>52</v>
      </c>
      <c r="J302">
        <v>1</v>
      </c>
    </row>
    <row r="303" spans="1:10" x14ac:dyDescent="0.45">
      <c r="A303" s="2">
        <v>44863</v>
      </c>
      <c r="B303">
        <v>10</v>
      </c>
      <c r="C303">
        <v>2022</v>
      </c>
      <c r="D303" t="s">
        <v>85</v>
      </c>
      <c r="E303">
        <v>3</v>
      </c>
      <c r="H303" s="2">
        <v>44307</v>
      </c>
      <c r="I303" t="s">
        <v>73</v>
      </c>
      <c r="J303">
        <v>1</v>
      </c>
    </row>
    <row r="304" spans="1:10" x14ac:dyDescent="0.45">
      <c r="A304" s="2">
        <v>44859</v>
      </c>
      <c r="B304">
        <v>10</v>
      </c>
      <c r="C304">
        <v>2022</v>
      </c>
      <c r="D304" t="s">
        <v>24</v>
      </c>
      <c r="E304">
        <v>4</v>
      </c>
      <c r="H304" s="2">
        <v>44307</v>
      </c>
      <c r="I304" t="s">
        <v>24</v>
      </c>
      <c r="J304">
        <v>3</v>
      </c>
    </row>
    <row r="305" spans="1:10" x14ac:dyDescent="0.45">
      <c r="A305" s="2">
        <v>44858</v>
      </c>
      <c r="B305">
        <v>10</v>
      </c>
      <c r="C305">
        <v>2022</v>
      </c>
      <c r="D305" t="s">
        <v>93</v>
      </c>
      <c r="E305">
        <v>5</v>
      </c>
      <c r="H305" s="2">
        <v>44309</v>
      </c>
      <c r="I305" t="s">
        <v>85</v>
      </c>
      <c r="J305">
        <v>4</v>
      </c>
    </row>
    <row r="306" spans="1:10" x14ac:dyDescent="0.45">
      <c r="A306" s="2">
        <v>44858</v>
      </c>
      <c r="B306">
        <v>10</v>
      </c>
      <c r="C306">
        <v>2022</v>
      </c>
      <c r="D306" t="s">
        <v>172</v>
      </c>
      <c r="E306">
        <v>1</v>
      </c>
      <c r="H306" s="2">
        <v>44309</v>
      </c>
      <c r="I306" t="s">
        <v>172</v>
      </c>
      <c r="J306">
        <v>7</v>
      </c>
    </row>
    <row r="307" spans="1:10" x14ac:dyDescent="0.45">
      <c r="A307" s="2">
        <v>44855</v>
      </c>
      <c r="B307">
        <v>10</v>
      </c>
      <c r="C307">
        <v>2022</v>
      </c>
      <c r="D307" t="s">
        <v>52</v>
      </c>
      <c r="E307">
        <v>1</v>
      </c>
      <c r="H307" s="2">
        <v>44310</v>
      </c>
      <c r="I307" t="s">
        <v>35</v>
      </c>
      <c r="J307">
        <v>4</v>
      </c>
    </row>
    <row r="308" spans="1:10" x14ac:dyDescent="0.45">
      <c r="A308" s="2">
        <v>44853</v>
      </c>
      <c r="B308">
        <v>10</v>
      </c>
      <c r="C308">
        <v>2022</v>
      </c>
      <c r="D308" t="s">
        <v>73</v>
      </c>
      <c r="E308">
        <v>2</v>
      </c>
      <c r="H308" s="2">
        <v>44312</v>
      </c>
      <c r="I308" t="s">
        <v>93</v>
      </c>
      <c r="J308">
        <v>3</v>
      </c>
    </row>
    <row r="309" spans="1:10" x14ac:dyDescent="0.45">
      <c r="A309" s="2">
        <v>44852</v>
      </c>
      <c r="B309">
        <v>10</v>
      </c>
      <c r="C309">
        <v>2022</v>
      </c>
      <c r="D309" t="s">
        <v>85</v>
      </c>
      <c r="E309">
        <v>4</v>
      </c>
      <c r="H309" s="2">
        <v>44312</v>
      </c>
      <c r="I309" t="s">
        <v>63</v>
      </c>
      <c r="J309">
        <v>3</v>
      </c>
    </row>
    <row r="310" spans="1:10" x14ac:dyDescent="0.45">
      <c r="A310" s="2">
        <v>44848</v>
      </c>
      <c r="B310">
        <v>10</v>
      </c>
      <c r="C310">
        <v>2022</v>
      </c>
      <c r="D310" t="s">
        <v>129</v>
      </c>
      <c r="E310">
        <v>2</v>
      </c>
      <c r="H310" s="2">
        <v>44315</v>
      </c>
      <c r="I310" t="s">
        <v>93</v>
      </c>
      <c r="J310">
        <v>5</v>
      </c>
    </row>
    <row r="311" spans="1:10" x14ac:dyDescent="0.45">
      <c r="A311" s="2">
        <v>44844</v>
      </c>
      <c r="B311">
        <v>10</v>
      </c>
      <c r="C311">
        <v>2022</v>
      </c>
      <c r="D311" t="s">
        <v>24</v>
      </c>
      <c r="E311">
        <v>4</v>
      </c>
      <c r="H311" s="2">
        <v>44315</v>
      </c>
      <c r="I311" t="s">
        <v>24</v>
      </c>
      <c r="J311">
        <v>3</v>
      </c>
    </row>
    <row r="312" spans="1:10" x14ac:dyDescent="0.45">
      <c r="A312" s="2">
        <v>44844</v>
      </c>
      <c r="B312">
        <v>10</v>
      </c>
      <c r="C312">
        <v>2022</v>
      </c>
      <c r="D312" t="s">
        <v>93</v>
      </c>
      <c r="E312">
        <v>2</v>
      </c>
      <c r="H312" s="2">
        <v>44315</v>
      </c>
      <c r="I312" t="s">
        <v>172</v>
      </c>
      <c r="J312">
        <v>3</v>
      </c>
    </row>
    <row r="313" spans="1:10" x14ac:dyDescent="0.45">
      <c r="A313" s="2">
        <v>44842</v>
      </c>
      <c r="B313">
        <v>10</v>
      </c>
      <c r="C313">
        <v>2022</v>
      </c>
      <c r="D313" t="s">
        <v>85</v>
      </c>
      <c r="E313">
        <v>4</v>
      </c>
      <c r="H313" s="2">
        <v>44317</v>
      </c>
      <c r="I313" t="s">
        <v>93</v>
      </c>
      <c r="J313">
        <v>1</v>
      </c>
    </row>
    <row r="314" spans="1:10" x14ac:dyDescent="0.45">
      <c r="A314" s="2">
        <v>44840</v>
      </c>
      <c r="B314">
        <v>10</v>
      </c>
      <c r="C314">
        <v>2022</v>
      </c>
      <c r="D314" t="s">
        <v>93</v>
      </c>
      <c r="E314">
        <v>3</v>
      </c>
      <c r="H314" s="2">
        <v>44317</v>
      </c>
      <c r="I314" t="s">
        <v>35</v>
      </c>
      <c r="J314">
        <v>4</v>
      </c>
    </row>
    <row r="315" spans="1:10" x14ac:dyDescent="0.45">
      <c r="A315" s="2">
        <v>44840</v>
      </c>
      <c r="B315">
        <v>10</v>
      </c>
      <c r="C315">
        <v>2022</v>
      </c>
      <c r="D315" t="s">
        <v>63</v>
      </c>
      <c r="E315">
        <v>3</v>
      </c>
      <c r="H315" s="2">
        <v>44321</v>
      </c>
      <c r="I315" t="s">
        <v>85</v>
      </c>
      <c r="J315">
        <v>3</v>
      </c>
    </row>
    <row r="316" spans="1:10" x14ac:dyDescent="0.45">
      <c r="A316" s="2">
        <v>44839</v>
      </c>
      <c r="B316">
        <v>10</v>
      </c>
      <c r="C316">
        <v>2022</v>
      </c>
      <c r="D316" t="s">
        <v>35</v>
      </c>
      <c r="E316">
        <v>3</v>
      </c>
      <c r="H316" s="2">
        <v>44321</v>
      </c>
      <c r="I316" t="s">
        <v>35</v>
      </c>
      <c r="J316">
        <v>5</v>
      </c>
    </row>
    <row r="317" spans="1:10" x14ac:dyDescent="0.45">
      <c r="A317" s="2">
        <v>44839</v>
      </c>
      <c r="B317">
        <v>10</v>
      </c>
      <c r="C317">
        <v>2022</v>
      </c>
      <c r="D317" t="s">
        <v>35</v>
      </c>
      <c r="E317">
        <v>2</v>
      </c>
      <c r="H317" s="2">
        <v>44322</v>
      </c>
      <c r="I317" t="s">
        <v>85</v>
      </c>
      <c r="J317">
        <v>2</v>
      </c>
    </row>
    <row r="318" spans="1:10" x14ac:dyDescent="0.45">
      <c r="A318" s="2">
        <v>44837</v>
      </c>
      <c r="B318">
        <v>10</v>
      </c>
      <c r="C318">
        <v>2022</v>
      </c>
      <c r="D318" t="s">
        <v>52</v>
      </c>
      <c r="E318">
        <v>3</v>
      </c>
      <c r="H318" s="2">
        <v>44327</v>
      </c>
      <c r="I318" t="s">
        <v>73</v>
      </c>
      <c r="J318">
        <v>5</v>
      </c>
    </row>
    <row r="319" spans="1:10" x14ac:dyDescent="0.45">
      <c r="A319" s="2">
        <v>44832</v>
      </c>
      <c r="B319">
        <v>9</v>
      </c>
      <c r="C319">
        <v>2022</v>
      </c>
      <c r="D319" t="s">
        <v>129</v>
      </c>
      <c r="E319">
        <v>5</v>
      </c>
      <c r="H319" s="2">
        <v>44328</v>
      </c>
      <c r="I319" t="s">
        <v>73</v>
      </c>
      <c r="J319">
        <v>1</v>
      </c>
    </row>
    <row r="320" spans="1:10" x14ac:dyDescent="0.45">
      <c r="A320" s="2">
        <v>44824</v>
      </c>
      <c r="B320">
        <v>9</v>
      </c>
      <c r="C320">
        <v>2022</v>
      </c>
      <c r="D320" t="s">
        <v>85</v>
      </c>
      <c r="E320">
        <v>1</v>
      </c>
      <c r="H320" s="2">
        <v>44329</v>
      </c>
      <c r="I320" t="s">
        <v>129</v>
      </c>
      <c r="J320">
        <v>4</v>
      </c>
    </row>
    <row r="321" spans="1:10" x14ac:dyDescent="0.45">
      <c r="A321" s="2">
        <v>44824</v>
      </c>
      <c r="B321">
        <v>9</v>
      </c>
      <c r="C321">
        <v>2022</v>
      </c>
      <c r="D321" t="s">
        <v>52</v>
      </c>
      <c r="E321">
        <v>1</v>
      </c>
      <c r="H321" s="2">
        <v>44330</v>
      </c>
      <c r="I321" t="s">
        <v>35</v>
      </c>
      <c r="J321">
        <v>4</v>
      </c>
    </row>
    <row r="322" spans="1:10" x14ac:dyDescent="0.45">
      <c r="A322" s="2">
        <v>44824</v>
      </c>
      <c r="B322">
        <v>9</v>
      </c>
      <c r="C322">
        <v>2022</v>
      </c>
      <c r="D322" t="s">
        <v>52</v>
      </c>
      <c r="E322">
        <v>1</v>
      </c>
      <c r="H322" s="2">
        <v>44335</v>
      </c>
      <c r="I322" t="s">
        <v>85</v>
      </c>
      <c r="J322">
        <v>2</v>
      </c>
    </row>
    <row r="323" spans="1:10" x14ac:dyDescent="0.45">
      <c r="A323" s="2">
        <v>44823</v>
      </c>
      <c r="B323">
        <v>9</v>
      </c>
      <c r="C323">
        <v>2022</v>
      </c>
      <c r="D323" t="s">
        <v>73</v>
      </c>
      <c r="E323">
        <v>4</v>
      </c>
      <c r="H323" s="2">
        <v>44337</v>
      </c>
      <c r="I323" t="s">
        <v>52</v>
      </c>
      <c r="J323">
        <v>5</v>
      </c>
    </row>
    <row r="324" spans="1:10" x14ac:dyDescent="0.45">
      <c r="A324" s="2">
        <v>44823</v>
      </c>
      <c r="B324">
        <v>9</v>
      </c>
      <c r="C324">
        <v>2022</v>
      </c>
      <c r="D324" t="s">
        <v>35</v>
      </c>
      <c r="E324">
        <v>4</v>
      </c>
      <c r="H324" s="2">
        <v>44339</v>
      </c>
      <c r="I324" t="s">
        <v>35</v>
      </c>
      <c r="J324">
        <v>3</v>
      </c>
    </row>
    <row r="325" spans="1:10" x14ac:dyDescent="0.45">
      <c r="A325" s="2">
        <v>44823</v>
      </c>
      <c r="B325">
        <v>9</v>
      </c>
      <c r="C325">
        <v>2022</v>
      </c>
      <c r="D325" t="s">
        <v>172</v>
      </c>
      <c r="E325">
        <v>3</v>
      </c>
      <c r="H325" s="2">
        <v>44341</v>
      </c>
      <c r="I325" t="s">
        <v>85</v>
      </c>
      <c r="J325">
        <v>4</v>
      </c>
    </row>
    <row r="326" spans="1:10" x14ac:dyDescent="0.45">
      <c r="A326" s="2">
        <v>44821</v>
      </c>
      <c r="B326">
        <v>9</v>
      </c>
      <c r="C326">
        <v>2022</v>
      </c>
      <c r="D326" t="s">
        <v>93</v>
      </c>
      <c r="E326">
        <v>2</v>
      </c>
      <c r="H326" s="2">
        <v>44341</v>
      </c>
      <c r="I326" t="s">
        <v>52</v>
      </c>
      <c r="J326">
        <v>2</v>
      </c>
    </row>
    <row r="327" spans="1:10" x14ac:dyDescent="0.45">
      <c r="A327" s="2">
        <v>44820</v>
      </c>
      <c r="B327">
        <v>9</v>
      </c>
      <c r="C327">
        <v>2022</v>
      </c>
      <c r="D327" t="s">
        <v>63</v>
      </c>
      <c r="E327">
        <v>4</v>
      </c>
      <c r="H327" s="2">
        <v>44341</v>
      </c>
      <c r="I327" t="s">
        <v>24</v>
      </c>
      <c r="J327">
        <v>1</v>
      </c>
    </row>
    <row r="328" spans="1:10" x14ac:dyDescent="0.45">
      <c r="A328" s="2">
        <v>44818</v>
      </c>
      <c r="B328">
        <v>9</v>
      </c>
      <c r="C328">
        <v>2022</v>
      </c>
      <c r="D328" t="s">
        <v>85</v>
      </c>
      <c r="E328">
        <v>5</v>
      </c>
      <c r="H328" s="2">
        <v>44343</v>
      </c>
      <c r="I328" t="s">
        <v>52</v>
      </c>
      <c r="J328">
        <v>4</v>
      </c>
    </row>
    <row r="329" spans="1:10" x14ac:dyDescent="0.45">
      <c r="A329" s="2">
        <v>44817</v>
      </c>
      <c r="B329">
        <v>9</v>
      </c>
      <c r="C329">
        <v>2022</v>
      </c>
      <c r="D329" t="s">
        <v>129</v>
      </c>
      <c r="E329">
        <v>2</v>
      </c>
      <c r="H329" s="2">
        <v>44349</v>
      </c>
      <c r="I329" t="s">
        <v>63</v>
      </c>
      <c r="J329">
        <v>4</v>
      </c>
    </row>
    <row r="330" spans="1:10" x14ac:dyDescent="0.45">
      <c r="A330" s="2">
        <v>44815</v>
      </c>
      <c r="B330">
        <v>9</v>
      </c>
      <c r="C330">
        <v>2022</v>
      </c>
      <c r="D330" t="s">
        <v>93</v>
      </c>
      <c r="E330">
        <v>1</v>
      </c>
      <c r="H330" s="2">
        <v>44350</v>
      </c>
      <c r="I330" t="s">
        <v>85</v>
      </c>
      <c r="J330">
        <v>1</v>
      </c>
    </row>
    <row r="331" spans="1:10" x14ac:dyDescent="0.45">
      <c r="A331" s="2">
        <v>44814</v>
      </c>
      <c r="B331">
        <v>9</v>
      </c>
      <c r="C331">
        <v>2022</v>
      </c>
      <c r="D331" t="s">
        <v>85</v>
      </c>
      <c r="E331">
        <v>2</v>
      </c>
      <c r="H331" s="2">
        <v>44352</v>
      </c>
      <c r="I331" t="s">
        <v>85</v>
      </c>
      <c r="J331">
        <v>5</v>
      </c>
    </row>
    <row r="332" spans="1:10" x14ac:dyDescent="0.45">
      <c r="A332" s="2">
        <v>44812</v>
      </c>
      <c r="B332">
        <v>9</v>
      </c>
      <c r="C332">
        <v>2022</v>
      </c>
      <c r="D332" t="s">
        <v>73</v>
      </c>
      <c r="E332">
        <v>5</v>
      </c>
      <c r="H332" s="2">
        <v>44353</v>
      </c>
      <c r="I332" t="s">
        <v>24</v>
      </c>
      <c r="J332">
        <v>3</v>
      </c>
    </row>
    <row r="333" spans="1:10" x14ac:dyDescent="0.45">
      <c r="A333" s="2">
        <v>44811</v>
      </c>
      <c r="B333">
        <v>9</v>
      </c>
      <c r="C333">
        <v>2022</v>
      </c>
      <c r="D333" t="s">
        <v>35</v>
      </c>
      <c r="E333">
        <v>4</v>
      </c>
      <c r="H333" s="2">
        <v>44353</v>
      </c>
      <c r="I333" t="s">
        <v>172</v>
      </c>
      <c r="J333">
        <v>2</v>
      </c>
    </row>
    <row r="334" spans="1:10" x14ac:dyDescent="0.45">
      <c r="A334" s="2">
        <v>44810</v>
      </c>
      <c r="B334">
        <v>9</v>
      </c>
      <c r="C334">
        <v>2022</v>
      </c>
      <c r="D334" t="s">
        <v>35</v>
      </c>
      <c r="E334">
        <v>3</v>
      </c>
      <c r="H334" s="2">
        <v>44354</v>
      </c>
      <c r="I334" t="s">
        <v>93</v>
      </c>
      <c r="J334">
        <v>3</v>
      </c>
    </row>
    <row r="335" spans="1:10" x14ac:dyDescent="0.45">
      <c r="A335" s="2">
        <v>44810</v>
      </c>
      <c r="B335">
        <v>9</v>
      </c>
      <c r="C335">
        <v>2022</v>
      </c>
      <c r="D335" t="s">
        <v>172</v>
      </c>
      <c r="E335">
        <v>2</v>
      </c>
      <c r="H335" s="2">
        <v>44356</v>
      </c>
      <c r="I335" t="s">
        <v>52</v>
      </c>
      <c r="J335">
        <v>3</v>
      </c>
    </row>
    <row r="336" spans="1:10" x14ac:dyDescent="0.45">
      <c r="A336" s="2">
        <v>44810</v>
      </c>
      <c r="B336">
        <v>9</v>
      </c>
      <c r="C336">
        <v>2022</v>
      </c>
      <c r="D336" t="s">
        <v>93</v>
      </c>
      <c r="E336">
        <v>2</v>
      </c>
      <c r="H336" s="2">
        <v>44356</v>
      </c>
      <c r="I336" t="s">
        <v>35</v>
      </c>
      <c r="J336">
        <v>4</v>
      </c>
    </row>
    <row r="337" spans="1:10" x14ac:dyDescent="0.45">
      <c r="A337" s="2">
        <v>44809</v>
      </c>
      <c r="B337">
        <v>9</v>
      </c>
      <c r="C337">
        <v>2022</v>
      </c>
      <c r="D337" t="s">
        <v>73</v>
      </c>
      <c r="E337">
        <v>3</v>
      </c>
      <c r="H337" s="2">
        <v>44364</v>
      </c>
      <c r="I337" t="s">
        <v>73</v>
      </c>
      <c r="J337">
        <v>2</v>
      </c>
    </row>
    <row r="338" spans="1:10" x14ac:dyDescent="0.45">
      <c r="A338" s="2">
        <v>44808</v>
      </c>
      <c r="B338">
        <v>9</v>
      </c>
      <c r="C338">
        <v>2022</v>
      </c>
      <c r="D338" t="s">
        <v>63</v>
      </c>
      <c r="E338">
        <v>3</v>
      </c>
      <c r="H338" s="2">
        <v>44364</v>
      </c>
      <c r="I338" t="s">
        <v>24</v>
      </c>
      <c r="J338">
        <v>4</v>
      </c>
    </row>
    <row r="339" spans="1:10" x14ac:dyDescent="0.45">
      <c r="A339" s="2">
        <v>44807</v>
      </c>
      <c r="B339">
        <v>9</v>
      </c>
      <c r="C339">
        <v>2022</v>
      </c>
      <c r="D339" t="s">
        <v>73</v>
      </c>
      <c r="E339">
        <v>2</v>
      </c>
      <c r="H339" s="2">
        <v>44365</v>
      </c>
      <c r="I339" t="s">
        <v>85</v>
      </c>
      <c r="J339">
        <v>2</v>
      </c>
    </row>
    <row r="340" spans="1:10" x14ac:dyDescent="0.45">
      <c r="A340" s="2">
        <v>44805</v>
      </c>
      <c r="B340">
        <v>9</v>
      </c>
      <c r="C340">
        <v>2022</v>
      </c>
      <c r="D340" t="s">
        <v>85</v>
      </c>
      <c r="E340">
        <v>3</v>
      </c>
      <c r="H340" s="2">
        <v>44365</v>
      </c>
      <c r="I340" t="s">
        <v>129</v>
      </c>
      <c r="J340">
        <v>1</v>
      </c>
    </row>
    <row r="341" spans="1:10" x14ac:dyDescent="0.45">
      <c r="A341" s="2">
        <v>44802</v>
      </c>
      <c r="B341">
        <v>8</v>
      </c>
      <c r="C341">
        <v>2022</v>
      </c>
      <c r="D341" t="s">
        <v>73</v>
      </c>
      <c r="E341">
        <v>4</v>
      </c>
      <c r="H341" s="2">
        <v>44365</v>
      </c>
      <c r="I341" t="s">
        <v>35</v>
      </c>
      <c r="J341">
        <v>5</v>
      </c>
    </row>
    <row r="342" spans="1:10" x14ac:dyDescent="0.45">
      <c r="A342" s="2">
        <v>44795</v>
      </c>
      <c r="B342">
        <v>8</v>
      </c>
      <c r="C342">
        <v>2022</v>
      </c>
      <c r="D342" t="s">
        <v>35</v>
      </c>
      <c r="E342">
        <v>3</v>
      </c>
      <c r="H342" s="2">
        <v>44369</v>
      </c>
      <c r="I342" t="s">
        <v>85</v>
      </c>
      <c r="J342">
        <v>3</v>
      </c>
    </row>
    <row r="343" spans="1:10" x14ac:dyDescent="0.45">
      <c r="A343" s="2">
        <v>44794</v>
      </c>
      <c r="B343">
        <v>8</v>
      </c>
      <c r="C343">
        <v>2022</v>
      </c>
      <c r="D343" t="s">
        <v>172</v>
      </c>
      <c r="E343">
        <v>4</v>
      </c>
      <c r="H343" s="2">
        <v>44372</v>
      </c>
      <c r="I343" t="s">
        <v>63</v>
      </c>
      <c r="J343">
        <v>5</v>
      </c>
    </row>
    <row r="344" spans="1:10" x14ac:dyDescent="0.45">
      <c r="A344" s="2">
        <v>44793</v>
      </c>
      <c r="B344">
        <v>8</v>
      </c>
      <c r="C344">
        <v>2022</v>
      </c>
      <c r="D344" t="s">
        <v>52</v>
      </c>
      <c r="E344">
        <v>5</v>
      </c>
      <c r="H344" s="2">
        <v>44374</v>
      </c>
      <c r="I344" t="s">
        <v>172</v>
      </c>
      <c r="J344">
        <v>5</v>
      </c>
    </row>
    <row r="345" spans="1:10" x14ac:dyDescent="0.45">
      <c r="A345" s="2">
        <v>44792</v>
      </c>
      <c r="B345">
        <v>8</v>
      </c>
      <c r="C345">
        <v>2022</v>
      </c>
      <c r="D345" t="s">
        <v>172</v>
      </c>
      <c r="E345">
        <v>4</v>
      </c>
      <c r="H345" s="2">
        <v>44377</v>
      </c>
      <c r="I345" t="s">
        <v>93</v>
      </c>
      <c r="J345">
        <v>4</v>
      </c>
    </row>
    <row r="346" spans="1:10" x14ac:dyDescent="0.45">
      <c r="A346" s="2">
        <v>44787</v>
      </c>
      <c r="B346">
        <v>8</v>
      </c>
      <c r="C346">
        <v>2022</v>
      </c>
      <c r="D346" t="s">
        <v>85</v>
      </c>
      <c r="E346">
        <v>4</v>
      </c>
      <c r="H346" s="2">
        <v>44377</v>
      </c>
      <c r="I346" t="s">
        <v>52</v>
      </c>
      <c r="J346">
        <v>4</v>
      </c>
    </row>
    <row r="347" spans="1:10" x14ac:dyDescent="0.45">
      <c r="A347" s="2">
        <v>44787</v>
      </c>
      <c r="B347">
        <v>8</v>
      </c>
      <c r="C347">
        <v>2022</v>
      </c>
      <c r="D347" t="s">
        <v>73</v>
      </c>
      <c r="E347">
        <v>4</v>
      </c>
      <c r="H347" s="2">
        <v>44380</v>
      </c>
      <c r="I347" t="s">
        <v>73</v>
      </c>
      <c r="J347">
        <v>3</v>
      </c>
    </row>
    <row r="348" spans="1:10" x14ac:dyDescent="0.45">
      <c r="A348" s="2">
        <v>44787</v>
      </c>
      <c r="B348">
        <v>8</v>
      </c>
      <c r="C348">
        <v>2022</v>
      </c>
      <c r="D348" t="s">
        <v>172</v>
      </c>
      <c r="E348">
        <v>4</v>
      </c>
      <c r="H348" s="2">
        <v>44380</v>
      </c>
      <c r="I348" t="s">
        <v>93</v>
      </c>
      <c r="J348">
        <v>2</v>
      </c>
    </row>
    <row r="349" spans="1:10" x14ac:dyDescent="0.45">
      <c r="A349" s="2">
        <v>44786</v>
      </c>
      <c r="B349">
        <v>8</v>
      </c>
      <c r="C349">
        <v>2022</v>
      </c>
      <c r="D349" t="s">
        <v>73</v>
      </c>
      <c r="E349">
        <v>1</v>
      </c>
      <c r="H349" s="2">
        <v>44380</v>
      </c>
      <c r="I349" t="s">
        <v>172</v>
      </c>
      <c r="J349">
        <v>3</v>
      </c>
    </row>
    <row r="350" spans="1:10" x14ac:dyDescent="0.45">
      <c r="A350" s="2">
        <v>44784</v>
      </c>
      <c r="B350">
        <v>8</v>
      </c>
      <c r="C350">
        <v>2022</v>
      </c>
      <c r="D350" t="s">
        <v>129</v>
      </c>
      <c r="E350">
        <v>1</v>
      </c>
      <c r="H350" s="2">
        <v>44381</v>
      </c>
      <c r="I350" t="s">
        <v>35</v>
      </c>
      <c r="J350">
        <v>5</v>
      </c>
    </row>
    <row r="351" spans="1:10" x14ac:dyDescent="0.45">
      <c r="A351" s="2">
        <v>44783</v>
      </c>
      <c r="B351">
        <v>8</v>
      </c>
      <c r="C351">
        <v>2022</v>
      </c>
      <c r="D351" t="s">
        <v>52</v>
      </c>
      <c r="E351">
        <v>5</v>
      </c>
      <c r="H351" s="2">
        <v>44382</v>
      </c>
      <c r="I351" t="s">
        <v>85</v>
      </c>
      <c r="J351">
        <v>4</v>
      </c>
    </row>
    <row r="352" spans="1:10" x14ac:dyDescent="0.45">
      <c r="A352" s="2">
        <v>44783</v>
      </c>
      <c r="B352">
        <v>8</v>
      </c>
      <c r="C352">
        <v>2022</v>
      </c>
      <c r="D352" t="s">
        <v>85</v>
      </c>
      <c r="E352">
        <v>1</v>
      </c>
      <c r="H352" s="2">
        <v>44382</v>
      </c>
      <c r="I352" t="s">
        <v>172</v>
      </c>
      <c r="J352">
        <v>1</v>
      </c>
    </row>
    <row r="353" spans="1:10" x14ac:dyDescent="0.45">
      <c r="A353" s="2">
        <v>44782</v>
      </c>
      <c r="B353">
        <v>8</v>
      </c>
      <c r="C353">
        <v>2022</v>
      </c>
      <c r="D353" t="s">
        <v>52</v>
      </c>
      <c r="E353">
        <v>3</v>
      </c>
      <c r="H353" s="2">
        <v>44383</v>
      </c>
      <c r="I353" t="s">
        <v>172</v>
      </c>
      <c r="J353">
        <v>5</v>
      </c>
    </row>
    <row r="354" spans="1:10" x14ac:dyDescent="0.45">
      <c r="A354" s="2">
        <v>44781</v>
      </c>
      <c r="B354">
        <v>8</v>
      </c>
      <c r="C354">
        <v>2022</v>
      </c>
      <c r="D354" t="s">
        <v>129</v>
      </c>
      <c r="E354">
        <v>3</v>
      </c>
      <c r="H354" s="2">
        <v>44384</v>
      </c>
      <c r="I354" t="s">
        <v>52</v>
      </c>
      <c r="J354">
        <v>5</v>
      </c>
    </row>
    <row r="355" spans="1:10" x14ac:dyDescent="0.45">
      <c r="A355" s="2">
        <v>44779</v>
      </c>
      <c r="B355">
        <v>8</v>
      </c>
      <c r="C355">
        <v>2022</v>
      </c>
      <c r="D355" t="s">
        <v>24</v>
      </c>
      <c r="E355">
        <v>5</v>
      </c>
      <c r="H355" s="2">
        <v>44384</v>
      </c>
      <c r="I355" t="s">
        <v>172</v>
      </c>
      <c r="J355">
        <v>3</v>
      </c>
    </row>
    <row r="356" spans="1:10" x14ac:dyDescent="0.45">
      <c r="A356" s="2">
        <v>44777</v>
      </c>
      <c r="B356">
        <v>8</v>
      </c>
      <c r="C356">
        <v>2022</v>
      </c>
      <c r="D356" t="s">
        <v>73</v>
      </c>
      <c r="E356">
        <v>4</v>
      </c>
      <c r="H356" s="2">
        <v>44385</v>
      </c>
      <c r="I356" t="s">
        <v>93</v>
      </c>
      <c r="J356">
        <v>3</v>
      </c>
    </row>
    <row r="357" spans="1:10" x14ac:dyDescent="0.45">
      <c r="A357" s="2">
        <v>44777</v>
      </c>
      <c r="B357">
        <v>8</v>
      </c>
      <c r="C357">
        <v>2022</v>
      </c>
      <c r="D357" t="s">
        <v>63</v>
      </c>
      <c r="E357">
        <v>4</v>
      </c>
      <c r="H357" s="2">
        <v>44386</v>
      </c>
      <c r="I357" t="s">
        <v>85</v>
      </c>
      <c r="J357">
        <v>2</v>
      </c>
    </row>
    <row r="358" spans="1:10" x14ac:dyDescent="0.45">
      <c r="A358" s="2">
        <v>44776</v>
      </c>
      <c r="B358">
        <v>8</v>
      </c>
      <c r="C358">
        <v>2022</v>
      </c>
      <c r="D358" t="s">
        <v>63</v>
      </c>
      <c r="E358">
        <v>4</v>
      </c>
      <c r="H358" s="2">
        <v>44386</v>
      </c>
      <c r="I358" t="s">
        <v>35</v>
      </c>
      <c r="J358">
        <v>4</v>
      </c>
    </row>
    <row r="359" spans="1:10" x14ac:dyDescent="0.45">
      <c r="A359" s="2">
        <v>44775</v>
      </c>
      <c r="B359">
        <v>8</v>
      </c>
      <c r="C359">
        <v>2022</v>
      </c>
      <c r="D359" t="s">
        <v>73</v>
      </c>
      <c r="E359">
        <v>1</v>
      </c>
      <c r="H359" s="2">
        <v>44390</v>
      </c>
      <c r="I359" t="s">
        <v>24</v>
      </c>
      <c r="J359">
        <v>3</v>
      </c>
    </row>
    <row r="360" spans="1:10" x14ac:dyDescent="0.45">
      <c r="A360" s="2">
        <v>44773</v>
      </c>
      <c r="B360">
        <v>7</v>
      </c>
      <c r="C360">
        <v>2022</v>
      </c>
      <c r="D360" t="s">
        <v>85</v>
      </c>
      <c r="E360">
        <v>4</v>
      </c>
      <c r="H360" s="2">
        <v>44395</v>
      </c>
      <c r="I360" t="s">
        <v>52</v>
      </c>
      <c r="J360">
        <v>1</v>
      </c>
    </row>
    <row r="361" spans="1:10" x14ac:dyDescent="0.45">
      <c r="A361" s="2">
        <v>44771</v>
      </c>
      <c r="B361">
        <v>7</v>
      </c>
      <c r="C361">
        <v>2022</v>
      </c>
      <c r="D361" t="s">
        <v>52</v>
      </c>
      <c r="E361">
        <v>5</v>
      </c>
      <c r="H361" s="2">
        <v>44398</v>
      </c>
      <c r="I361" t="s">
        <v>63</v>
      </c>
      <c r="J361">
        <v>5</v>
      </c>
    </row>
    <row r="362" spans="1:10" x14ac:dyDescent="0.45">
      <c r="A362" s="2">
        <v>44769</v>
      </c>
      <c r="B362">
        <v>7</v>
      </c>
      <c r="C362">
        <v>2022</v>
      </c>
      <c r="D362" t="s">
        <v>73</v>
      </c>
      <c r="E362">
        <v>3</v>
      </c>
      <c r="H362" s="2">
        <v>44399</v>
      </c>
      <c r="I362" t="s">
        <v>73</v>
      </c>
      <c r="J362">
        <v>4</v>
      </c>
    </row>
    <row r="363" spans="1:10" x14ac:dyDescent="0.45">
      <c r="A363" s="2">
        <v>44769</v>
      </c>
      <c r="B363">
        <v>7</v>
      </c>
      <c r="C363">
        <v>2022</v>
      </c>
      <c r="D363" t="s">
        <v>73</v>
      </c>
      <c r="E363">
        <v>4</v>
      </c>
      <c r="H363" s="2">
        <v>44400</v>
      </c>
      <c r="I363" t="s">
        <v>73</v>
      </c>
      <c r="J363">
        <v>5</v>
      </c>
    </row>
    <row r="364" spans="1:10" x14ac:dyDescent="0.45">
      <c r="A364" s="2">
        <v>44766</v>
      </c>
      <c r="B364">
        <v>7</v>
      </c>
      <c r="C364">
        <v>2022</v>
      </c>
      <c r="D364" t="s">
        <v>93</v>
      </c>
      <c r="E364">
        <v>5</v>
      </c>
      <c r="H364" s="2">
        <v>44403</v>
      </c>
      <c r="I364" t="s">
        <v>35</v>
      </c>
      <c r="J364">
        <v>3</v>
      </c>
    </row>
    <row r="365" spans="1:10" x14ac:dyDescent="0.45">
      <c r="A365" s="2">
        <v>44765</v>
      </c>
      <c r="B365">
        <v>7</v>
      </c>
      <c r="C365">
        <v>2022</v>
      </c>
      <c r="D365" t="s">
        <v>85</v>
      </c>
      <c r="E365">
        <v>4</v>
      </c>
      <c r="H365" s="2">
        <v>44404</v>
      </c>
      <c r="I365" t="s">
        <v>93</v>
      </c>
      <c r="J365">
        <v>3</v>
      </c>
    </row>
    <row r="366" spans="1:10" x14ac:dyDescent="0.45">
      <c r="A366" s="2">
        <v>44761</v>
      </c>
      <c r="B366">
        <v>7</v>
      </c>
      <c r="C366">
        <v>2022</v>
      </c>
      <c r="D366" t="s">
        <v>172</v>
      </c>
      <c r="E366">
        <v>5</v>
      </c>
      <c r="H366" s="2">
        <v>44410</v>
      </c>
      <c r="I366" t="s">
        <v>52</v>
      </c>
      <c r="J366">
        <v>3</v>
      </c>
    </row>
    <row r="367" spans="1:10" x14ac:dyDescent="0.45">
      <c r="A367" s="2">
        <v>44757</v>
      </c>
      <c r="B367">
        <v>7</v>
      </c>
      <c r="C367">
        <v>2022</v>
      </c>
      <c r="D367" t="s">
        <v>93</v>
      </c>
      <c r="E367">
        <v>4</v>
      </c>
      <c r="H367" s="2">
        <v>44411</v>
      </c>
      <c r="I367" t="s">
        <v>172</v>
      </c>
      <c r="J367">
        <v>4</v>
      </c>
    </row>
    <row r="368" spans="1:10" x14ac:dyDescent="0.45">
      <c r="A368" s="2">
        <v>44755</v>
      </c>
      <c r="B368">
        <v>7</v>
      </c>
      <c r="C368">
        <v>2022</v>
      </c>
      <c r="D368" t="s">
        <v>52</v>
      </c>
      <c r="E368">
        <v>2</v>
      </c>
      <c r="H368" s="2">
        <v>44412</v>
      </c>
      <c r="I368" t="s">
        <v>73</v>
      </c>
      <c r="J368">
        <v>1</v>
      </c>
    </row>
    <row r="369" spans="1:10" x14ac:dyDescent="0.45">
      <c r="A369" s="2">
        <v>44754</v>
      </c>
      <c r="B369">
        <v>7</v>
      </c>
      <c r="C369">
        <v>2022</v>
      </c>
      <c r="D369" t="s">
        <v>35</v>
      </c>
      <c r="E369">
        <v>3</v>
      </c>
      <c r="H369" s="2">
        <v>44413</v>
      </c>
      <c r="I369" t="s">
        <v>172</v>
      </c>
      <c r="J369">
        <v>4</v>
      </c>
    </row>
    <row r="370" spans="1:10" x14ac:dyDescent="0.45">
      <c r="A370" s="2">
        <v>44754</v>
      </c>
      <c r="B370">
        <v>7</v>
      </c>
      <c r="C370">
        <v>2022</v>
      </c>
      <c r="D370" t="s">
        <v>35</v>
      </c>
      <c r="E370">
        <v>4</v>
      </c>
      <c r="H370" s="2">
        <v>44414</v>
      </c>
      <c r="I370" t="s">
        <v>73</v>
      </c>
      <c r="J370">
        <v>4</v>
      </c>
    </row>
    <row r="371" spans="1:10" x14ac:dyDescent="0.45">
      <c r="A371" s="2">
        <v>44754</v>
      </c>
      <c r="B371">
        <v>7</v>
      </c>
      <c r="C371">
        <v>2022</v>
      </c>
      <c r="D371" t="s">
        <v>24</v>
      </c>
      <c r="E371">
        <v>2</v>
      </c>
      <c r="H371" s="2">
        <v>44414</v>
      </c>
      <c r="I371" t="s">
        <v>63</v>
      </c>
      <c r="J371">
        <v>4</v>
      </c>
    </row>
    <row r="372" spans="1:10" x14ac:dyDescent="0.45">
      <c r="A372" s="2">
        <v>44753</v>
      </c>
      <c r="B372">
        <v>7</v>
      </c>
      <c r="C372">
        <v>2022</v>
      </c>
      <c r="D372" t="s">
        <v>52</v>
      </c>
      <c r="E372">
        <v>4</v>
      </c>
      <c r="H372" s="2">
        <v>44416</v>
      </c>
      <c r="I372" t="s">
        <v>52</v>
      </c>
      <c r="J372">
        <v>4</v>
      </c>
    </row>
    <row r="373" spans="1:10" x14ac:dyDescent="0.45">
      <c r="A373" s="2">
        <v>44753</v>
      </c>
      <c r="B373">
        <v>7</v>
      </c>
      <c r="C373">
        <v>2022</v>
      </c>
      <c r="D373" t="s">
        <v>85</v>
      </c>
      <c r="E373">
        <v>4</v>
      </c>
      <c r="H373" s="2">
        <v>44421</v>
      </c>
      <c r="I373" t="s">
        <v>63</v>
      </c>
      <c r="J373">
        <v>1</v>
      </c>
    </row>
    <row r="374" spans="1:10" x14ac:dyDescent="0.45">
      <c r="A374" s="2">
        <v>44751</v>
      </c>
      <c r="B374">
        <v>7</v>
      </c>
      <c r="C374">
        <v>2022</v>
      </c>
      <c r="D374" t="s">
        <v>85</v>
      </c>
      <c r="E374">
        <v>2</v>
      </c>
      <c r="H374" s="2">
        <v>44422</v>
      </c>
      <c r="I374" t="s">
        <v>93</v>
      </c>
      <c r="J374">
        <v>5</v>
      </c>
    </row>
    <row r="375" spans="1:10" x14ac:dyDescent="0.45">
      <c r="A375" s="2">
        <v>44749</v>
      </c>
      <c r="B375">
        <v>7</v>
      </c>
      <c r="C375">
        <v>2022</v>
      </c>
      <c r="D375" t="s">
        <v>129</v>
      </c>
      <c r="E375">
        <v>5</v>
      </c>
      <c r="H375" s="2">
        <v>44422</v>
      </c>
      <c r="I375" t="s">
        <v>52</v>
      </c>
      <c r="J375">
        <v>3</v>
      </c>
    </row>
    <row r="376" spans="1:10" x14ac:dyDescent="0.45">
      <c r="A376" s="2">
        <v>44748</v>
      </c>
      <c r="B376">
        <v>7</v>
      </c>
      <c r="C376">
        <v>2022</v>
      </c>
      <c r="D376" t="s">
        <v>73</v>
      </c>
      <c r="E376">
        <v>2</v>
      </c>
      <c r="H376" s="2">
        <v>44422</v>
      </c>
      <c r="I376" t="s">
        <v>35</v>
      </c>
      <c r="J376">
        <v>4</v>
      </c>
    </row>
    <row r="377" spans="1:10" x14ac:dyDescent="0.45">
      <c r="A377" s="2">
        <v>44746</v>
      </c>
      <c r="B377">
        <v>7</v>
      </c>
      <c r="C377">
        <v>2022</v>
      </c>
      <c r="D377" t="s">
        <v>93</v>
      </c>
      <c r="E377">
        <v>3</v>
      </c>
      <c r="H377" s="2">
        <v>44426</v>
      </c>
      <c r="I377" t="s">
        <v>172</v>
      </c>
      <c r="J377">
        <v>5</v>
      </c>
    </row>
    <row r="378" spans="1:10" x14ac:dyDescent="0.45">
      <c r="A378" s="2">
        <v>44744</v>
      </c>
      <c r="B378">
        <v>7</v>
      </c>
      <c r="C378">
        <v>2022</v>
      </c>
      <c r="D378" t="s">
        <v>63</v>
      </c>
      <c r="E378">
        <v>2</v>
      </c>
      <c r="H378" s="2">
        <v>44427</v>
      </c>
      <c r="I378" t="s">
        <v>52</v>
      </c>
      <c r="J378">
        <v>4</v>
      </c>
    </row>
    <row r="379" spans="1:10" x14ac:dyDescent="0.45">
      <c r="A379" s="2">
        <v>44744</v>
      </c>
      <c r="B379">
        <v>7</v>
      </c>
      <c r="C379">
        <v>2022</v>
      </c>
      <c r="D379" t="s">
        <v>73</v>
      </c>
      <c r="E379">
        <v>3</v>
      </c>
      <c r="H379" s="2">
        <v>44428</v>
      </c>
      <c r="I379" t="s">
        <v>73</v>
      </c>
      <c r="J379">
        <v>5</v>
      </c>
    </row>
    <row r="380" spans="1:10" x14ac:dyDescent="0.45">
      <c r="A380" s="2">
        <v>44742</v>
      </c>
      <c r="B380">
        <v>6</v>
      </c>
      <c r="C380">
        <v>2022</v>
      </c>
      <c r="D380" t="s">
        <v>129</v>
      </c>
      <c r="E380">
        <v>4</v>
      </c>
      <c r="H380" s="2">
        <v>44429</v>
      </c>
      <c r="I380" t="s">
        <v>24</v>
      </c>
      <c r="J380">
        <v>4</v>
      </c>
    </row>
    <row r="381" spans="1:10" x14ac:dyDescent="0.45">
      <c r="A381" s="2">
        <v>44740</v>
      </c>
      <c r="B381">
        <v>6</v>
      </c>
      <c r="C381">
        <v>2022</v>
      </c>
      <c r="D381" t="s">
        <v>73</v>
      </c>
      <c r="E381">
        <v>2</v>
      </c>
      <c r="H381" s="2">
        <v>44432</v>
      </c>
      <c r="I381" t="s">
        <v>73</v>
      </c>
      <c r="J381">
        <v>7</v>
      </c>
    </row>
    <row r="382" spans="1:10" x14ac:dyDescent="0.45">
      <c r="A382" s="2">
        <v>44740</v>
      </c>
      <c r="B382">
        <v>6</v>
      </c>
      <c r="C382">
        <v>2022</v>
      </c>
      <c r="D382" t="s">
        <v>35</v>
      </c>
      <c r="E382">
        <v>3</v>
      </c>
      <c r="H382" s="2">
        <v>44432</v>
      </c>
      <c r="I382" t="s">
        <v>24</v>
      </c>
      <c r="J382">
        <v>3</v>
      </c>
    </row>
    <row r="383" spans="1:10" x14ac:dyDescent="0.45">
      <c r="A383" s="2">
        <v>44739</v>
      </c>
      <c r="B383">
        <v>6</v>
      </c>
      <c r="C383">
        <v>2022</v>
      </c>
      <c r="D383" t="s">
        <v>52</v>
      </c>
      <c r="E383">
        <v>1</v>
      </c>
      <c r="H383" s="2">
        <v>44433</v>
      </c>
      <c r="I383" t="s">
        <v>85</v>
      </c>
      <c r="J383">
        <v>3</v>
      </c>
    </row>
    <row r="384" spans="1:10" x14ac:dyDescent="0.45">
      <c r="A384" s="2">
        <v>44736</v>
      </c>
      <c r="B384">
        <v>6</v>
      </c>
      <c r="C384">
        <v>2022</v>
      </c>
      <c r="D384" t="s">
        <v>24</v>
      </c>
      <c r="E384">
        <v>1</v>
      </c>
      <c r="H384" s="2">
        <v>44437</v>
      </c>
      <c r="I384" t="s">
        <v>129</v>
      </c>
      <c r="J384">
        <v>1</v>
      </c>
    </row>
    <row r="385" spans="1:10" x14ac:dyDescent="0.45">
      <c r="A385" s="2">
        <v>44736</v>
      </c>
      <c r="B385">
        <v>6</v>
      </c>
      <c r="C385">
        <v>2022</v>
      </c>
      <c r="D385" t="s">
        <v>172</v>
      </c>
      <c r="E385">
        <v>3</v>
      </c>
      <c r="H385" s="2">
        <v>44439</v>
      </c>
      <c r="I385" t="s">
        <v>73</v>
      </c>
      <c r="J385">
        <v>5</v>
      </c>
    </row>
    <row r="386" spans="1:10" x14ac:dyDescent="0.45">
      <c r="A386" s="2">
        <v>44735</v>
      </c>
      <c r="B386">
        <v>6</v>
      </c>
      <c r="C386">
        <v>2022</v>
      </c>
      <c r="D386" t="s">
        <v>35</v>
      </c>
      <c r="E386">
        <v>5</v>
      </c>
      <c r="H386" s="2">
        <v>44439</v>
      </c>
      <c r="I386" t="s">
        <v>93</v>
      </c>
      <c r="J386">
        <v>1</v>
      </c>
    </row>
    <row r="387" spans="1:10" x14ac:dyDescent="0.45">
      <c r="A387" s="2">
        <v>44732</v>
      </c>
      <c r="B387">
        <v>6</v>
      </c>
      <c r="C387">
        <v>2022</v>
      </c>
      <c r="D387" t="s">
        <v>52</v>
      </c>
      <c r="E387">
        <v>4</v>
      </c>
      <c r="H387" s="2">
        <v>44439</v>
      </c>
      <c r="I387" t="s">
        <v>129</v>
      </c>
      <c r="J387">
        <v>1</v>
      </c>
    </row>
    <row r="388" spans="1:10" x14ac:dyDescent="0.45">
      <c r="A388" s="2">
        <v>44731</v>
      </c>
      <c r="B388">
        <v>6</v>
      </c>
      <c r="C388">
        <v>2022</v>
      </c>
      <c r="D388" t="s">
        <v>52</v>
      </c>
      <c r="E388">
        <v>1</v>
      </c>
      <c r="H388" s="2">
        <v>44439</v>
      </c>
      <c r="I388" t="s">
        <v>63</v>
      </c>
      <c r="J388">
        <v>4</v>
      </c>
    </row>
    <row r="389" spans="1:10" x14ac:dyDescent="0.45">
      <c r="A389" s="2">
        <v>44731</v>
      </c>
      <c r="B389">
        <v>6</v>
      </c>
      <c r="C389">
        <v>2022</v>
      </c>
      <c r="D389" t="s">
        <v>24</v>
      </c>
      <c r="E389">
        <v>2</v>
      </c>
      <c r="H389" s="2">
        <v>44441</v>
      </c>
      <c r="I389" t="s">
        <v>93</v>
      </c>
      <c r="J389">
        <v>5</v>
      </c>
    </row>
    <row r="390" spans="1:10" x14ac:dyDescent="0.45">
      <c r="A390" s="2">
        <v>44729</v>
      </c>
      <c r="B390">
        <v>6</v>
      </c>
      <c r="C390">
        <v>2022</v>
      </c>
      <c r="D390" t="s">
        <v>52</v>
      </c>
      <c r="E390">
        <v>2</v>
      </c>
      <c r="H390" s="2">
        <v>44442</v>
      </c>
      <c r="I390" t="s">
        <v>172</v>
      </c>
      <c r="J390">
        <v>3</v>
      </c>
    </row>
    <row r="391" spans="1:10" x14ac:dyDescent="0.45">
      <c r="A391" s="2">
        <v>44728</v>
      </c>
      <c r="B391">
        <v>6</v>
      </c>
      <c r="C391">
        <v>2022</v>
      </c>
      <c r="D391" t="s">
        <v>85</v>
      </c>
      <c r="E391">
        <v>5</v>
      </c>
      <c r="H391" s="2">
        <v>44443</v>
      </c>
      <c r="I391" t="s">
        <v>85</v>
      </c>
      <c r="J391">
        <v>4</v>
      </c>
    </row>
    <row r="392" spans="1:10" x14ac:dyDescent="0.45">
      <c r="A392" s="2">
        <v>44725</v>
      </c>
      <c r="B392">
        <v>6</v>
      </c>
      <c r="C392">
        <v>2022</v>
      </c>
      <c r="D392" t="s">
        <v>52</v>
      </c>
      <c r="E392">
        <v>5</v>
      </c>
      <c r="H392" s="2">
        <v>44443</v>
      </c>
      <c r="I392" t="s">
        <v>63</v>
      </c>
      <c r="J392">
        <v>5</v>
      </c>
    </row>
    <row r="393" spans="1:10" x14ac:dyDescent="0.45">
      <c r="A393" s="2">
        <v>44725</v>
      </c>
      <c r="B393">
        <v>6</v>
      </c>
      <c r="C393">
        <v>2022</v>
      </c>
      <c r="D393" t="s">
        <v>24</v>
      </c>
      <c r="E393">
        <v>4</v>
      </c>
      <c r="H393" s="2">
        <v>44444</v>
      </c>
      <c r="I393" t="s">
        <v>85</v>
      </c>
      <c r="J393">
        <v>1</v>
      </c>
    </row>
    <row r="394" spans="1:10" x14ac:dyDescent="0.45">
      <c r="A394" s="2">
        <v>44724</v>
      </c>
      <c r="B394">
        <v>6</v>
      </c>
      <c r="C394">
        <v>2022</v>
      </c>
      <c r="D394" t="s">
        <v>73</v>
      </c>
      <c r="E394">
        <v>1</v>
      </c>
      <c r="H394" s="2">
        <v>44444</v>
      </c>
      <c r="I394" t="s">
        <v>172</v>
      </c>
      <c r="J394">
        <v>1</v>
      </c>
    </row>
    <row r="395" spans="1:10" x14ac:dyDescent="0.45">
      <c r="A395" s="2">
        <v>44721</v>
      </c>
      <c r="B395">
        <v>6</v>
      </c>
      <c r="C395">
        <v>2022</v>
      </c>
      <c r="D395" t="s">
        <v>35</v>
      </c>
      <c r="E395">
        <v>3</v>
      </c>
      <c r="H395" s="2">
        <v>44445</v>
      </c>
      <c r="I395" t="s">
        <v>129</v>
      </c>
      <c r="J395">
        <v>3</v>
      </c>
    </row>
    <row r="396" spans="1:10" x14ac:dyDescent="0.45">
      <c r="A396" s="2">
        <v>44720</v>
      </c>
      <c r="B396">
        <v>6</v>
      </c>
      <c r="C396">
        <v>2022</v>
      </c>
      <c r="D396" t="s">
        <v>63</v>
      </c>
      <c r="E396">
        <v>5</v>
      </c>
      <c r="H396" s="2">
        <v>44445</v>
      </c>
      <c r="I396" t="s">
        <v>24</v>
      </c>
      <c r="J396">
        <v>2</v>
      </c>
    </row>
    <row r="397" spans="1:10" x14ac:dyDescent="0.45">
      <c r="A397" s="2">
        <v>44719</v>
      </c>
      <c r="B397">
        <v>6</v>
      </c>
      <c r="C397">
        <v>2022</v>
      </c>
      <c r="D397" t="s">
        <v>35</v>
      </c>
      <c r="E397">
        <v>4</v>
      </c>
      <c r="H397" s="2">
        <v>44446</v>
      </c>
      <c r="I397" t="s">
        <v>93</v>
      </c>
      <c r="J397">
        <v>5</v>
      </c>
    </row>
    <row r="398" spans="1:10" x14ac:dyDescent="0.45">
      <c r="A398" s="2">
        <v>44719</v>
      </c>
      <c r="B398">
        <v>6</v>
      </c>
      <c r="C398">
        <v>2022</v>
      </c>
      <c r="D398" t="s">
        <v>129</v>
      </c>
      <c r="E398">
        <v>2</v>
      </c>
      <c r="H398" s="2">
        <v>44446</v>
      </c>
      <c r="I398" t="s">
        <v>129</v>
      </c>
      <c r="J398">
        <v>4</v>
      </c>
    </row>
    <row r="399" spans="1:10" x14ac:dyDescent="0.45">
      <c r="A399" s="2">
        <v>44716</v>
      </c>
      <c r="B399">
        <v>6</v>
      </c>
      <c r="C399">
        <v>2022</v>
      </c>
      <c r="D399" t="s">
        <v>63</v>
      </c>
      <c r="E399">
        <v>1</v>
      </c>
      <c r="H399" s="2">
        <v>44447</v>
      </c>
      <c r="I399" t="s">
        <v>35</v>
      </c>
      <c r="J399">
        <v>1</v>
      </c>
    </row>
    <row r="400" spans="1:10" x14ac:dyDescent="0.45">
      <c r="A400" s="2">
        <v>44715</v>
      </c>
      <c r="B400">
        <v>6</v>
      </c>
      <c r="C400">
        <v>2022</v>
      </c>
      <c r="D400" t="s">
        <v>73</v>
      </c>
      <c r="E400">
        <v>2</v>
      </c>
      <c r="H400" s="2">
        <v>44447</v>
      </c>
      <c r="I400" t="s">
        <v>24</v>
      </c>
      <c r="J400">
        <v>1</v>
      </c>
    </row>
    <row r="401" spans="1:10" x14ac:dyDescent="0.45">
      <c r="A401" s="2">
        <v>44713</v>
      </c>
      <c r="B401">
        <v>6</v>
      </c>
      <c r="C401">
        <v>2022</v>
      </c>
      <c r="D401" t="s">
        <v>93</v>
      </c>
      <c r="E401">
        <v>5</v>
      </c>
      <c r="H401" s="2">
        <v>44447</v>
      </c>
      <c r="I401" t="s">
        <v>172</v>
      </c>
      <c r="J401">
        <v>1</v>
      </c>
    </row>
    <row r="402" spans="1:10" x14ac:dyDescent="0.45">
      <c r="A402" s="2">
        <v>44710</v>
      </c>
      <c r="B402">
        <v>5</v>
      </c>
      <c r="C402">
        <v>2022</v>
      </c>
      <c r="D402" t="s">
        <v>73</v>
      </c>
      <c r="E402">
        <v>4</v>
      </c>
      <c r="H402" s="2">
        <v>44448</v>
      </c>
      <c r="I402" t="s">
        <v>73</v>
      </c>
      <c r="J402">
        <v>5</v>
      </c>
    </row>
    <row r="403" spans="1:10" x14ac:dyDescent="0.45">
      <c r="A403" s="2">
        <v>44706</v>
      </c>
      <c r="B403">
        <v>5</v>
      </c>
      <c r="C403">
        <v>2022</v>
      </c>
      <c r="D403" t="s">
        <v>172</v>
      </c>
      <c r="E403">
        <v>3</v>
      </c>
      <c r="H403" s="2">
        <v>44450</v>
      </c>
      <c r="I403" t="s">
        <v>85</v>
      </c>
      <c r="J403">
        <v>5</v>
      </c>
    </row>
    <row r="404" spans="1:10" x14ac:dyDescent="0.45">
      <c r="A404" s="2">
        <v>44706</v>
      </c>
      <c r="B404">
        <v>5</v>
      </c>
      <c r="C404">
        <v>2022</v>
      </c>
      <c r="D404" t="s">
        <v>85</v>
      </c>
      <c r="E404">
        <v>3</v>
      </c>
      <c r="H404" s="2">
        <v>44450</v>
      </c>
      <c r="I404" t="s">
        <v>63</v>
      </c>
      <c r="J404">
        <v>2</v>
      </c>
    </row>
    <row r="405" spans="1:10" x14ac:dyDescent="0.45">
      <c r="A405" s="2">
        <v>44705</v>
      </c>
      <c r="B405">
        <v>5</v>
      </c>
      <c r="C405">
        <v>2022</v>
      </c>
      <c r="D405" t="s">
        <v>93</v>
      </c>
      <c r="E405">
        <v>4</v>
      </c>
      <c r="H405" s="2">
        <v>44451</v>
      </c>
      <c r="I405" t="s">
        <v>73</v>
      </c>
      <c r="J405">
        <v>3</v>
      </c>
    </row>
    <row r="406" spans="1:10" x14ac:dyDescent="0.45">
      <c r="A406" s="2">
        <v>44705</v>
      </c>
      <c r="B406">
        <v>5</v>
      </c>
      <c r="C406">
        <v>2022</v>
      </c>
      <c r="D406" t="s">
        <v>73</v>
      </c>
      <c r="E406">
        <v>2</v>
      </c>
      <c r="H406" s="2">
        <v>44451</v>
      </c>
      <c r="I406" t="s">
        <v>52</v>
      </c>
      <c r="J406">
        <v>3</v>
      </c>
    </row>
    <row r="407" spans="1:10" x14ac:dyDescent="0.45">
      <c r="A407" s="2">
        <v>44704</v>
      </c>
      <c r="B407">
        <v>5</v>
      </c>
      <c r="C407">
        <v>2022</v>
      </c>
      <c r="D407" t="s">
        <v>85</v>
      </c>
      <c r="E407">
        <v>1</v>
      </c>
      <c r="H407" s="2">
        <v>44453</v>
      </c>
      <c r="I407" t="s">
        <v>129</v>
      </c>
      <c r="J407">
        <v>1</v>
      </c>
    </row>
    <row r="408" spans="1:10" x14ac:dyDescent="0.45">
      <c r="A408" s="2">
        <v>44701</v>
      </c>
      <c r="B408">
        <v>5</v>
      </c>
      <c r="C408">
        <v>2022</v>
      </c>
      <c r="D408" t="s">
        <v>73</v>
      </c>
      <c r="E408">
        <v>1</v>
      </c>
      <c r="H408" s="2">
        <v>44455</v>
      </c>
      <c r="I408" t="s">
        <v>172</v>
      </c>
      <c r="J408">
        <v>5</v>
      </c>
    </row>
    <row r="409" spans="1:10" x14ac:dyDescent="0.45">
      <c r="A409" s="2">
        <v>44701</v>
      </c>
      <c r="B409">
        <v>5</v>
      </c>
      <c r="C409">
        <v>2022</v>
      </c>
      <c r="D409" t="s">
        <v>52</v>
      </c>
      <c r="E409">
        <v>2</v>
      </c>
      <c r="H409" s="2">
        <v>44456</v>
      </c>
      <c r="I409" t="s">
        <v>63</v>
      </c>
      <c r="J409">
        <v>4</v>
      </c>
    </row>
    <row r="410" spans="1:10" x14ac:dyDescent="0.45">
      <c r="A410" s="2">
        <v>44700</v>
      </c>
      <c r="B410">
        <v>5</v>
      </c>
      <c r="C410">
        <v>2022</v>
      </c>
      <c r="D410" t="s">
        <v>24</v>
      </c>
      <c r="E410">
        <v>3</v>
      </c>
      <c r="H410" s="2">
        <v>44458</v>
      </c>
      <c r="I410" t="s">
        <v>73</v>
      </c>
      <c r="J410">
        <v>4</v>
      </c>
    </row>
    <row r="411" spans="1:10" x14ac:dyDescent="0.45">
      <c r="A411" s="2">
        <v>44698</v>
      </c>
      <c r="B411">
        <v>5</v>
      </c>
      <c r="C411">
        <v>2022</v>
      </c>
      <c r="D411" t="s">
        <v>129</v>
      </c>
      <c r="E411">
        <v>5</v>
      </c>
      <c r="H411" s="2">
        <v>44458</v>
      </c>
      <c r="I411" t="s">
        <v>85</v>
      </c>
      <c r="J411">
        <v>2</v>
      </c>
    </row>
    <row r="412" spans="1:10" x14ac:dyDescent="0.45">
      <c r="A412" s="2">
        <v>44696</v>
      </c>
      <c r="B412">
        <v>5</v>
      </c>
      <c r="C412">
        <v>2022</v>
      </c>
      <c r="D412" t="s">
        <v>73</v>
      </c>
      <c r="E412">
        <v>2</v>
      </c>
      <c r="H412" s="2">
        <v>44459</v>
      </c>
      <c r="I412" t="s">
        <v>52</v>
      </c>
      <c r="J412">
        <v>2</v>
      </c>
    </row>
    <row r="413" spans="1:10" x14ac:dyDescent="0.45">
      <c r="A413" s="2">
        <v>44695</v>
      </c>
      <c r="B413">
        <v>5</v>
      </c>
      <c r="C413">
        <v>2022</v>
      </c>
      <c r="D413" t="s">
        <v>63</v>
      </c>
      <c r="E413">
        <v>4</v>
      </c>
      <c r="H413" s="2">
        <v>44459</v>
      </c>
      <c r="I413" t="s">
        <v>24</v>
      </c>
      <c r="J413">
        <v>4</v>
      </c>
    </row>
    <row r="414" spans="1:10" x14ac:dyDescent="0.45">
      <c r="A414" s="2">
        <v>44692</v>
      </c>
      <c r="B414">
        <v>5</v>
      </c>
      <c r="C414">
        <v>2022</v>
      </c>
      <c r="D414" t="s">
        <v>63</v>
      </c>
      <c r="E414">
        <v>1</v>
      </c>
      <c r="H414" s="2">
        <v>44461</v>
      </c>
      <c r="I414" t="s">
        <v>129</v>
      </c>
      <c r="J414">
        <v>5</v>
      </c>
    </row>
    <row r="415" spans="1:10" x14ac:dyDescent="0.45">
      <c r="A415" s="2">
        <v>44691</v>
      </c>
      <c r="B415">
        <v>5</v>
      </c>
      <c r="C415">
        <v>2022</v>
      </c>
      <c r="D415" t="s">
        <v>35</v>
      </c>
      <c r="E415">
        <v>1</v>
      </c>
      <c r="H415" s="2">
        <v>44461</v>
      </c>
      <c r="I415" t="s">
        <v>35</v>
      </c>
      <c r="J415">
        <v>3</v>
      </c>
    </row>
    <row r="416" spans="1:10" x14ac:dyDescent="0.45">
      <c r="A416" s="2">
        <v>44690</v>
      </c>
      <c r="B416">
        <v>5</v>
      </c>
      <c r="C416">
        <v>2022</v>
      </c>
      <c r="D416" t="s">
        <v>93</v>
      </c>
      <c r="E416">
        <v>1</v>
      </c>
      <c r="H416" s="2">
        <v>44461</v>
      </c>
      <c r="I416" t="s">
        <v>24</v>
      </c>
      <c r="J416">
        <v>5</v>
      </c>
    </row>
    <row r="417" spans="1:10" x14ac:dyDescent="0.45">
      <c r="A417" s="2">
        <v>44689</v>
      </c>
      <c r="B417">
        <v>5</v>
      </c>
      <c r="C417">
        <v>2022</v>
      </c>
      <c r="D417" t="s">
        <v>172</v>
      </c>
      <c r="E417">
        <v>3</v>
      </c>
      <c r="H417" s="2">
        <v>44462</v>
      </c>
      <c r="I417" t="s">
        <v>93</v>
      </c>
      <c r="J417">
        <v>1</v>
      </c>
    </row>
    <row r="418" spans="1:10" x14ac:dyDescent="0.45">
      <c r="A418" s="2">
        <v>44681</v>
      </c>
      <c r="B418">
        <v>4</v>
      </c>
      <c r="C418">
        <v>2022</v>
      </c>
      <c r="D418" t="s">
        <v>129</v>
      </c>
      <c r="E418">
        <v>5</v>
      </c>
      <c r="H418" s="2">
        <v>44466</v>
      </c>
      <c r="I418" t="s">
        <v>73</v>
      </c>
      <c r="J418">
        <v>10</v>
      </c>
    </row>
    <row r="419" spans="1:10" x14ac:dyDescent="0.45">
      <c r="A419" s="2">
        <v>44681</v>
      </c>
      <c r="B419">
        <v>4</v>
      </c>
      <c r="C419">
        <v>2022</v>
      </c>
      <c r="D419" t="s">
        <v>24</v>
      </c>
      <c r="E419">
        <v>4</v>
      </c>
      <c r="H419" s="2">
        <v>44466</v>
      </c>
      <c r="I419" t="s">
        <v>35</v>
      </c>
      <c r="J419">
        <v>3</v>
      </c>
    </row>
    <row r="420" spans="1:10" x14ac:dyDescent="0.45">
      <c r="A420" s="2">
        <v>44681</v>
      </c>
      <c r="B420">
        <v>4</v>
      </c>
      <c r="C420">
        <v>2022</v>
      </c>
      <c r="D420" t="s">
        <v>52</v>
      </c>
      <c r="E420">
        <v>2</v>
      </c>
      <c r="H420" s="2">
        <v>44466</v>
      </c>
      <c r="I420" t="s">
        <v>172</v>
      </c>
      <c r="J420">
        <v>4</v>
      </c>
    </row>
    <row r="421" spans="1:10" x14ac:dyDescent="0.45">
      <c r="A421" s="2">
        <v>44680</v>
      </c>
      <c r="B421">
        <v>4</v>
      </c>
      <c r="C421">
        <v>2022</v>
      </c>
      <c r="D421" t="s">
        <v>63</v>
      </c>
      <c r="E421">
        <v>5</v>
      </c>
      <c r="H421" s="2">
        <v>44467</v>
      </c>
      <c r="I421" t="s">
        <v>35</v>
      </c>
      <c r="J421">
        <v>3</v>
      </c>
    </row>
    <row r="422" spans="1:10" x14ac:dyDescent="0.45">
      <c r="A422" s="2">
        <v>44676</v>
      </c>
      <c r="B422">
        <v>4</v>
      </c>
      <c r="C422">
        <v>2022</v>
      </c>
      <c r="D422" t="s">
        <v>93</v>
      </c>
      <c r="E422">
        <v>2</v>
      </c>
      <c r="H422" s="2">
        <v>44469</v>
      </c>
      <c r="I422" t="s">
        <v>73</v>
      </c>
      <c r="J422">
        <v>5</v>
      </c>
    </row>
    <row r="423" spans="1:10" x14ac:dyDescent="0.45">
      <c r="A423" s="2">
        <v>44675</v>
      </c>
      <c r="B423">
        <v>4</v>
      </c>
      <c r="C423">
        <v>2022</v>
      </c>
      <c r="D423" t="s">
        <v>73</v>
      </c>
      <c r="E423">
        <v>1</v>
      </c>
      <c r="H423" s="2">
        <v>44470</v>
      </c>
      <c r="I423" t="s">
        <v>63</v>
      </c>
      <c r="J423">
        <v>1</v>
      </c>
    </row>
    <row r="424" spans="1:10" x14ac:dyDescent="0.45">
      <c r="A424" s="2">
        <v>44674</v>
      </c>
      <c r="B424">
        <v>4</v>
      </c>
      <c r="C424">
        <v>2022</v>
      </c>
      <c r="D424" t="s">
        <v>52</v>
      </c>
      <c r="E424">
        <v>4</v>
      </c>
      <c r="H424" s="2">
        <v>44472</v>
      </c>
      <c r="I424" t="s">
        <v>73</v>
      </c>
      <c r="J424">
        <v>2</v>
      </c>
    </row>
    <row r="425" spans="1:10" x14ac:dyDescent="0.45">
      <c r="A425" s="2">
        <v>44674</v>
      </c>
      <c r="B425">
        <v>4</v>
      </c>
      <c r="C425">
        <v>2022</v>
      </c>
      <c r="D425" t="s">
        <v>63</v>
      </c>
      <c r="E425">
        <v>2</v>
      </c>
      <c r="H425" s="2">
        <v>44472</v>
      </c>
      <c r="I425" t="s">
        <v>52</v>
      </c>
      <c r="J425">
        <v>2</v>
      </c>
    </row>
    <row r="426" spans="1:10" x14ac:dyDescent="0.45">
      <c r="A426" s="2">
        <v>44673</v>
      </c>
      <c r="B426">
        <v>4</v>
      </c>
      <c r="C426">
        <v>2022</v>
      </c>
      <c r="D426" t="s">
        <v>63</v>
      </c>
      <c r="E426">
        <v>5</v>
      </c>
      <c r="H426" s="2">
        <v>44482</v>
      </c>
      <c r="I426" t="s">
        <v>93</v>
      </c>
      <c r="J426">
        <v>3</v>
      </c>
    </row>
    <row r="427" spans="1:10" x14ac:dyDescent="0.45">
      <c r="A427" s="2">
        <v>44667</v>
      </c>
      <c r="B427">
        <v>4</v>
      </c>
      <c r="C427">
        <v>2022</v>
      </c>
      <c r="D427" t="s">
        <v>172</v>
      </c>
      <c r="E427">
        <v>5</v>
      </c>
      <c r="H427" s="2">
        <v>44483</v>
      </c>
      <c r="I427" t="s">
        <v>52</v>
      </c>
      <c r="J427">
        <v>2</v>
      </c>
    </row>
    <row r="428" spans="1:10" x14ac:dyDescent="0.45">
      <c r="A428" s="2">
        <v>44667</v>
      </c>
      <c r="B428">
        <v>4</v>
      </c>
      <c r="C428">
        <v>2022</v>
      </c>
      <c r="D428" t="s">
        <v>85</v>
      </c>
      <c r="E428">
        <v>4</v>
      </c>
      <c r="H428" s="2">
        <v>44485</v>
      </c>
      <c r="I428" t="s">
        <v>93</v>
      </c>
      <c r="J428">
        <v>5</v>
      </c>
    </row>
    <row r="429" spans="1:10" x14ac:dyDescent="0.45">
      <c r="A429" s="2">
        <v>44665</v>
      </c>
      <c r="B429">
        <v>4</v>
      </c>
      <c r="C429">
        <v>2022</v>
      </c>
      <c r="D429" t="s">
        <v>73</v>
      </c>
      <c r="E429">
        <v>5</v>
      </c>
      <c r="H429" s="2">
        <v>44486</v>
      </c>
      <c r="I429" t="s">
        <v>172</v>
      </c>
      <c r="J429">
        <v>2</v>
      </c>
    </row>
    <row r="430" spans="1:10" x14ac:dyDescent="0.45">
      <c r="A430" s="2">
        <v>44661</v>
      </c>
      <c r="B430">
        <v>4</v>
      </c>
      <c r="C430">
        <v>2022</v>
      </c>
      <c r="D430" t="s">
        <v>85</v>
      </c>
      <c r="E430">
        <v>3</v>
      </c>
      <c r="H430" s="2">
        <v>44489</v>
      </c>
      <c r="I430" t="s">
        <v>129</v>
      </c>
      <c r="J430">
        <v>4</v>
      </c>
    </row>
    <row r="431" spans="1:10" x14ac:dyDescent="0.45">
      <c r="A431" s="2">
        <v>44660</v>
      </c>
      <c r="B431">
        <v>4</v>
      </c>
      <c r="C431">
        <v>2022</v>
      </c>
      <c r="D431" t="s">
        <v>63</v>
      </c>
      <c r="E431">
        <v>3</v>
      </c>
      <c r="H431" s="2">
        <v>44489</v>
      </c>
      <c r="I431" t="s">
        <v>35</v>
      </c>
      <c r="J431">
        <v>7</v>
      </c>
    </row>
    <row r="432" spans="1:10" x14ac:dyDescent="0.45">
      <c r="A432" s="2">
        <v>44657</v>
      </c>
      <c r="B432">
        <v>4</v>
      </c>
      <c r="C432">
        <v>2022</v>
      </c>
      <c r="D432" t="s">
        <v>172</v>
      </c>
      <c r="E432">
        <v>1</v>
      </c>
      <c r="H432" s="2">
        <v>44491</v>
      </c>
      <c r="I432" t="s">
        <v>63</v>
      </c>
      <c r="J432">
        <v>1</v>
      </c>
    </row>
    <row r="433" spans="1:10" x14ac:dyDescent="0.45">
      <c r="A433" s="2">
        <v>44652</v>
      </c>
      <c r="B433">
        <v>4</v>
      </c>
      <c r="C433">
        <v>2022</v>
      </c>
      <c r="D433" t="s">
        <v>129</v>
      </c>
      <c r="E433">
        <v>5</v>
      </c>
      <c r="H433" s="2">
        <v>44494</v>
      </c>
      <c r="I433" t="s">
        <v>52</v>
      </c>
      <c r="J433">
        <v>2</v>
      </c>
    </row>
    <row r="434" spans="1:10" x14ac:dyDescent="0.45">
      <c r="A434" s="2">
        <v>44652</v>
      </c>
      <c r="B434">
        <v>4</v>
      </c>
      <c r="C434">
        <v>2022</v>
      </c>
      <c r="D434" t="s">
        <v>172</v>
      </c>
      <c r="E434">
        <v>2</v>
      </c>
      <c r="H434" s="2">
        <v>44495</v>
      </c>
      <c r="I434" t="s">
        <v>73</v>
      </c>
      <c r="J434">
        <v>2</v>
      </c>
    </row>
    <row r="435" spans="1:10" x14ac:dyDescent="0.45">
      <c r="A435" s="2">
        <v>44652</v>
      </c>
      <c r="B435">
        <v>4</v>
      </c>
      <c r="C435">
        <v>2022</v>
      </c>
      <c r="D435" t="s">
        <v>73</v>
      </c>
      <c r="E435">
        <v>1</v>
      </c>
      <c r="H435" s="2">
        <v>44495</v>
      </c>
      <c r="I435" t="s">
        <v>24</v>
      </c>
      <c r="J435">
        <v>3</v>
      </c>
    </row>
    <row r="436" spans="1:10" x14ac:dyDescent="0.45">
      <c r="A436" s="2">
        <v>44648</v>
      </c>
      <c r="B436">
        <v>3</v>
      </c>
      <c r="C436">
        <v>2022</v>
      </c>
      <c r="D436" t="s">
        <v>73</v>
      </c>
      <c r="E436">
        <v>4</v>
      </c>
      <c r="H436" s="2">
        <v>44500</v>
      </c>
      <c r="I436" t="s">
        <v>93</v>
      </c>
      <c r="J436">
        <v>5</v>
      </c>
    </row>
    <row r="437" spans="1:10" x14ac:dyDescent="0.45">
      <c r="A437" s="2">
        <v>44648</v>
      </c>
      <c r="B437">
        <v>3</v>
      </c>
      <c r="C437">
        <v>2022</v>
      </c>
      <c r="D437" t="s">
        <v>172</v>
      </c>
      <c r="E437">
        <v>4</v>
      </c>
      <c r="H437" s="2">
        <v>44500</v>
      </c>
      <c r="I437" t="s">
        <v>24</v>
      </c>
      <c r="J437">
        <v>4</v>
      </c>
    </row>
    <row r="438" spans="1:10" x14ac:dyDescent="0.45">
      <c r="A438" s="2">
        <v>44648</v>
      </c>
      <c r="B438">
        <v>3</v>
      </c>
      <c r="C438">
        <v>2022</v>
      </c>
      <c r="D438" t="s">
        <v>63</v>
      </c>
      <c r="E438">
        <v>2</v>
      </c>
      <c r="H438" s="2">
        <v>44503</v>
      </c>
      <c r="I438" t="s">
        <v>172</v>
      </c>
      <c r="J438">
        <v>1</v>
      </c>
    </row>
    <row r="439" spans="1:10" x14ac:dyDescent="0.45">
      <c r="A439" s="2">
        <v>44646</v>
      </c>
      <c r="B439">
        <v>3</v>
      </c>
      <c r="C439">
        <v>2022</v>
      </c>
      <c r="D439" t="s">
        <v>172</v>
      </c>
      <c r="E439">
        <v>1</v>
      </c>
      <c r="H439" s="2">
        <v>44504</v>
      </c>
      <c r="I439" t="s">
        <v>63</v>
      </c>
      <c r="J439">
        <v>3</v>
      </c>
    </row>
    <row r="440" spans="1:10" x14ac:dyDescent="0.45">
      <c r="A440" s="2">
        <v>44646</v>
      </c>
      <c r="B440">
        <v>3</v>
      </c>
      <c r="C440">
        <v>2022</v>
      </c>
      <c r="D440" t="s">
        <v>63</v>
      </c>
      <c r="E440">
        <v>5</v>
      </c>
      <c r="H440" s="2">
        <v>44507</v>
      </c>
      <c r="I440" t="s">
        <v>52</v>
      </c>
      <c r="J440">
        <v>4</v>
      </c>
    </row>
    <row r="441" spans="1:10" x14ac:dyDescent="0.45">
      <c r="A441" s="2">
        <v>44646</v>
      </c>
      <c r="B441">
        <v>3</v>
      </c>
      <c r="C441">
        <v>2022</v>
      </c>
      <c r="D441" t="s">
        <v>93</v>
      </c>
      <c r="E441">
        <v>4</v>
      </c>
      <c r="H441" s="2">
        <v>44514</v>
      </c>
      <c r="I441" t="s">
        <v>129</v>
      </c>
      <c r="J441">
        <v>4</v>
      </c>
    </row>
    <row r="442" spans="1:10" x14ac:dyDescent="0.45">
      <c r="A442" s="2">
        <v>44645</v>
      </c>
      <c r="B442">
        <v>3</v>
      </c>
      <c r="C442">
        <v>2022</v>
      </c>
      <c r="D442" t="s">
        <v>172</v>
      </c>
      <c r="E442">
        <v>5</v>
      </c>
      <c r="H442" s="2">
        <v>44516</v>
      </c>
      <c r="I442" t="s">
        <v>73</v>
      </c>
      <c r="J442">
        <v>5</v>
      </c>
    </row>
    <row r="443" spans="1:10" x14ac:dyDescent="0.45">
      <c r="A443" s="2">
        <v>44645</v>
      </c>
      <c r="B443">
        <v>3</v>
      </c>
      <c r="C443">
        <v>2022</v>
      </c>
      <c r="D443" t="s">
        <v>172</v>
      </c>
      <c r="E443">
        <v>2</v>
      </c>
      <c r="H443" s="2">
        <v>44517</v>
      </c>
      <c r="I443" t="s">
        <v>52</v>
      </c>
      <c r="J443">
        <v>5</v>
      </c>
    </row>
    <row r="444" spans="1:10" x14ac:dyDescent="0.45">
      <c r="A444" s="2">
        <v>44644</v>
      </c>
      <c r="B444">
        <v>3</v>
      </c>
      <c r="C444">
        <v>2022</v>
      </c>
      <c r="D444" t="s">
        <v>129</v>
      </c>
      <c r="E444">
        <v>4</v>
      </c>
      <c r="H444" s="2">
        <v>44519</v>
      </c>
      <c r="I444" t="s">
        <v>93</v>
      </c>
      <c r="J444">
        <v>1</v>
      </c>
    </row>
    <row r="445" spans="1:10" x14ac:dyDescent="0.45">
      <c r="A445" s="2">
        <v>44644</v>
      </c>
      <c r="B445">
        <v>3</v>
      </c>
      <c r="C445">
        <v>2022</v>
      </c>
      <c r="D445" t="s">
        <v>63</v>
      </c>
      <c r="E445">
        <v>3</v>
      </c>
      <c r="H445" s="2">
        <v>44519</v>
      </c>
      <c r="I445" t="s">
        <v>172</v>
      </c>
      <c r="J445">
        <v>3</v>
      </c>
    </row>
    <row r="446" spans="1:10" x14ac:dyDescent="0.45">
      <c r="A446" s="2">
        <v>44644</v>
      </c>
      <c r="B446">
        <v>3</v>
      </c>
      <c r="C446">
        <v>2022</v>
      </c>
      <c r="D446" t="s">
        <v>63</v>
      </c>
      <c r="E446">
        <v>5</v>
      </c>
      <c r="H446" s="2">
        <v>44520</v>
      </c>
      <c r="I446" t="s">
        <v>35</v>
      </c>
      <c r="J446">
        <v>5</v>
      </c>
    </row>
    <row r="447" spans="1:10" x14ac:dyDescent="0.45">
      <c r="A447" s="2">
        <v>44641</v>
      </c>
      <c r="B447">
        <v>3</v>
      </c>
      <c r="C447">
        <v>2022</v>
      </c>
      <c r="D447" t="s">
        <v>35</v>
      </c>
      <c r="E447">
        <v>4</v>
      </c>
      <c r="H447" s="2">
        <v>44520</v>
      </c>
      <c r="I447" t="s">
        <v>24</v>
      </c>
      <c r="J447">
        <v>1</v>
      </c>
    </row>
    <row r="448" spans="1:10" x14ac:dyDescent="0.45">
      <c r="A448" s="2">
        <v>44640</v>
      </c>
      <c r="B448">
        <v>3</v>
      </c>
      <c r="C448">
        <v>2022</v>
      </c>
      <c r="D448" t="s">
        <v>24</v>
      </c>
      <c r="E448">
        <v>3</v>
      </c>
      <c r="H448" s="2">
        <v>44521</v>
      </c>
      <c r="I448" t="s">
        <v>129</v>
      </c>
      <c r="J448">
        <v>2</v>
      </c>
    </row>
    <row r="449" spans="1:10" x14ac:dyDescent="0.45">
      <c r="A449" s="2">
        <v>44634</v>
      </c>
      <c r="B449">
        <v>3</v>
      </c>
      <c r="C449">
        <v>2022</v>
      </c>
      <c r="D449" t="s">
        <v>93</v>
      </c>
      <c r="E449">
        <v>1</v>
      </c>
      <c r="H449" s="2">
        <v>44521</v>
      </c>
      <c r="I449" t="s">
        <v>63</v>
      </c>
      <c r="J449">
        <v>2</v>
      </c>
    </row>
    <row r="450" spans="1:10" x14ac:dyDescent="0.45">
      <c r="A450" s="2">
        <v>44634</v>
      </c>
      <c r="B450">
        <v>3</v>
      </c>
      <c r="C450">
        <v>2022</v>
      </c>
      <c r="D450" t="s">
        <v>35</v>
      </c>
      <c r="E450">
        <v>1</v>
      </c>
      <c r="H450" s="2">
        <v>44522</v>
      </c>
      <c r="I450" t="s">
        <v>85</v>
      </c>
      <c r="J450">
        <v>1</v>
      </c>
    </row>
    <row r="451" spans="1:10" x14ac:dyDescent="0.45">
      <c r="A451" s="2">
        <v>44633</v>
      </c>
      <c r="B451">
        <v>3</v>
      </c>
      <c r="C451">
        <v>2022</v>
      </c>
      <c r="D451" t="s">
        <v>52</v>
      </c>
      <c r="E451">
        <v>5</v>
      </c>
      <c r="H451" s="2">
        <v>44522</v>
      </c>
      <c r="I451" t="s">
        <v>129</v>
      </c>
      <c r="J451">
        <v>4</v>
      </c>
    </row>
    <row r="452" spans="1:10" x14ac:dyDescent="0.45">
      <c r="A452" s="2">
        <v>44632</v>
      </c>
      <c r="B452">
        <v>3</v>
      </c>
      <c r="C452">
        <v>2022</v>
      </c>
      <c r="D452" t="s">
        <v>85</v>
      </c>
      <c r="E452">
        <v>5</v>
      </c>
      <c r="H452" s="2">
        <v>44522</v>
      </c>
      <c r="I452" t="s">
        <v>35</v>
      </c>
      <c r="J452">
        <v>1</v>
      </c>
    </row>
    <row r="453" spans="1:10" x14ac:dyDescent="0.45">
      <c r="A453" s="2">
        <v>44631</v>
      </c>
      <c r="B453">
        <v>3</v>
      </c>
      <c r="C453">
        <v>2022</v>
      </c>
      <c r="D453" t="s">
        <v>172</v>
      </c>
      <c r="E453">
        <v>4</v>
      </c>
      <c r="H453" s="2">
        <v>44523</v>
      </c>
      <c r="I453" t="s">
        <v>52</v>
      </c>
      <c r="J453">
        <v>5</v>
      </c>
    </row>
    <row r="454" spans="1:10" x14ac:dyDescent="0.45">
      <c r="A454" s="2">
        <v>44630</v>
      </c>
      <c r="B454">
        <v>3</v>
      </c>
      <c r="C454">
        <v>2022</v>
      </c>
      <c r="D454" t="s">
        <v>85</v>
      </c>
      <c r="E454">
        <v>1</v>
      </c>
      <c r="H454" s="2">
        <v>44528</v>
      </c>
      <c r="I454" t="s">
        <v>24</v>
      </c>
      <c r="J454">
        <v>4</v>
      </c>
    </row>
    <row r="455" spans="1:10" x14ac:dyDescent="0.45">
      <c r="A455" s="2">
        <v>44628</v>
      </c>
      <c r="B455">
        <v>3</v>
      </c>
      <c r="C455">
        <v>2022</v>
      </c>
      <c r="D455" t="s">
        <v>172</v>
      </c>
      <c r="E455">
        <v>2</v>
      </c>
      <c r="H455" s="2">
        <v>44530</v>
      </c>
      <c r="I455" t="s">
        <v>172</v>
      </c>
      <c r="J455">
        <v>1</v>
      </c>
    </row>
    <row r="456" spans="1:10" x14ac:dyDescent="0.45">
      <c r="A456" s="2">
        <v>44628</v>
      </c>
      <c r="B456">
        <v>3</v>
      </c>
      <c r="C456">
        <v>2022</v>
      </c>
      <c r="D456" t="s">
        <v>73</v>
      </c>
      <c r="E456">
        <v>1</v>
      </c>
      <c r="H456" s="2">
        <v>44532</v>
      </c>
      <c r="I456" t="s">
        <v>85</v>
      </c>
      <c r="J456">
        <v>3</v>
      </c>
    </row>
    <row r="457" spans="1:10" x14ac:dyDescent="0.45">
      <c r="A457" s="2">
        <v>44619</v>
      </c>
      <c r="B457">
        <v>2</v>
      </c>
      <c r="C457">
        <v>2022</v>
      </c>
      <c r="D457" t="s">
        <v>73</v>
      </c>
      <c r="E457">
        <v>4</v>
      </c>
      <c r="H457" s="2">
        <v>44532</v>
      </c>
      <c r="I457" t="s">
        <v>35</v>
      </c>
      <c r="J457">
        <v>5</v>
      </c>
    </row>
    <row r="458" spans="1:10" x14ac:dyDescent="0.45">
      <c r="A458" s="2">
        <v>44618</v>
      </c>
      <c r="B458">
        <v>2</v>
      </c>
      <c r="C458">
        <v>2022</v>
      </c>
      <c r="D458" t="s">
        <v>63</v>
      </c>
      <c r="E458">
        <v>5</v>
      </c>
      <c r="H458" s="2">
        <v>44533</v>
      </c>
      <c r="I458" t="s">
        <v>93</v>
      </c>
      <c r="J458">
        <v>5</v>
      </c>
    </row>
    <row r="459" spans="1:10" x14ac:dyDescent="0.45">
      <c r="A459" s="2">
        <v>44617</v>
      </c>
      <c r="B459">
        <v>2</v>
      </c>
      <c r="C459">
        <v>2022</v>
      </c>
      <c r="D459" t="s">
        <v>73</v>
      </c>
      <c r="E459">
        <v>2</v>
      </c>
      <c r="H459" s="2">
        <v>44534</v>
      </c>
      <c r="I459" t="s">
        <v>35</v>
      </c>
      <c r="J459">
        <v>6</v>
      </c>
    </row>
    <row r="460" spans="1:10" x14ac:dyDescent="0.45">
      <c r="A460" s="2">
        <v>44616</v>
      </c>
      <c r="B460">
        <v>2</v>
      </c>
      <c r="C460">
        <v>2022</v>
      </c>
      <c r="D460" t="s">
        <v>52</v>
      </c>
      <c r="E460">
        <v>3</v>
      </c>
      <c r="H460" s="2">
        <v>44537</v>
      </c>
      <c r="I460" t="s">
        <v>129</v>
      </c>
      <c r="J460">
        <v>1</v>
      </c>
    </row>
    <row r="461" spans="1:10" x14ac:dyDescent="0.45">
      <c r="A461" s="2">
        <v>44615</v>
      </c>
      <c r="B461">
        <v>2</v>
      </c>
      <c r="C461">
        <v>2022</v>
      </c>
      <c r="D461" t="s">
        <v>172</v>
      </c>
      <c r="E461">
        <v>4</v>
      </c>
      <c r="H461" s="2">
        <v>44537</v>
      </c>
      <c r="I461" t="s">
        <v>24</v>
      </c>
      <c r="J461">
        <v>3</v>
      </c>
    </row>
    <row r="462" spans="1:10" x14ac:dyDescent="0.45">
      <c r="A462" s="2">
        <v>44615</v>
      </c>
      <c r="B462">
        <v>2</v>
      </c>
      <c r="C462">
        <v>2022</v>
      </c>
      <c r="D462" t="s">
        <v>85</v>
      </c>
      <c r="E462">
        <v>3</v>
      </c>
      <c r="H462" s="2">
        <v>44539</v>
      </c>
      <c r="I462" t="s">
        <v>73</v>
      </c>
      <c r="J462">
        <v>3</v>
      </c>
    </row>
    <row r="463" spans="1:10" x14ac:dyDescent="0.45">
      <c r="A463" s="2">
        <v>44614</v>
      </c>
      <c r="B463">
        <v>2</v>
      </c>
      <c r="C463">
        <v>2022</v>
      </c>
      <c r="D463" t="s">
        <v>35</v>
      </c>
      <c r="E463">
        <v>4</v>
      </c>
      <c r="H463" s="2">
        <v>44539</v>
      </c>
      <c r="I463" t="s">
        <v>63</v>
      </c>
      <c r="J463">
        <v>3</v>
      </c>
    </row>
    <row r="464" spans="1:10" x14ac:dyDescent="0.45">
      <c r="A464" s="2">
        <v>44609</v>
      </c>
      <c r="B464">
        <v>2</v>
      </c>
      <c r="C464">
        <v>2022</v>
      </c>
      <c r="D464" t="s">
        <v>24</v>
      </c>
      <c r="E464">
        <v>3</v>
      </c>
      <c r="H464" s="2">
        <v>44540</v>
      </c>
      <c r="I464" t="s">
        <v>73</v>
      </c>
      <c r="J464">
        <v>1</v>
      </c>
    </row>
    <row r="465" spans="1:10" x14ac:dyDescent="0.45">
      <c r="A465" s="2">
        <v>44608</v>
      </c>
      <c r="B465">
        <v>2</v>
      </c>
      <c r="C465">
        <v>2022</v>
      </c>
      <c r="D465" t="s">
        <v>35</v>
      </c>
      <c r="E465">
        <v>2</v>
      </c>
      <c r="H465" s="2">
        <v>44540</v>
      </c>
      <c r="I465" t="s">
        <v>172</v>
      </c>
      <c r="J465">
        <v>5</v>
      </c>
    </row>
    <row r="466" spans="1:10" x14ac:dyDescent="0.45">
      <c r="A466" s="2">
        <v>44607</v>
      </c>
      <c r="B466">
        <v>2</v>
      </c>
      <c r="C466">
        <v>2022</v>
      </c>
      <c r="D466" t="s">
        <v>24</v>
      </c>
      <c r="E466">
        <v>4</v>
      </c>
      <c r="H466" s="2">
        <v>44541</v>
      </c>
      <c r="I466" t="s">
        <v>172</v>
      </c>
      <c r="J466">
        <v>5</v>
      </c>
    </row>
    <row r="467" spans="1:10" x14ac:dyDescent="0.45">
      <c r="A467" s="2">
        <v>44607</v>
      </c>
      <c r="B467">
        <v>2</v>
      </c>
      <c r="C467">
        <v>2022</v>
      </c>
      <c r="D467" t="s">
        <v>24</v>
      </c>
      <c r="E467">
        <v>5</v>
      </c>
      <c r="H467" s="2">
        <v>44542</v>
      </c>
      <c r="I467" t="s">
        <v>73</v>
      </c>
      <c r="J467">
        <v>1</v>
      </c>
    </row>
    <row r="468" spans="1:10" x14ac:dyDescent="0.45">
      <c r="A468" s="2">
        <v>44606</v>
      </c>
      <c r="B468">
        <v>2</v>
      </c>
      <c r="C468">
        <v>2022</v>
      </c>
      <c r="D468" t="s">
        <v>172</v>
      </c>
      <c r="E468">
        <v>1</v>
      </c>
      <c r="H468" s="2">
        <v>44543</v>
      </c>
      <c r="I468" t="s">
        <v>73</v>
      </c>
      <c r="J468">
        <v>2</v>
      </c>
    </row>
    <row r="469" spans="1:10" x14ac:dyDescent="0.45">
      <c r="A469" s="2">
        <v>44606</v>
      </c>
      <c r="B469">
        <v>2</v>
      </c>
      <c r="C469">
        <v>2022</v>
      </c>
      <c r="D469" t="s">
        <v>129</v>
      </c>
      <c r="E469">
        <v>3</v>
      </c>
      <c r="H469" s="2">
        <v>44543</v>
      </c>
      <c r="I469" t="s">
        <v>172</v>
      </c>
      <c r="J469">
        <v>4</v>
      </c>
    </row>
    <row r="470" spans="1:10" x14ac:dyDescent="0.45">
      <c r="A470" s="2">
        <v>44603</v>
      </c>
      <c r="B470">
        <v>2</v>
      </c>
      <c r="C470">
        <v>2022</v>
      </c>
      <c r="D470" t="s">
        <v>52</v>
      </c>
      <c r="E470">
        <v>5</v>
      </c>
      <c r="H470" s="2">
        <v>44544</v>
      </c>
      <c r="I470" t="s">
        <v>63</v>
      </c>
      <c r="J470">
        <v>4</v>
      </c>
    </row>
    <row r="471" spans="1:10" x14ac:dyDescent="0.45">
      <c r="A471" s="2">
        <v>44602</v>
      </c>
      <c r="B471">
        <v>2</v>
      </c>
      <c r="C471">
        <v>2022</v>
      </c>
      <c r="D471" t="s">
        <v>85</v>
      </c>
      <c r="E471">
        <v>4</v>
      </c>
      <c r="H471" s="2">
        <v>44545</v>
      </c>
      <c r="I471" t="s">
        <v>24</v>
      </c>
      <c r="J471">
        <v>1</v>
      </c>
    </row>
    <row r="472" spans="1:10" x14ac:dyDescent="0.45">
      <c r="A472" s="2">
        <v>44601</v>
      </c>
      <c r="B472">
        <v>2</v>
      </c>
      <c r="C472">
        <v>2022</v>
      </c>
      <c r="D472" t="s">
        <v>85</v>
      </c>
      <c r="E472">
        <v>5</v>
      </c>
      <c r="H472" s="2">
        <v>44545</v>
      </c>
      <c r="I472" t="s">
        <v>172</v>
      </c>
      <c r="J472">
        <v>4</v>
      </c>
    </row>
    <row r="473" spans="1:10" x14ac:dyDescent="0.45">
      <c r="A473" s="2">
        <v>44600</v>
      </c>
      <c r="B473">
        <v>2</v>
      </c>
      <c r="C473">
        <v>2022</v>
      </c>
      <c r="D473" t="s">
        <v>73</v>
      </c>
      <c r="E473">
        <v>3</v>
      </c>
      <c r="H473" s="2">
        <v>44548</v>
      </c>
      <c r="I473" t="s">
        <v>172</v>
      </c>
      <c r="J473">
        <v>2</v>
      </c>
    </row>
    <row r="474" spans="1:10" x14ac:dyDescent="0.45">
      <c r="A474" s="2">
        <v>44599</v>
      </c>
      <c r="B474">
        <v>2</v>
      </c>
      <c r="C474">
        <v>2022</v>
      </c>
      <c r="D474" t="s">
        <v>35</v>
      </c>
      <c r="E474">
        <v>4</v>
      </c>
      <c r="H474" s="2">
        <v>44549</v>
      </c>
      <c r="I474" t="s">
        <v>172</v>
      </c>
      <c r="J474">
        <v>2</v>
      </c>
    </row>
    <row r="475" spans="1:10" x14ac:dyDescent="0.45">
      <c r="A475" s="2">
        <v>44597</v>
      </c>
      <c r="B475">
        <v>2</v>
      </c>
      <c r="C475">
        <v>2022</v>
      </c>
      <c r="D475" t="s">
        <v>93</v>
      </c>
      <c r="E475">
        <v>5</v>
      </c>
      <c r="H475" s="2">
        <v>44550</v>
      </c>
      <c r="I475" t="s">
        <v>85</v>
      </c>
      <c r="J475">
        <v>4</v>
      </c>
    </row>
    <row r="476" spans="1:10" x14ac:dyDescent="0.45">
      <c r="A476" s="2">
        <v>44595</v>
      </c>
      <c r="B476">
        <v>2</v>
      </c>
      <c r="C476">
        <v>2022</v>
      </c>
      <c r="D476" t="s">
        <v>85</v>
      </c>
      <c r="E476">
        <v>3</v>
      </c>
      <c r="H476" s="2">
        <v>44554</v>
      </c>
      <c r="I476" t="s">
        <v>24</v>
      </c>
      <c r="J476">
        <v>3</v>
      </c>
    </row>
    <row r="477" spans="1:10" x14ac:dyDescent="0.45">
      <c r="A477" s="2">
        <v>44595</v>
      </c>
      <c r="B477">
        <v>2</v>
      </c>
      <c r="C477">
        <v>2022</v>
      </c>
      <c r="D477" t="s">
        <v>35</v>
      </c>
      <c r="E477">
        <v>3</v>
      </c>
      <c r="H477" s="2">
        <v>44556</v>
      </c>
      <c r="I477" t="s">
        <v>93</v>
      </c>
      <c r="J477">
        <v>1</v>
      </c>
    </row>
    <row r="478" spans="1:10" x14ac:dyDescent="0.45">
      <c r="A478" s="2">
        <v>44594</v>
      </c>
      <c r="B478">
        <v>2</v>
      </c>
      <c r="C478">
        <v>2022</v>
      </c>
      <c r="D478" t="s">
        <v>85</v>
      </c>
      <c r="E478">
        <v>4</v>
      </c>
      <c r="H478" s="2">
        <v>44556</v>
      </c>
      <c r="I478" t="s">
        <v>129</v>
      </c>
      <c r="J478">
        <v>3</v>
      </c>
    </row>
    <row r="479" spans="1:10" x14ac:dyDescent="0.45">
      <c r="A479" s="2">
        <v>44592</v>
      </c>
      <c r="B479">
        <v>1</v>
      </c>
      <c r="C479">
        <v>2022</v>
      </c>
      <c r="D479" t="s">
        <v>73</v>
      </c>
      <c r="E479">
        <v>1</v>
      </c>
      <c r="H479" s="2">
        <v>44561</v>
      </c>
      <c r="I479" t="s">
        <v>73</v>
      </c>
      <c r="J479">
        <v>3</v>
      </c>
    </row>
    <row r="480" spans="1:10" x14ac:dyDescent="0.45">
      <c r="A480" s="2">
        <v>44592</v>
      </c>
      <c r="B480">
        <v>1</v>
      </c>
      <c r="C480">
        <v>2022</v>
      </c>
      <c r="D480" t="s">
        <v>24</v>
      </c>
      <c r="E480">
        <v>2</v>
      </c>
      <c r="H480" s="2">
        <v>44562</v>
      </c>
      <c r="I480" t="s">
        <v>73</v>
      </c>
      <c r="J480">
        <v>3</v>
      </c>
    </row>
    <row r="481" spans="1:10" x14ac:dyDescent="0.45">
      <c r="A481" s="2">
        <v>44592</v>
      </c>
      <c r="B481">
        <v>1</v>
      </c>
      <c r="C481">
        <v>2022</v>
      </c>
      <c r="D481" t="s">
        <v>24</v>
      </c>
      <c r="E481">
        <v>4</v>
      </c>
      <c r="H481" s="2">
        <v>44562</v>
      </c>
      <c r="I481" t="s">
        <v>24</v>
      </c>
      <c r="J481">
        <v>1</v>
      </c>
    </row>
    <row r="482" spans="1:10" x14ac:dyDescent="0.45">
      <c r="A482" s="2">
        <v>44591</v>
      </c>
      <c r="B482">
        <v>1</v>
      </c>
      <c r="C482">
        <v>2022</v>
      </c>
      <c r="D482" t="s">
        <v>172</v>
      </c>
      <c r="E482">
        <v>4</v>
      </c>
      <c r="H482" s="2">
        <v>44563</v>
      </c>
      <c r="I482" t="s">
        <v>73</v>
      </c>
      <c r="J482">
        <v>3</v>
      </c>
    </row>
    <row r="483" spans="1:10" x14ac:dyDescent="0.45">
      <c r="A483" s="2">
        <v>44591</v>
      </c>
      <c r="B483">
        <v>1</v>
      </c>
      <c r="C483">
        <v>2022</v>
      </c>
      <c r="D483" t="s">
        <v>129</v>
      </c>
      <c r="E483">
        <v>4</v>
      </c>
      <c r="H483" s="2">
        <v>44564</v>
      </c>
      <c r="I483" t="s">
        <v>73</v>
      </c>
      <c r="J483">
        <v>5</v>
      </c>
    </row>
    <row r="484" spans="1:10" x14ac:dyDescent="0.45">
      <c r="A484" s="2">
        <v>44588</v>
      </c>
      <c r="B484">
        <v>1</v>
      </c>
      <c r="C484">
        <v>2022</v>
      </c>
      <c r="D484" t="s">
        <v>93</v>
      </c>
      <c r="E484">
        <v>3</v>
      </c>
      <c r="H484" s="2">
        <v>44564</v>
      </c>
      <c r="I484" t="s">
        <v>63</v>
      </c>
      <c r="J484">
        <v>5</v>
      </c>
    </row>
    <row r="485" spans="1:10" x14ac:dyDescent="0.45">
      <c r="A485" s="2">
        <v>44586</v>
      </c>
      <c r="B485">
        <v>1</v>
      </c>
      <c r="C485">
        <v>2022</v>
      </c>
      <c r="D485" t="s">
        <v>129</v>
      </c>
      <c r="E485">
        <v>1</v>
      </c>
      <c r="H485" s="2">
        <v>44566</v>
      </c>
      <c r="I485" t="s">
        <v>73</v>
      </c>
      <c r="J485">
        <v>5</v>
      </c>
    </row>
    <row r="486" spans="1:10" x14ac:dyDescent="0.45">
      <c r="A486" s="2">
        <v>44584</v>
      </c>
      <c r="B486">
        <v>1</v>
      </c>
      <c r="C486">
        <v>2022</v>
      </c>
      <c r="D486" t="s">
        <v>52</v>
      </c>
      <c r="E486">
        <v>3</v>
      </c>
      <c r="H486" s="2">
        <v>44566</v>
      </c>
      <c r="I486" t="s">
        <v>129</v>
      </c>
      <c r="J486">
        <v>3</v>
      </c>
    </row>
    <row r="487" spans="1:10" x14ac:dyDescent="0.45">
      <c r="A487" s="2">
        <v>44579</v>
      </c>
      <c r="B487">
        <v>1</v>
      </c>
      <c r="C487">
        <v>2022</v>
      </c>
      <c r="D487" t="s">
        <v>129</v>
      </c>
      <c r="E487">
        <v>5</v>
      </c>
      <c r="H487" s="2">
        <v>44570</v>
      </c>
      <c r="I487" t="s">
        <v>73</v>
      </c>
      <c r="J487">
        <v>4</v>
      </c>
    </row>
    <row r="488" spans="1:10" x14ac:dyDescent="0.45">
      <c r="A488" s="2">
        <v>44576</v>
      </c>
      <c r="B488">
        <v>1</v>
      </c>
      <c r="C488">
        <v>2022</v>
      </c>
      <c r="D488" t="s">
        <v>85</v>
      </c>
      <c r="E488">
        <v>4</v>
      </c>
      <c r="H488" s="2">
        <v>44570</v>
      </c>
      <c r="I488" t="s">
        <v>24</v>
      </c>
      <c r="J488">
        <v>1</v>
      </c>
    </row>
    <row r="489" spans="1:10" x14ac:dyDescent="0.45">
      <c r="A489" s="2">
        <v>44574</v>
      </c>
      <c r="B489">
        <v>1</v>
      </c>
      <c r="C489">
        <v>2022</v>
      </c>
      <c r="D489" t="s">
        <v>35</v>
      </c>
      <c r="E489">
        <v>2</v>
      </c>
      <c r="H489" s="2">
        <v>44571</v>
      </c>
      <c r="I489" t="s">
        <v>85</v>
      </c>
      <c r="J489">
        <v>2</v>
      </c>
    </row>
    <row r="490" spans="1:10" x14ac:dyDescent="0.45">
      <c r="A490" s="2">
        <v>44573</v>
      </c>
      <c r="B490">
        <v>1</v>
      </c>
      <c r="C490">
        <v>2022</v>
      </c>
      <c r="D490" t="s">
        <v>73</v>
      </c>
      <c r="E490">
        <v>2</v>
      </c>
      <c r="H490" s="2">
        <v>44573</v>
      </c>
      <c r="I490" t="s">
        <v>73</v>
      </c>
      <c r="J490">
        <v>2</v>
      </c>
    </row>
    <row r="491" spans="1:10" x14ac:dyDescent="0.45">
      <c r="A491" s="2">
        <v>44571</v>
      </c>
      <c r="B491">
        <v>1</v>
      </c>
      <c r="C491">
        <v>2022</v>
      </c>
      <c r="D491" t="s">
        <v>85</v>
      </c>
      <c r="E491">
        <v>2</v>
      </c>
      <c r="H491" s="2">
        <v>44574</v>
      </c>
      <c r="I491" t="s">
        <v>35</v>
      </c>
      <c r="J491">
        <v>2</v>
      </c>
    </row>
    <row r="492" spans="1:10" x14ac:dyDescent="0.45">
      <c r="A492" s="2">
        <v>44570</v>
      </c>
      <c r="B492">
        <v>1</v>
      </c>
      <c r="C492">
        <v>2022</v>
      </c>
      <c r="D492" t="s">
        <v>73</v>
      </c>
      <c r="E492">
        <v>4</v>
      </c>
      <c r="H492" s="2">
        <v>44576</v>
      </c>
      <c r="I492" t="s">
        <v>85</v>
      </c>
      <c r="J492">
        <v>4</v>
      </c>
    </row>
    <row r="493" spans="1:10" x14ac:dyDescent="0.45">
      <c r="A493" s="2">
        <v>44570</v>
      </c>
      <c r="B493">
        <v>1</v>
      </c>
      <c r="C493">
        <v>2022</v>
      </c>
      <c r="D493" t="s">
        <v>24</v>
      </c>
      <c r="E493">
        <v>1</v>
      </c>
      <c r="H493" s="2">
        <v>44579</v>
      </c>
      <c r="I493" t="s">
        <v>129</v>
      </c>
      <c r="J493">
        <v>5</v>
      </c>
    </row>
    <row r="494" spans="1:10" x14ac:dyDescent="0.45">
      <c r="A494" s="2">
        <v>44566</v>
      </c>
      <c r="B494">
        <v>1</v>
      </c>
      <c r="C494">
        <v>2022</v>
      </c>
      <c r="D494" t="s">
        <v>73</v>
      </c>
      <c r="E494">
        <v>5</v>
      </c>
      <c r="H494" s="2">
        <v>44584</v>
      </c>
      <c r="I494" t="s">
        <v>52</v>
      </c>
      <c r="J494">
        <v>3</v>
      </c>
    </row>
    <row r="495" spans="1:10" x14ac:dyDescent="0.45">
      <c r="A495" s="2">
        <v>44566</v>
      </c>
      <c r="B495">
        <v>1</v>
      </c>
      <c r="C495">
        <v>2022</v>
      </c>
      <c r="D495" t="s">
        <v>129</v>
      </c>
      <c r="E495">
        <v>3</v>
      </c>
      <c r="H495" s="2">
        <v>44586</v>
      </c>
      <c r="I495" t="s">
        <v>129</v>
      </c>
      <c r="J495">
        <v>1</v>
      </c>
    </row>
    <row r="496" spans="1:10" x14ac:dyDescent="0.45">
      <c r="A496" s="2">
        <v>44564</v>
      </c>
      <c r="B496">
        <v>1</v>
      </c>
      <c r="C496">
        <v>2022</v>
      </c>
      <c r="D496" t="s">
        <v>63</v>
      </c>
      <c r="E496">
        <v>5</v>
      </c>
      <c r="H496" s="2">
        <v>44588</v>
      </c>
      <c r="I496" t="s">
        <v>93</v>
      </c>
      <c r="J496">
        <v>3</v>
      </c>
    </row>
    <row r="497" spans="1:10" x14ac:dyDescent="0.45">
      <c r="A497" s="2">
        <v>44564</v>
      </c>
      <c r="B497">
        <v>1</v>
      </c>
      <c r="C497">
        <v>2022</v>
      </c>
      <c r="D497" t="s">
        <v>73</v>
      </c>
      <c r="E497">
        <v>5</v>
      </c>
      <c r="H497" s="2">
        <v>44591</v>
      </c>
      <c r="I497" t="s">
        <v>129</v>
      </c>
      <c r="J497">
        <v>4</v>
      </c>
    </row>
    <row r="498" spans="1:10" x14ac:dyDescent="0.45">
      <c r="A498" s="2">
        <v>44563</v>
      </c>
      <c r="B498">
        <v>1</v>
      </c>
      <c r="C498">
        <v>2022</v>
      </c>
      <c r="D498" t="s">
        <v>73</v>
      </c>
      <c r="E498">
        <v>3</v>
      </c>
      <c r="H498" s="2">
        <v>44591</v>
      </c>
      <c r="I498" t="s">
        <v>172</v>
      </c>
      <c r="J498">
        <v>4</v>
      </c>
    </row>
    <row r="499" spans="1:10" x14ac:dyDescent="0.45">
      <c r="A499" s="2">
        <v>44562</v>
      </c>
      <c r="B499">
        <v>1</v>
      </c>
      <c r="C499">
        <v>2022</v>
      </c>
      <c r="D499" t="s">
        <v>24</v>
      </c>
      <c r="E499">
        <v>1</v>
      </c>
      <c r="H499" s="2">
        <v>44592</v>
      </c>
      <c r="I499" t="s">
        <v>73</v>
      </c>
      <c r="J499">
        <v>1</v>
      </c>
    </row>
    <row r="500" spans="1:10" x14ac:dyDescent="0.45">
      <c r="A500" s="2">
        <v>44562</v>
      </c>
      <c r="B500">
        <v>1</v>
      </c>
      <c r="C500">
        <v>2022</v>
      </c>
      <c r="D500" t="s">
        <v>73</v>
      </c>
      <c r="E500">
        <v>3</v>
      </c>
      <c r="H500" s="2">
        <v>44592</v>
      </c>
      <c r="I500" t="s">
        <v>24</v>
      </c>
      <c r="J500">
        <v>6</v>
      </c>
    </row>
    <row r="501" spans="1:10" x14ac:dyDescent="0.45">
      <c r="A501" s="2">
        <v>44561</v>
      </c>
      <c r="B501">
        <v>12</v>
      </c>
      <c r="C501">
        <v>2021</v>
      </c>
      <c r="D501" t="s">
        <v>73</v>
      </c>
      <c r="E501">
        <v>3</v>
      </c>
      <c r="H501" s="2">
        <v>44594</v>
      </c>
      <c r="I501" t="s">
        <v>85</v>
      </c>
      <c r="J501">
        <v>4</v>
      </c>
    </row>
    <row r="502" spans="1:10" x14ac:dyDescent="0.45">
      <c r="A502" s="2">
        <v>44556</v>
      </c>
      <c r="B502">
        <v>12</v>
      </c>
      <c r="C502">
        <v>2021</v>
      </c>
      <c r="D502" t="s">
        <v>93</v>
      </c>
      <c r="E502">
        <v>1</v>
      </c>
      <c r="H502" s="2">
        <v>44595</v>
      </c>
      <c r="I502" t="s">
        <v>85</v>
      </c>
      <c r="J502">
        <v>3</v>
      </c>
    </row>
    <row r="503" spans="1:10" x14ac:dyDescent="0.45">
      <c r="A503" s="2">
        <v>44556</v>
      </c>
      <c r="B503">
        <v>12</v>
      </c>
      <c r="C503">
        <v>2021</v>
      </c>
      <c r="D503" t="s">
        <v>129</v>
      </c>
      <c r="E503">
        <v>3</v>
      </c>
      <c r="H503" s="2">
        <v>44595</v>
      </c>
      <c r="I503" t="s">
        <v>35</v>
      </c>
      <c r="J503">
        <v>3</v>
      </c>
    </row>
    <row r="504" spans="1:10" x14ac:dyDescent="0.45">
      <c r="A504" s="2">
        <v>44554</v>
      </c>
      <c r="B504">
        <v>12</v>
      </c>
      <c r="C504">
        <v>2021</v>
      </c>
      <c r="D504" t="s">
        <v>24</v>
      </c>
      <c r="E504">
        <v>3</v>
      </c>
      <c r="H504" s="2">
        <v>44597</v>
      </c>
      <c r="I504" t="s">
        <v>93</v>
      </c>
      <c r="J504">
        <v>5</v>
      </c>
    </row>
    <row r="505" spans="1:10" x14ac:dyDescent="0.45">
      <c r="A505" s="2">
        <v>44550</v>
      </c>
      <c r="B505">
        <v>12</v>
      </c>
      <c r="C505">
        <v>2021</v>
      </c>
      <c r="D505" t="s">
        <v>85</v>
      </c>
      <c r="E505">
        <v>3</v>
      </c>
      <c r="H505" s="2">
        <v>44599</v>
      </c>
      <c r="I505" t="s">
        <v>35</v>
      </c>
      <c r="J505">
        <v>4</v>
      </c>
    </row>
    <row r="506" spans="1:10" x14ac:dyDescent="0.45">
      <c r="A506" s="2">
        <v>44550</v>
      </c>
      <c r="B506">
        <v>12</v>
      </c>
      <c r="C506">
        <v>2021</v>
      </c>
      <c r="D506" t="s">
        <v>85</v>
      </c>
      <c r="E506">
        <v>1</v>
      </c>
      <c r="H506" s="2">
        <v>44600</v>
      </c>
      <c r="I506" t="s">
        <v>73</v>
      </c>
      <c r="J506">
        <v>3</v>
      </c>
    </row>
    <row r="507" spans="1:10" x14ac:dyDescent="0.45">
      <c r="A507" s="2">
        <v>44549</v>
      </c>
      <c r="B507">
        <v>12</v>
      </c>
      <c r="C507">
        <v>2021</v>
      </c>
      <c r="D507" t="s">
        <v>172</v>
      </c>
      <c r="E507">
        <v>2</v>
      </c>
      <c r="H507" s="2">
        <v>44601</v>
      </c>
      <c r="I507" t="s">
        <v>85</v>
      </c>
      <c r="J507">
        <v>5</v>
      </c>
    </row>
    <row r="508" spans="1:10" x14ac:dyDescent="0.45">
      <c r="A508" s="2">
        <v>44548</v>
      </c>
      <c r="B508">
        <v>12</v>
      </c>
      <c r="C508">
        <v>2021</v>
      </c>
      <c r="D508" t="s">
        <v>172</v>
      </c>
      <c r="E508">
        <v>2</v>
      </c>
      <c r="H508" s="2">
        <v>44602</v>
      </c>
      <c r="I508" t="s">
        <v>85</v>
      </c>
      <c r="J508">
        <v>4</v>
      </c>
    </row>
    <row r="509" spans="1:10" x14ac:dyDescent="0.45">
      <c r="A509" s="2">
        <v>44545</v>
      </c>
      <c r="B509">
        <v>12</v>
      </c>
      <c r="C509">
        <v>2021</v>
      </c>
      <c r="D509" t="s">
        <v>24</v>
      </c>
      <c r="E509">
        <v>1</v>
      </c>
      <c r="H509" s="2">
        <v>44603</v>
      </c>
      <c r="I509" t="s">
        <v>52</v>
      </c>
      <c r="J509">
        <v>5</v>
      </c>
    </row>
    <row r="510" spans="1:10" x14ac:dyDescent="0.45">
      <c r="A510" s="2">
        <v>44545</v>
      </c>
      <c r="B510">
        <v>12</v>
      </c>
      <c r="C510">
        <v>2021</v>
      </c>
      <c r="D510" t="s">
        <v>172</v>
      </c>
      <c r="E510">
        <v>4</v>
      </c>
      <c r="H510" s="2">
        <v>44606</v>
      </c>
      <c r="I510" t="s">
        <v>129</v>
      </c>
      <c r="J510">
        <v>3</v>
      </c>
    </row>
    <row r="511" spans="1:10" x14ac:dyDescent="0.45">
      <c r="A511" s="2">
        <v>44544</v>
      </c>
      <c r="B511">
        <v>12</v>
      </c>
      <c r="C511">
        <v>2021</v>
      </c>
      <c r="D511" t="s">
        <v>63</v>
      </c>
      <c r="E511">
        <v>4</v>
      </c>
      <c r="H511" s="2">
        <v>44606</v>
      </c>
      <c r="I511" t="s">
        <v>172</v>
      </c>
      <c r="J511">
        <v>1</v>
      </c>
    </row>
    <row r="512" spans="1:10" x14ac:dyDescent="0.45">
      <c r="A512" s="2">
        <v>44543</v>
      </c>
      <c r="B512">
        <v>12</v>
      </c>
      <c r="C512">
        <v>2021</v>
      </c>
      <c r="D512" t="s">
        <v>73</v>
      </c>
      <c r="E512">
        <v>2</v>
      </c>
      <c r="H512" s="2">
        <v>44607</v>
      </c>
      <c r="I512" t="s">
        <v>24</v>
      </c>
      <c r="J512">
        <v>9</v>
      </c>
    </row>
    <row r="513" spans="1:10" x14ac:dyDescent="0.45">
      <c r="A513" s="2">
        <v>44543</v>
      </c>
      <c r="B513">
        <v>12</v>
      </c>
      <c r="C513">
        <v>2021</v>
      </c>
      <c r="D513" t="s">
        <v>172</v>
      </c>
      <c r="E513">
        <v>4</v>
      </c>
      <c r="H513" s="2">
        <v>44608</v>
      </c>
      <c r="I513" t="s">
        <v>35</v>
      </c>
      <c r="J513">
        <v>2</v>
      </c>
    </row>
    <row r="514" spans="1:10" x14ac:dyDescent="0.45">
      <c r="A514" s="2">
        <v>44542</v>
      </c>
      <c r="B514">
        <v>12</v>
      </c>
      <c r="C514">
        <v>2021</v>
      </c>
      <c r="D514" t="s">
        <v>73</v>
      </c>
      <c r="E514">
        <v>1</v>
      </c>
      <c r="H514" s="2">
        <v>44609</v>
      </c>
      <c r="I514" t="s">
        <v>24</v>
      </c>
      <c r="J514">
        <v>3</v>
      </c>
    </row>
    <row r="515" spans="1:10" x14ac:dyDescent="0.45">
      <c r="A515" s="2">
        <v>44541</v>
      </c>
      <c r="B515">
        <v>12</v>
      </c>
      <c r="C515">
        <v>2021</v>
      </c>
      <c r="D515" t="s">
        <v>172</v>
      </c>
      <c r="E515">
        <v>5</v>
      </c>
      <c r="H515" s="2">
        <v>44614</v>
      </c>
      <c r="I515" t="s">
        <v>35</v>
      </c>
      <c r="J515">
        <v>4</v>
      </c>
    </row>
    <row r="516" spans="1:10" x14ac:dyDescent="0.45">
      <c r="A516" s="2">
        <v>44540</v>
      </c>
      <c r="B516">
        <v>12</v>
      </c>
      <c r="C516">
        <v>2021</v>
      </c>
      <c r="D516" t="s">
        <v>172</v>
      </c>
      <c r="E516">
        <v>5</v>
      </c>
      <c r="H516" s="2">
        <v>44615</v>
      </c>
      <c r="I516" t="s">
        <v>85</v>
      </c>
      <c r="J516">
        <v>3</v>
      </c>
    </row>
    <row r="517" spans="1:10" x14ac:dyDescent="0.45">
      <c r="A517" s="2">
        <v>44540</v>
      </c>
      <c r="B517">
        <v>12</v>
      </c>
      <c r="C517">
        <v>2021</v>
      </c>
      <c r="D517" t="s">
        <v>73</v>
      </c>
      <c r="E517">
        <v>1</v>
      </c>
      <c r="H517" s="2">
        <v>44615</v>
      </c>
      <c r="I517" t="s">
        <v>172</v>
      </c>
      <c r="J517">
        <v>4</v>
      </c>
    </row>
    <row r="518" spans="1:10" x14ac:dyDescent="0.45">
      <c r="A518" s="2">
        <v>44539</v>
      </c>
      <c r="B518">
        <v>12</v>
      </c>
      <c r="C518">
        <v>2021</v>
      </c>
      <c r="D518" t="s">
        <v>63</v>
      </c>
      <c r="E518">
        <v>3</v>
      </c>
      <c r="H518" s="2">
        <v>44616</v>
      </c>
      <c r="I518" t="s">
        <v>52</v>
      </c>
      <c r="J518">
        <v>3</v>
      </c>
    </row>
    <row r="519" spans="1:10" x14ac:dyDescent="0.45">
      <c r="A519" s="2">
        <v>44539</v>
      </c>
      <c r="B519">
        <v>12</v>
      </c>
      <c r="C519">
        <v>2021</v>
      </c>
      <c r="D519" t="s">
        <v>73</v>
      </c>
      <c r="E519">
        <v>3</v>
      </c>
      <c r="H519" s="2">
        <v>44617</v>
      </c>
      <c r="I519" t="s">
        <v>73</v>
      </c>
      <c r="J519">
        <v>2</v>
      </c>
    </row>
    <row r="520" spans="1:10" x14ac:dyDescent="0.45">
      <c r="A520" s="2">
        <v>44537</v>
      </c>
      <c r="B520">
        <v>12</v>
      </c>
      <c r="C520">
        <v>2021</v>
      </c>
      <c r="D520" t="s">
        <v>129</v>
      </c>
      <c r="E520">
        <v>1</v>
      </c>
      <c r="H520" s="2">
        <v>44618</v>
      </c>
      <c r="I520" t="s">
        <v>63</v>
      </c>
      <c r="J520">
        <v>5</v>
      </c>
    </row>
    <row r="521" spans="1:10" x14ac:dyDescent="0.45">
      <c r="A521" s="2">
        <v>44537</v>
      </c>
      <c r="B521">
        <v>12</v>
      </c>
      <c r="C521">
        <v>2021</v>
      </c>
      <c r="D521" t="s">
        <v>24</v>
      </c>
      <c r="E521">
        <v>3</v>
      </c>
      <c r="H521" s="2">
        <v>44619</v>
      </c>
      <c r="I521" t="s">
        <v>73</v>
      </c>
      <c r="J521">
        <v>4</v>
      </c>
    </row>
    <row r="522" spans="1:10" x14ac:dyDescent="0.45">
      <c r="A522" s="2">
        <v>44534</v>
      </c>
      <c r="B522">
        <v>12</v>
      </c>
      <c r="C522">
        <v>2021</v>
      </c>
      <c r="D522" t="s">
        <v>35</v>
      </c>
      <c r="E522">
        <v>4</v>
      </c>
      <c r="H522" s="2">
        <v>44628</v>
      </c>
      <c r="I522" t="s">
        <v>73</v>
      </c>
      <c r="J522">
        <v>1</v>
      </c>
    </row>
    <row r="523" spans="1:10" x14ac:dyDescent="0.45">
      <c r="A523" s="2">
        <v>44534</v>
      </c>
      <c r="B523">
        <v>12</v>
      </c>
      <c r="C523">
        <v>2021</v>
      </c>
      <c r="D523" t="s">
        <v>35</v>
      </c>
      <c r="E523">
        <v>2</v>
      </c>
      <c r="H523" s="2">
        <v>44628</v>
      </c>
      <c r="I523" t="s">
        <v>172</v>
      </c>
      <c r="J523">
        <v>2</v>
      </c>
    </row>
    <row r="524" spans="1:10" x14ac:dyDescent="0.45">
      <c r="A524" s="2">
        <v>44533</v>
      </c>
      <c r="B524">
        <v>12</v>
      </c>
      <c r="C524">
        <v>2021</v>
      </c>
      <c r="D524" t="s">
        <v>93</v>
      </c>
      <c r="E524">
        <v>3</v>
      </c>
      <c r="H524" s="2">
        <v>44630</v>
      </c>
      <c r="I524" t="s">
        <v>85</v>
      </c>
      <c r="J524">
        <v>1</v>
      </c>
    </row>
    <row r="525" spans="1:10" x14ac:dyDescent="0.45">
      <c r="A525" s="2">
        <v>44533</v>
      </c>
      <c r="B525">
        <v>12</v>
      </c>
      <c r="C525">
        <v>2021</v>
      </c>
      <c r="D525" t="s">
        <v>93</v>
      </c>
      <c r="E525">
        <v>2</v>
      </c>
      <c r="H525" s="2">
        <v>44631</v>
      </c>
      <c r="I525" t="s">
        <v>172</v>
      </c>
      <c r="J525">
        <v>4</v>
      </c>
    </row>
    <row r="526" spans="1:10" x14ac:dyDescent="0.45">
      <c r="A526" s="2">
        <v>44532</v>
      </c>
      <c r="B526">
        <v>12</v>
      </c>
      <c r="C526">
        <v>2021</v>
      </c>
      <c r="D526" t="s">
        <v>35</v>
      </c>
      <c r="E526">
        <v>5</v>
      </c>
      <c r="H526" s="2">
        <v>44632</v>
      </c>
      <c r="I526" t="s">
        <v>85</v>
      </c>
      <c r="J526">
        <v>5</v>
      </c>
    </row>
    <row r="527" spans="1:10" x14ac:dyDescent="0.45">
      <c r="A527" s="2">
        <v>44532</v>
      </c>
      <c r="B527">
        <v>12</v>
      </c>
      <c r="C527">
        <v>2021</v>
      </c>
      <c r="D527" t="s">
        <v>85</v>
      </c>
      <c r="E527">
        <v>3</v>
      </c>
      <c r="H527" s="2">
        <v>44633</v>
      </c>
      <c r="I527" t="s">
        <v>52</v>
      </c>
      <c r="J527">
        <v>5</v>
      </c>
    </row>
    <row r="528" spans="1:10" x14ac:dyDescent="0.45">
      <c r="A528" s="2">
        <v>44530</v>
      </c>
      <c r="B528">
        <v>11</v>
      </c>
      <c r="C528">
        <v>2021</v>
      </c>
      <c r="D528" t="s">
        <v>172</v>
      </c>
      <c r="E528">
        <v>1</v>
      </c>
      <c r="H528" s="2">
        <v>44634</v>
      </c>
      <c r="I528" t="s">
        <v>93</v>
      </c>
      <c r="J528">
        <v>1</v>
      </c>
    </row>
    <row r="529" spans="1:10" x14ac:dyDescent="0.45">
      <c r="A529" s="2">
        <v>44528</v>
      </c>
      <c r="B529">
        <v>11</v>
      </c>
      <c r="C529">
        <v>2021</v>
      </c>
      <c r="D529" t="s">
        <v>24</v>
      </c>
      <c r="E529">
        <v>4</v>
      </c>
      <c r="H529" s="2">
        <v>44634</v>
      </c>
      <c r="I529" t="s">
        <v>35</v>
      </c>
      <c r="J529">
        <v>1</v>
      </c>
    </row>
    <row r="530" spans="1:10" x14ac:dyDescent="0.45">
      <c r="A530" s="2">
        <v>44523</v>
      </c>
      <c r="B530">
        <v>11</v>
      </c>
      <c r="C530">
        <v>2021</v>
      </c>
      <c r="D530" t="s">
        <v>52</v>
      </c>
      <c r="E530">
        <v>5</v>
      </c>
      <c r="H530" s="2">
        <v>44640</v>
      </c>
      <c r="I530" t="s">
        <v>24</v>
      </c>
      <c r="J530">
        <v>3</v>
      </c>
    </row>
    <row r="531" spans="1:10" x14ac:dyDescent="0.45">
      <c r="A531" s="2">
        <v>44522</v>
      </c>
      <c r="B531">
        <v>11</v>
      </c>
      <c r="C531">
        <v>2021</v>
      </c>
      <c r="D531" t="s">
        <v>129</v>
      </c>
      <c r="E531">
        <v>4</v>
      </c>
      <c r="H531" s="2">
        <v>44641</v>
      </c>
      <c r="I531" t="s">
        <v>35</v>
      </c>
      <c r="J531">
        <v>4</v>
      </c>
    </row>
    <row r="532" spans="1:10" x14ac:dyDescent="0.45">
      <c r="A532" s="2">
        <v>44522</v>
      </c>
      <c r="B532">
        <v>11</v>
      </c>
      <c r="C532">
        <v>2021</v>
      </c>
      <c r="D532" t="s">
        <v>35</v>
      </c>
      <c r="E532">
        <v>1</v>
      </c>
      <c r="H532" s="2">
        <v>44644</v>
      </c>
      <c r="I532" t="s">
        <v>129</v>
      </c>
      <c r="J532">
        <v>4</v>
      </c>
    </row>
    <row r="533" spans="1:10" x14ac:dyDescent="0.45">
      <c r="A533" s="2">
        <v>44522</v>
      </c>
      <c r="B533">
        <v>11</v>
      </c>
      <c r="C533">
        <v>2021</v>
      </c>
      <c r="D533" t="s">
        <v>85</v>
      </c>
      <c r="E533">
        <v>1</v>
      </c>
      <c r="H533" s="2">
        <v>44644</v>
      </c>
      <c r="I533" t="s">
        <v>63</v>
      </c>
      <c r="J533">
        <v>8</v>
      </c>
    </row>
    <row r="534" spans="1:10" x14ac:dyDescent="0.45">
      <c r="A534" s="2">
        <v>44521</v>
      </c>
      <c r="B534">
        <v>11</v>
      </c>
      <c r="C534">
        <v>2021</v>
      </c>
      <c r="D534" t="s">
        <v>63</v>
      </c>
      <c r="E534">
        <v>2</v>
      </c>
      <c r="H534" s="2">
        <v>44645</v>
      </c>
      <c r="I534" t="s">
        <v>172</v>
      </c>
      <c r="J534">
        <v>7</v>
      </c>
    </row>
    <row r="535" spans="1:10" x14ac:dyDescent="0.45">
      <c r="A535" s="2">
        <v>44521</v>
      </c>
      <c r="B535">
        <v>11</v>
      </c>
      <c r="C535">
        <v>2021</v>
      </c>
      <c r="D535" t="s">
        <v>129</v>
      </c>
      <c r="E535">
        <v>2</v>
      </c>
      <c r="H535" s="2">
        <v>44646</v>
      </c>
      <c r="I535" t="s">
        <v>93</v>
      </c>
      <c r="J535">
        <v>4</v>
      </c>
    </row>
    <row r="536" spans="1:10" x14ac:dyDescent="0.45">
      <c r="A536" s="2">
        <v>44520</v>
      </c>
      <c r="B536">
        <v>11</v>
      </c>
      <c r="C536">
        <v>2021</v>
      </c>
      <c r="D536" t="s">
        <v>35</v>
      </c>
      <c r="E536">
        <v>5</v>
      </c>
      <c r="H536" s="2">
        <v>44646</v>
      </c>
      <c r="I536" t="s">
        <v>63</v>
      </c>
      <c r="J536">
        <v>5</v>
      </c>
    </row>
    <row r="537" spans="1:10" x14ac:dyDescent="0.45">
      <c r="A537" s="2">
        <v>44520</v>
      </c>
      <c r="B537">
        <v>11</v>
      </c>
      <c r="C537">
        <v>2021</v>
      </c>
      <c r="D537" t="s">
        <v>24</v>
      </c>
      <c r="E537">
        <v>1</v>
      </c>
      <c r="H537" s="2">
        <v>44646</v>
      </c>
      <c r="I537" t="s">
        <v>172</v>
      </c>
      <c r="J537">
        <v>1</v>
      </c>
    </row>
    <row r="538" spans="1:10" x14ac:dyDescent="0.45">
      <c r="A538" s="2">
        <v>44519</v>
      </c>
      <c r="B538">
        <v>11</v>
      </c>
      <c r="C538">
        <v>2021</v>
      </c>
      <c r="D538" t="s">
        <v>93</v>
      </c>
      <c r="E538">
        <v>1</v>
      </c>
      <c r="H538" s="2">
        <v>44648</v>
      </c>
      <c r="I538" t="s">
        <v>73</v>
      </c>
      <c r="J538">
        <v>4</v>
      </c>
    </row>
    <row r="539" spans="1:10" x14ac:dyDescent="0.45">
      <c r="A539" s="2">
        <v>44519</v>
      </c>
      <c r="B539">
        <v>11</v>
      </c>
      <c r="C539">
        <v>2021</v>
      </c>
      <c r="D539" t="s">
        <v>172</v>
      </c>
      <c r="E539">
        <v>3</v>
      </c>
      <c r="H539" s="2">
        <v>44648</v>
      </c>
      <c r="I539" t="s">
        <v>63</v>
      </c>
      <c r="J539">
        <v>2</v>
      </c>
    </row>
    <row r="540" spans="1:10" x14ac:dyDescent="0.45">
      <c r="A540" s="2">
        <v>44517</v>
      </c>
      <c r="B540">
        <v>11</v>
      </c>
      <c r="C540">
        <v>2021</v>
      </c>
      <c r="D540" t="s">
        <v>52</v>
      </c>
      <c r="E540">
        <v>5</v>
      </c>
      <c r="H540" s="2">
        <v>44648</v>
      </c>
      <c r="I540" t="s">
        <v>172</v>
      </c>
      <c r="J540">
        <v>4</v>
      </c>
    </row>
    <row r="541" spans="1:10" x14ac:dyDescent="0.45">
      <c r="A541" s="2">
        <v>44516</v>
      </c>
      <c r="B541">
        <v>11</v>
      </c>
      <c r="C541">
        <v>2021</v>
      </c>
      <c r="D541" t="s">
        <v>73</v>
      </c>
      <c r="E541">
        <v>5</v>
      </c>
      <c r="H541" s="2">
        <v>44652</v>
      </c>
      <c r="I541" t="s">
        <v>73</v>
      </c>
      <c r="J541">
        <v>1</v>
      </c>
    </row>
    <row r="542" spans="1:10" x14ac:dyDescent="0.45">
      <c r="A542" s="2">
        <v>44514</v>
      </c>
      <c r="B542">
        <v>11</v>
      </c>
      <c r="C542">
        <v>2021</v>
      </c>
      <c r="D542" t="s">
        <v>129</v>
      </c>
      <c r="E542">
        <v>4</v>
      </c>
      <c r="H542" s="2">
        <v>44652</v>
      </c>
      <c r="I542" t="s">
        <v>129</v>
      </c>
      <c r="J542">
        <v>5</v>
      </c>
    </row>
    <row r="543" spans="1:10" x14ac:dyDescent="0.45">
      <c r="A543" s="2">
        <v>44507</v>
      </c>
      <c r="B543">
        <v>11</v>
      </c>
      <c r="C543">
        <v>2021</v>
      </c>
      <c r="D543" t="s">
        <v>52</v>
      </c>
      <c r="E543">
        <v>4</v>
      </c>
      <c r="H543" s="2">
        <v>44652</v>
      </c>
      <c r="I543" t="s">
        <v>172</v>
      </c>
      <c r="J543">
        <v>2</v>
      </c>
    </row>
    <row r="544" spans="1:10" x14ac:dyDescent="0.45">
      <c r="A544" s="2">
        <v>44504</v>
      </c>
      <c r="B544">
        <v>11</v>
      </c>
      <c r="C544">
        <v>2021</v>
      </c>
      <c r="D544" t="s">
        <v>63</v>
      </c>
      <c r="E544">
        <v>3</v>
      </c>
      <c r="H544" s="2">
        <v>44657</v>
      </c>
      <c r="I544" t="s">
        <v>172</v>
      </c>
      <c r="J544">
        <v>1</v>
      </c>
    </row>
    <row r="545" spans="1:10" x14ac:dyDescent="0.45">
      <c r="A545" s="2">
        <v>44503</v>
      </c>
      <c r="B545">
        <v>11</v>
      </c>
      <c r="C545">
        <v>2021</v>
      </c>
      <c r="D545" t="s">
        <v>172</v>
      </c>
      <c r="E545">
        <v>1</v>
      </c>
      <c r="H545" s="2">
        <v>44660</v>
      </c>
      <c r="I545" t="s">
        <v>63</v>
      </c>
      <c r="J545">
        <v>3</v>
      </c>
    </row>
    <row r="546" spans="1:10" x14ac:dyDescent="0.45">
      <c r="A546" s="2">
        <v>44500</v>
      </c>
      <c r="B546">
        <v>10</v>
      </c>
      <c r="C546">
        <v>2021</v>
      </c>
      <c r="D546" t="s">
        <v>24</v>
      </c>
      <c r="E546">
        <v>4</v>
      </c>
      <c r="H546" s="2">
        <v>44661</v>
      </c>
      <c r="I546" t="s">
        <v>85</v>
      </c>
      <c r="J546">
        <v>3</v>
      </c>
    </row>
    <row r="547" spans="1:10" x14ac:dyDescent="0.45">
      <c r="A547" s="2">
        <v>44500</v>
      </c>
      <c r="B547">
        <v>10</v>
      </c>
      <c r="C547">
        <v>2021</v>
      </c>
      <c r="D547" t="s">
        <v>93</v>
      </c>
      <c r="E547">
        <v>5</v>
      </c>
      <c r="H547" s="2">
        <v>44665</v>
      </c>
      <c r="I547" t="s">
        <v>73</v>
      </c>
      <c r="J547">
        <v>5</v>
      </c>
    </row>
    <row r="548" spans="1:10" x14ac:dyDescent="0.45">
      <c r="A548" s="2">
        <v>44495</v>
      </c>
      <c r="B548">
        <v>10</v>
      </c>
      <c r="C548">
        <v>2021</v>
      </c>
      <c r="D548" t="s">
        <v>73</v>
      </c>
      <c r="E548">
        <v>2</v>
      </c>
      <c r="H548" s="2">
        <v>44667</v>
      </c>
      <c r="I548" t="s">
        <v>85</v>
      </c>
      <c r="J548">
        <v>4</v>
      </c>
    </row>
    <row r="549" spans="1:10" x14ac:dyDescent="0.45">
      <c r="A549" s="2">
        <v>44495</v>
      </c>
      <c r="B549">
        <v>10</v>
      </c>
      <c r="C549">
        <v>2021</v>
      </c>
      <c r="D549" t="s">
        <v>24</v>
      </c>
      <c r="E549">
        <v>3</v>
      </c>
      <c r="H549" s="2">
        <v>44667</v>
      </c>
      <c r="I549" t="s">
        <v>172</v>
      </c>
      <c r="J549">
        <v>5</v>
      </c>
    </row>
    <row r="550" spans="1:10" x14ac:dyDescent="0.45">
      <c r="A550" s="2">
        <v>44494</v>
      </c>
      <c r="B550">
        <v>10</v>
      </c>
      <c r="C550">
        <v>2021</v>
      </c>
      <c r="D550" t="s">
        <v>52</v>
      </c>
      <c r="E550">
        <v>2</v>
      </c>
      <c r="H550" s="2">
        <v>44673</v>
      </c>
      <c r="I550" t="s">
        <v>63</v>
      </c>
      <c r="J550">
        <v>5</v>
      </c>
    </row>
    <row r="551" spans="1:10" x14ac:dyDescent="0.45">
      <c r="A551" s="2">
        <v>44491</v>
      </c>
      <c r="B551">
        <v>10</v>
      </c>
      <c r="C551">
        <v>2021</v>
      </c>
      <c r="D551" t="s">
        <v>63</v>
      </c>
      <c r="E551">
        <v>1</v>
      </c>
      <c r="H551" s="2">
        <v>44674</v>
      </c>
      <c r="I551" t="s">
        <v>52</v>
      </c>
      <c r="J551">
        <v>4</v>
      </c>
    </row>
    <row r="552" spans="1:10" x14ac:dyDescent="0.45">
      <c r="A552" s="2">
        <v>44489</v>
      </c>
      <c r="B552">
        <v>10</v>
      </c>
      <c r="C552">
        <v>2021</v>
      </c>
      <c r="D552" t="s">
        <v>35</v>
      </c>
      <c r="E552">
        <v>5</v>
      </c>
      <c r="H552" s="2">
        <v>44674</v>
      </c>
      <c r="I552" t="s">
        <v>63</v>
      </c>
      <c r="J552">
        <v>2</v>
      </c>
    </row>
    <row r="553" spans="1:10" x14ac:dyDescent="0.45">
      <c r="A553" s="2">
        <v>44489</v>
      </c>
      <c r="B553">
        <v>10</v>
      </c>
      <c r="C553">
        <v>2021</v>
      </c>
      <c r="D553" t="s">
        <v>129</v>
      </c>
      <c r="E553">
        <v>4</v>
      </c>
      <c r="H553" s="2">
        <v>44675</v>
      </c>
      <c r="I553" t="s">
        <v>73</v>
      </c>
      <c r="J553">
        <v>1</v>
      </c>
    </row>
    <row r="554" spans="1:10" x14ac:dyDescent="0.45">
      <c r="A554" s="2">
        <v>44489</v>
      </c>
      <c r="B554">
        <v>10</v>
      </c>
      <c r="C554">
        <v>2021</v>
      </c>
      <c r="D554" t="s">
        <v>35</v>
      </c>
      <c r="E554">
        <v>2</v>
      </c>
      <c r="H554" s="2">
        <v>44676</v>
      </c>
      <c r="I554" t="s">
        <v>93</v>
      </c>
      <c r="J554">
        <v>2</v>
      </c>
    </row>
    <row r="555" spans="1:10" x14ac:dyDescent="0.45">
      <c r="A555" s="2">
        <v>44486</v>
      </c>
      <c r="B555">
        <v>10</v>
      </c>
      <c r="C555">
        <v>2021</v>
      </c>
      <c r="D555" t="s">
        <v>172</v>
      </c>
      <c r="E555">
        <v>2</v>
      </c>
      <c r="H555" s="2">
        <v>44680</v>
      </c>
      <c r="I555" t="s">
        <v>63</v>
      </c>
      <c r="J555">
        <v>5</v>
      </c>
    </row>
    <row r="556" spans="1:10" x14ac:dyDescent="0.45">
      <c r="A556" s="2">
        <v>44485</v>
      </c>
      <c r="B556">
        <v>10</v>
      </c>
      <c r="C556">
        <v>2021</v>
      </c>
      <c r="D556" t="s">
        <v>93</v>
      </c>
      <c r="E556">
        <v>5</v>
      </c>
      <c r="H556" s="2">
        <v>44681</v>
      </c>
      <c r="I556" t="s">
        <v>129</v>
      </c>
      <c r="J556">
        <v>5</v>
      </c>
    </row>
    <row r="557" spans="1:10" x14ac:dyDescent="0.45">
      <c r="A557" s="2">
        <v>44483</v>
      </c>
      <c r="B557">
        <v>10</v>
      </c>
      <c r="C557">
        <v>2021</v>
      </c>
      <c r="D557" t="s">
        <v>52</v>
      </c>
      <c r="E557">
        <v>2</v>
      </c>
      <c r="H557" s="2">
        <v>44681</v>
      </c>
      <c r="I557" t="s">
        <v>52</v>
      </c>
      <c r="J557">
        <v>2</v>
      </c>
    </row>
    <row r="558" spans="1:10" x14ac:dyDescent="0.45">
      <c r="A558" s="2">
        <v>44482</v>
      </c>
      <c r="B558">
        <v>10</v>
      </c>
      <c r="C558">
        <v>2021</v>
      </c>
      <c r="D558" t="s">
        <v>93</v>
      </c>
      <c r="E558">
        <v>3</v>
      </c>
      <c r="H558" s="2">
        <v>44681</v>
      </c>
      <c r="I558" t="s">
        <v>24</v>
      </c>
      <c r="J558">
        <v>4</v>
      </c>
    </row>
    <row r="559" spans="1:10" x14ac:dyDescent="0.45">
      <c r="A559" s="2">
        <v>44472</v>
      </c>
      <c r="B559">
        <v>10</v>
      </c>
      <c r="C559">
        <v>2021</v>
      </c>
      <c r="D559" t="s">
        <v>73</v>
      </c>
      <c r="E559">
        <v>2</v>
      </c>
      <c r="H559" s="2">
        <v>44689</v>
      </c>
      <c r="I559" t="s">
        <v>172</v>
      </c>
      <c r="J559">
        <v>3</v>
      </c>
    </row>
    <row r="560" spans="1:10" x14ac:dyDescent="0.45">
      <c r="A560" s="2">
        <v>44472</v>
      </c>
      <c r="B560">
        <v>10</v>
      </c>
      <c r="C560">
        <v>2021</v>
      </c>
      <c r="D560" t="s">
        <v>52</v>
      </c>
      <c r="E560">
        <v>2</v>
      </c>
      <c r="H560" s="2">
        <v>44690</v>
      </c>
      <c r="I560" t="s">
        <v>93</v>
      </c>
      <c r="J560">
        <v>1</v>
      </c>
    </row>
    <row r="561" spans="1:10" x14ac:dyDescent="0.45">
      <c r="A561" s="2">
        <v>44470</v>
      </c>
      <c r="B561">
        <v>10</v>
      </c>
      <c r="C561">
        <v>2021</v>
      </c>
      <c r="D561" t="s">
        <v>63</v>
      </c>
      <c r="E561">
        <v>1</v>
      </c>
      <c r="H561" s="2">
        <v>44691</v>
      </c>
      <c r="I561" t="s">
        <v>35</v>
      </c>
      <c r="J561">
        <v>1</v>
      </c>
    </row>
    <row r="562" spans="1:10" x14ac:dyDescent="0.45">
      <c r="A562" s="2">
        <v>44469</v>
      </c>
      <c r="B562">
        <v>9</v>
      </c>
      <c r="C562">
        <v>2021</v>
      </c>
      <c r="D562" t="s">
        <v>73</v>
      </c>
      <c r="E562">
        <v>5</v>
      </c>
      <c r="H562" s="2">
        <v>44692</v>
      </c>
      <c r="I562" t="s">
        <v>63</v>
      </c>
      <c r="J562">
        <v>1</v>
      </c>
    </row>
    <row r="563" spans="1:10" x14ac:dyDescent="0.45">
      <c r="A563" s="2">
        <v>44467</v>
      </c>
      <c r="B563">
        <v>9</v>
      </c>
      <c r="C563">
        <v>2021</v>
      </c>
      <c r="D563" t="s">
        <v>35</v>
      </c>
      <c r="E563">
        <v>3</v>
      </c>
      <c r="H563" s="2">
        <v>44695</v>
      </c>
      <c r="I563" t="s">
        <v>63</v>
      </c>
      <c r="J563">
        <v>4</v>
      </c>
    </row>
    <row r="564" spans="1:10" x14ac:dyDescent="0.45">
      <c r="A564" s="2">
        <v>44466</v>
      </c>
      <c r="B564">
        <v>9</v>
      </c>
      <c r="C564">
        <v>2021</v>
      </c>
      <c r="D564" t="s">
        <v>172</v>
      </c>
      <c r="E564">
        <v>4</v>
      </c>
      <c r="H564" s="2">
        <v>44696</v>
      </c>
      <c r="I564" t="s">
        <v>73</v>
      </c>
      <c r="J564">
        <v>2</v>
      </c>
    </row>
    <row r="565" spans="1:10" x14ac:dyDescent="0.45">
      <c r="A565" s="2">
        <v>44466</v>
      </c>
      <c r="B565">
        <v>9</v>
      </c>
      <c r="C565">
        <v>2021</v>
      </c>
      <c r="D565" t="s">
        <v>73</v>
      </c>
      <c r="E565">
        <v>2</v>
      </c>
      <c r="H565" s="2">
        <v>44698</v>
      </c>
      <c r="I565" t="s">
        <v>129</v>
      </c>
      <c r="J565">
        <v>5</v>
      </c>
    </row>
    <row r="566" spans="1:10" x14ac:dyDescent="0.45">
      <c r="A566" s="2">
        <v>44466</v>
      </c>
      <c r="B566">
        <v>9</v>
      </c>
      <c r="C566">
        <v>2021</v>
      </c>
      <c r="D566" t="s">
        <v>35</v>
      </c>
      <c r="E566">
        <v>3</v>
      </c>
      <c r="H566" s="2">
        <v>44700</v>
      </c>
      <c r="I566" t="s">
        <v>24</v>
      </c>
      <c r="J566">
        <v>3</v>
      </c>
    </row>
    <row r="567" spans="1:10" x14ac:dyDescent="0.45">
      <c r="A567" s="2">
        <v>44466</v>
      </c>
      <c r="B567">
        <v>9</v>
      </c>
      <c r="C567">
        <v>2021</v>
      </c>
      <c r="D567" t="s">
        <v>73</v>
      </c>
      <c r="E567">
        <v>5</v>
      </c>
      <c r="H567" s="2">
        <v>44701</v>
      </c>
      <c r="I567" t="s">
        <v>73</v>
      </c>
      <c r="J567">
        <v>1</v>
      </c>
    </row>
    <row r="568" spans="1:10" x14ac:dyDescent="0.45">
      <c r="A568" s="2">
        <v>44466</v>
      </c>
      <c r="B568">
        <v>9</v>
      </c>
      <c r="C568">
        <v>2021</v>
      </c>
      <c r="D568" t="s">
        <v>73</v>
      </c>
      <c r="E568">
        <v>3</v>
      </c>
      <c r="H568" s="2">
        <v>44701</v>
      </c>
      <c r="I568" t="s">
        <v>52</v>
      </c>
      <c r="J568">
        <v>2</v>
      </c>
    </row>
    <row r="569" spans="1:10" x14ac:dyDescent="0.45">
      <c r="A569" s="2">
        <v>44462</v>
      </c>
      <c r="B569">
        <v>9</v>
      </c>
      <c r="C569">
        <v>2021</v>
      </c>
      <c r="D569" t="s">
        <v>93</v>
      </c>
      <c r="E569">
        <v>1</v>
      </c>
      <c r="H569" s="2">
        <v>44704</v>
      </c>
      <c r="I569" t="s">
        <v>85</v>
      </c>
      <c r="J569">
        <v>1</v>
      </c>
    </row>
    <row r="570" spans="1:10" x14ac:dyDescent="0.45">
      <c r="A570" s="2">
        <v>44461</v>
      </c>
      <c r="B570">
        <v>9</v>
      </c>
      <c r="C570">
        <v>2021</v>
      </c>
      <c r="D570" t="s">
        <v>129</v>
      </c>
      <c r="E570">
        <v>5</v>
      </c>
      <c r="H570" s="2">
        <v>44705</v>
      </c>
      <c r="I570" t="s">
        <v>73</v>
      </c>
      <c r="J570">
        <v>2</v>
      </c>
    </row>
    <row r="571" spans="1:10" x14ac:dyDescent="0.45">
      <c r="A571" s="2">
        <v>44461</v>
      </c>
      <c r="B571">
        <v>9</v>
      </c>
      <c r="C571">
        <v>2021</v>
      </c>
      <c r="D571" t="s">
        <v>35</v>
      </c>
      <c r="E571">
        <v>3</v>
      </c>
      <c r="H571" s="2">
        <v>44705</v>
      </c>
      <c r="I571" t="s">
        <v>93</v>
      </c>
      <c r="J571">
        <v>4</v>
      </c>
    </row>
    <row r="572" spans="1:10" x14ac:dyDescent="0.45">
      <c r="A572" s="2">
        <v>44461</v>
      </c>
      <c r="B572">
        <v>9</v>
      </c>
      <c r="C572">
        <v>2021</v>
      </c>
      <c r="D572" t="s">
        <v>24</v>
      </c>
      <c r="E572">
        <v>5</v>
      </c>
      <c r="H572" s="2">
        <v>44706</v>
      </c>
      <c r="I572" t="s">
        <v>85</v>
      </c>
      <c r="J572">
        <v>3</v>
      </c>
    </row>
    <row r="573" spans="1:10" x14ac:dyDescent="0.45">
      <c r="A573" s="2">
        <v>44459</v>
      </c>
      <c r="B573">
        <v>9</v>
      </c>
      <c r="C573">
        <v>2021</v>
      </c>
      <c r="D573" t="s">
        <v>52</v>
      </c>
      <c r="E573">
        <v>2</v>
      </c>
      <c r="H573" s="2">
        <v>44706</v>
      </c>
      <c r="I573" t="s">
        <v>172</v>
      </c>
      <c r="J573">
        <v>3</v>
      </c>
    </row>
    <row r="574" spans="1:10" x14ac:dyDescent="0.45">
      <c r="A574" s="2">
        <v>44459</v>
      </c>
      <c r="B574">
        <v>9</v>
      </c>
      <c r="C574">
        <v>2021</v>
      </c>
      <c r="D574" t="s">
        <v>24</v>
      </c>
      <c r="E574">
        <v>4</v>
      </c>
      <c r="H574" s="2">
        <v>44710</v>
      </c>
      <c r="I574" t="s">
        <v>73</v>
      </c>
      <c r="J574">
        <v>4</v>
      </c>
    </row>
    <row r="575" spans="1:10" x14ac:dyDescent="0.45">
      <c r="A575" s="2">
        <v>44458</v>
      </c>
      <c r="B575">
        <v>9</v>
      </c>
      <c r="C575">
        <v>2021</v>
      </c>
      <c r="D575" t="s">
        <v>85</v>
      </c>
      <c r="E575">
        <v>2</v>
      </c>
      <c r="H575" s="2">
        <v>44713</v>
      </c>
      <c r="I575" t="s">
        <v>93</v>
      </c>
      <c r="J575">
        <v>5</v>
      </c>
    </row>
    <row r="576" spans="1:10" x14ac:dyDescent="0.45">
      <c r="A576" s="2">
        <v>44458</v>
      </c>
      <c r="B576">
        <v>9</v>
      </c>
      <c r="C576">
        <v>2021</v>
      </c>
      <c r="D576" t="s">
        <v>73</v>
      </c>
      <c r="E576">
        <v>4</v>
      </c>
      <c r="H576" s="2">
        <v>44715</v>
      </c>
      <c r="I576" t="s">
        <v>73</v>
      </c>
      <c r="J576">
        <v>2</v>
      </c>
    </row>
    <row r="577" spans="1:10" x14ac:dyDescent="0.45">
      <c r="A577" s="2">
        <v>44456</v>
      </c>
      <c r="B577">
        <v>9</v>
      </c>
      <c r="C577">
        <v>2021</v>
      </c>
      <c r="D577" t="s">
        <v>63</v>
      </c>
      <c r="E577">
        <v>4</v>
      </c>
      <c r="H577" s="2">
        <v>44716</v>
      </c>
      <c r="I577" t="s">
        <v>63</v>
      </c>
      <c r="J577">
        <v>1</v>
      </c>
    </row>
    <row r="578" spans="1:10" x14ac:dyDescent="0.45">
      <c r="A578" s="2">
        <v>44455</v>
      </c>
      <c r="B578">
        <v>9</v>
      </c>
      <c r="C578">
        <v>2021</v>
      </c>
      <c r="D578" t="s">
        <v>172</v>
      </c>
      <c r="E578">
        <v>5</v>
      </c>
      <c r="H578" s="2">
        <v>44719</v>
      </c>
      <c r="I578" t="s">
        <v>129</v>
      </c>
      <c r="J578">
        <v>2</v>
      </c>
    </row>
    <row r="579" spans="1:10" x14ac:dyDescent="0.45">
      <c r="A579" s="2">
        <v>44453</v>
      </c>
      <c r="B579">
        <v>9</v>
      </c>
      <c r="C579">
        <v>2021</v>
      </c>
      <c r="D579" t="s">
        <v>129</v>
      </c>
      <c r="E579">
        <v>1</v>
      </c>
      <c r="H579" s="2">
        <v>44719</v>
      </c>
      <c r="I579" t="s">
        <v>35</v>
      </c>
      <c r="J579">
        <v>4</v>
      </c>
    </row>
    <row r="580" spans="1:10" x14ac:dyDescent="0.45">
      <c r="A580" s="2">
        <v>44451</v>
      </c>
      <c r="B580">
        <v>9</v>
      </c>
      <c r="C580">
        <v>2021</v>
      </c>
      <c r="D580" t="s">
        <v>52</v>
      </c>
      <c r="E580">
        <v>3</v>
      </c>
      <c r="H580" s="2">
        <v>44720</v>
      </c>
      <c r="I580" t="s">
        <v>63</v>
      </c>
      <c r="J580">
        <v>5</v>
      </c>
    </row>
    <row r="581" spans="1:10" x14ac:dyDescent="0.45">
      <c r="A581" s="2">
        <v>44451</v>
      </c>
      <c r="B581">
        <v>9</v>
      </c>
      <c r="C581">
        <v>2021</v>
      </c>
      <c r="D581" t="s">
        <v>73</v>
      </c>
      <c r="E581">
        <v>3</v>
      </c>
      <c r="H581" s="2">
        <v>44721</v>
      </c>
      <c r="I581" t="s">
        <v>35</v>
      </c>
      <c r="J581">
        <v>3</v>
      </c>
    </row>
    <row r="582" spans="1:10" x14ac:dyDescent="0.45">
      <c r="A582" s="2">
        <v>44450</v>
      </c>
      <c r="B582">
        <v>9</v>
      </c>
      <c r="C582">
        <v>2021</v>
      </c>
      <c r="D582" t="s">
        <v>85</v>
      </c>
      <c r="E582">
        <v>5</v>
      </c>
      <c r="H582" s="2">
        <v>44724</v>
      </c>
      <c r="I582" t="s">
        <v>73</v>
      </c>
      <c r="J582">
        <v>1</v>
      </c>
    </row>
    <row r="583" spans="1:10" x14ac:dyDescent="0.45">
      <c r="A583" s="2">
        <v>44450</v>
      </c>
      <c r="B583">
        <v>9</v>
      </c>
      <c r="C583">
        <v>2021</v>
      </c>
      <c r="D583" t="s">
        <v>63</v>
      </c>
      <c r="E583">
        <v>2</v>
      </c>
      <c r="H583" s="2">
        <v>44725</v>
      </c>
      <c r="I583" t="s">
        <v>52</v>
      </c>
      <c r="J583">
        <v>5</v>
      </c>
    </row>
    <row r="584" spans="1:10" x14ac:dyDescent="0.45">
      <c r="A584" s="2">
        <v>44448</v>
      </c>
      <c r="B584">
        <v>9</v>
      </c>
      <c r="C584">
        <v>2021</v>
      </c>
      <c r="D584" t="s">
        <v>73</v>
      </c>
      <c r="E584">
        <v>5</v>
      </c>
      <c r="H584" s="2">
        <v>44725</v>
      </c>
      <c r="I584" t="s">
        <v>24</v>
      </c>
      <c r="J584">
        <v>4</v>
      </c>
    </row>
    <row r="585" spans="1:10" x14ac:dyDescent="0.45">
      <c r="A585" s="2">
        <v>44447</v>
      </c>
      <c r="B585">
        <v>9</v>
      </c>
      <c r="C585">
        <v>2021</v>
      </c>
      <c r="D585" t="s">
        <v>35</v>
      </c>
      <c r="E585">
        <v>1</v>
      </c>
      <c r="H585" s="2">
        <v>44728</v>
      </c>
      <c r="I585" t="s">
        <v>85</v>
      </c>
      <c r="J585">
        <v>5</v>
      </c>
    </row>
    <row r="586" spans="1:10" x14ac:dyDescent="0.45">
      <c r="A586" s="2">
        <v>44447</v>
      </c>
      <c r="B586">
        <v>9</v>
      </c>
      <c r="C586">
        <v>2021</v>
      </c>
      <c r="D586" t="s">
        <v>172</v>
      </c>
      <c r="E586">
        <v>1</v>
      </c>
      <c r="H586" s="2">
        <v>44729</v>
      </c>
      <c r="I586" t="s">
        <v>52</v>
      </c>
      <c r="J586">
        <v>2</v>
      </c>
    </row>
    <row r="587" spans="1:10" x14ac:dyDescent="0.45">
      <c r="A587" s="2">
        <v>44447</v>
      </c>
      <c r="B587">
        <v>9</v>
      </c>
      <c r="C587">
        <v>2021</v>
      </c>
      <c r="D587" t="s">
        <v>24</v>
      </c>
      <c r="E587">
        <v>1</v>
      </c>
      <c r="H587" s="2">
        <v>44731</v>
      </c>
      <c r="I587" t="s">
        <v>52</v>
      </c>
      <c r="J587">
        <v>1</v>
      </c>
    </row>
    <row r="588" spans="1:10" x14ac:dyDescent="0.45">
      <c r="A588" s="2">
        <v>44446</v>
      </c>
      <c r="B588">
        <v>9</v>
      </c>
      <c r="C588">
        <v>2021</v>
      </c>
      <c r="D588" t="s">
        <v>129</v>
      </c>
      <c r="E588">
        <v>4</v>
      </c>
      <c r="H588" s="2">
        <v>44731</v>
      </c>
      <c r="I588" t="s">
        <v>24</v>
      </c>
      <c r="J588">
        <v>2</v>
      </c>
    </row>
    <row r="589" spans="1:10" x14ac:dyDescent="0.45">
      <c r="A589" s="2">
        <v>44446</v>
      </c>
      <c r="B589">
        <v>9</v>
      </c>
      <c r="C589">
        <v>2021</v>
      </c>
      <c r="D589" t="s">
        <v>93</v>
      </c>
      <c r="E589">
        <v>5</v>
      </c>
      <c r="H589" s="2">
        <v>44732</v>
      </c>
      <c r="I589" t="s">
        <v>52</v>
      </c>
      <c r="J589">
        <v>4</v>
      </c>
    </row>
    <row r="590" spans="1:10" x14ac:dyDescent="0.45">
      <c r="A590" s="2">
        <v>44445</v>
      </c>
      <c r="B590">
        <v>9</v>
      </c>
      <c r="C590">
        <v>2021</v>
      </c>
      <c r="D590" t="s">
        <v>24</v>
      </c>
      <c r="E590">
        <v>2</v>
      </c>
      <c r="H590" s="2">
        <v>44735</v>
      </c>
      <c r="I590" t="s">
        <v>35</v>
      </c>
      <c r="J590">
        <v>5</v>
      </c>
    </row>
    <row r="591" spans="1:10" x14ac:dyDescent="0.45">
      <c r="A591" s="2">
        <v>44445</v>
      </c>
      <c r="B591">
        <v>9</v>
      </c>
      <c r="C591">
        <v>2021</v>
      </c>
      <c r="D591" t="s">
        <v>129</v>
      </c>
      <c r="E591">
        <v>3</v>
      </c>
      <c r="H591" s="2">
        <v>44736</v>
      </c>
      <c r="I591" t="s">
        <v>24</v>
      </c>
      <c r="J591">
        <v>1</v>
      </c>
    </row>
    <row r="592" spans="1:10" x14ac:dyDescent="0.45">
      <c r="A592" s="2">
        <v>44444</v>
      </c>
      <c r="B592">
        <v>9</v>
      </c>
      <c r="C592">
        <v>2021</v>
      </c>
      <c r="D592" t="s">
        <v>172</v>
      </c>
      <c r="E592">
        <v>1</v>
      </c>
      <c r="H592" s="2">
        <v>44736</v>
      </c>
      <c r="I592" t="s">
        <v>172</v>
      </c>
      <c r="J592">
        <v>3</v>
      </c>
    </row>
    <row r="593" spans="1:10" x14ac:dyDescent="0.45">
      <c r="A593" s="2">
        <v>44444</v>
      </c>
      <c r="B593">
        <v>9</v>
      </c>
      <c r="C593">
        <v>2021</v>
      </c>
      <c r="D593" t="s">
        <v>85</v>
      </c>
      <c r="E593">
        <v>1</v>
      </c>
      <c r="H593" s="2">
        <v>44739</v>
      </c>
      <c r="I593" t="s">
        <v>52</v>
      </c>
      <c r="J593">
        <v>1</v>
      </c>
    </row>
    <row r="594" spans="1:10" x14ac:dyDescent="0.45">
      <c r="A594" s="2">
        <v>44443</v>
      </c>
      <c r="B594">
        <v>9</v>
      </c>
      <c r="C594">
        <v>2021</v>
      </c>
      <c r="D594" t="s">
        <v>85</v>
      </c>
      <c r="E594">
        <v>4</v>
      </c>
      <c r="H594" s="2">
        <v>44740</v>
      </c>
      <c r="I594" t="s">
        <v>73</v>
      </c>
      <c r="J594">
        <v>2</v>
      </c>
    </row>
    <row r="595" spans="1:10" x14ac:dyDescent="0.45">
      <c r="A595" s="2">
        <v>44443</v>
      </c>
      <c r="B595">
        <v>9</v>
      </c>
      <c r="C595">
        <v>2021</v>
      </c>
      <c r="D595" t="s">
        <v>63</v>
      </c>
      <c r="E595">
        <v>5</v>
      </c>
      <c r="H595" s="2">
        <v>44740</v>
      </c>
      <c r="I595" t="s">
        <v>35</v>
      </c>
      <c r="J595">
        <v>3</v>
      </c>
    </row>
    <row r="596" spans="1:10" x14ac:dyDescent="0.45">
      <c r="A596" s="2">
        <v>44442</v>
      </c>
      <c r="B596">
        <v>9</v>
      </c>
      <c r="C596">
        <v>2021</v>
      </c>
      <c r="D596" t="s">
        <v>172</v>
      </c>
      <c r="E596">
        <v>3</v>
      </c>
      <c r="H596" s="2">
        <v>44742</v>
      </c>
      <c r="I596" t="s">
        <v>129</v>
      </c>
      <c r="J596">
        <v>4</v>
      </c>
    </row>
    <row r="597" spans="1:10" x14ac:dyDescent="0.45">
      <c r="A597" s="2">
        <v>44441</v>
      </c>
      <c r="B597">
        <v>9</v>
      </c>
      <c r="C597">
        <v>2021</v>
      </c>
      <c r="D597" t="s">
        <v>93</v>
      </c>
      <c r="E597">
        <v>5</v>
      </c>
      <c r="H597" s="2">
        <v>44744</v>
      </c>
      <c r="I597" t="s">
        <v>73</v>
      </c>
      <c r="J597">
        <v>3</v>
      </c>
    </row>
    <row r="598" spans="1:10" x14ac:dyDescent="0.45">
      <c r="A598" s="2">
        <v>44439</v>
      </c>
      <c r="B598">
        <v>8</v>
      </c>
      <c r="C598">
        <v>2021</v>
      </c>
      <c r="D598" t="s">
        <v>129</v>
      </c>
      <c r="E598">
        <v>1</v>
      </c>
      <c r="H598" s="2">
        <v>44744</v>
      </c>
      <c r="I598" t="s">
        <v>63</v>
      </c>
      <c r="J598">
        <v>2</v>
      </c>
    </row>
    <row r="599" spans="1:10" x14ac:dyDescent="0.45">
      <c r="A599" s="2">
        <v>44439</v>
      </c>
      <c r="B599">
        <v>8</v>
      </c>
      <c r="C599">
        <v>2021</v>
      </c>
      <c r="D599" t="s">
        <v>73</v>
      </c>
      <c r="E599">
        <v>5</v>
      </c>
      <c r="H599" s="2">
        <v>44746</v>
      </c>
      <c r="I599" t="s">
        <v>93</v>
      </c>
      <c r="J599">
        <v>3</v>
      </c>
    </row>
    <row r="600" spans="1:10" x14ac:dyDescent="0.45">
      <c r="A600" s="2">
        <v>44439</v>
      </c>
      <c r="B600">
        <v>8</v>
      </c>
      <c r="C600">
        <v>2021</v>
      </c>
      <c r="D600" t="s">
        <v>63</v>
      </c>
      <c r="E600">
        <v>4</v>
      </c>
      <c r="H600" s="2">
        <v>44748</v>
      </c>
      <c r="I600" t="s">
        <v>73</v>
      </c>
      <c r="J600">
        <v>2</v>
      </c>
    </row>
    <row r="601" spans="1:10" x14ac:dyDescent="0.45">
      <c r="A601" s="2">
        <v>44439</v>
      </c>
      <c r="B601">
        <v>8</v>
      </c>
      <c r="C601">
        <v>2021</v>
      </c>
      <c r="D601" t="s">
        <v>93</v>
      </c>
      <c r="E601">
        <v>1</v>
      </c>
      <c r="H601" s="2">
        <v>44749</v>
      </c>
      <c r="I601" t="s">
        <v>129</v>
      </c>
      <c r="J601">
        <v>5</v>
      </c>
    </row>
    <row r="602" spans="1:10" x14ac:dyDescent="0.45">
      <c r="A602" s="2">
        <v>44437</v>
      </c>
      <c r="B602">
        <v>8</v>
      </c>
      <c r="C602">
        <v>2021</v>
      </c>
      <c r="D602" t="s">
        <v>129</v>
      </c>
      <c r="E602">
        <v>1</v>
      </c>
      <c r="H602" s="2">
        <v>44751</v>
      </c>
      <c r="I602" t="s">
        <v>85</v>
      </c>
      <c r="J602">
        <v>2</v>
      </c>
    </row>
    <row r="603" spans="1:10" x14ac:dyDescent="0.45">
      <c r="A603" s="2">
        <v>44433</v>
      </c>
      <c r="B603">
        <v>8</v>
      </c>
      <c r="C603">
        <v>2021</v>
      </c>
      <c r="D603" t="s">
        <v>85</v>
      </c>
      <c r="E603">
        <v>3</v>
      </c>
      <c r="H603" s="2">
        <v>44753</v>
      </c>
      <c r="I603" t="s">
        <v>85</v>
      </c>
      <c r="J603">
        <v>4</v>
      </c>
    </row>
    <row r="604" spans="1:10" x14ac:dyDescent="0.45">
      <c r="A604" s="2">
        <v>44432</v>
      </c>
      <c r="B604">
        <v>8</v>
      </c>
      <c r="C604">
        <v>2021</v>
      </c>
      <c r="D604" t="s">
        <v>73</v>
      </c>
      <c r="E604">
        <v>2</v>
      </c>
      <c r="H604" s="2">
        <v>44753</v>
      </c>
      <c r="I604" t="s">
        <v>52</v>
      </c>
      <c r="J604">
        <v>4</v>
      </c>
    </row>
    <row r="605" spans="1:10" x14ac:dyDescent="0.45">
      <c r="A605" s="2">
        <v>44432</v>
      </c>
      <c r="B605">
        <v>8</v>
      </c>
      <c r="C605">
        <v>2021</v>
      </c>
      <c r="D605" t="s">
        <v>24</v>
      </c>
      <c r="E605">
        <v>3</v>
      </c>
      <c r="H605" s="2">
        <v>44754</v>
      </c>
      <c r="I605" t="s">
        <v>35</v>
      </c>
      <c r="J605">
        <v>7</v>
      </c>
    </row>
    <row r="606" spans="1:10" x14ac:dyDescent="0.45">
      <c r="A606" s="2">
        <v>44432</v>
      </c>
      <c r="B606">
        <v>8</v>
      </c>
      <c r="C606">
        <v>2021</v>
      </c>
      <c r="D606" t="s">
        <v>73</v>
      </c>
      <c r="E606">
        <v>5</v>
      </c>
      <c r="H606" s="2">
        <v>44754</v>
      </c>
      <c r="I606" t="s">
        <v>24</v>
      </c>
      <c r="J606">
        <v>2</v>
      </c>
    </row>
    <row r="607" spans="1:10" x14ac:dyDescent="0.45">
      <c r="A607" s="2">
        <v>44429</v>
      </c>
      <c r="B607">
        <v>8</v>
      </c>
      <c r="C607">
        <v>2021</v>
      </c>
      <c r="D607" t="s">
        <v>24</v>
      </c>
      <c r="E607">
        <v>4</v>
      </c>
      <c r="H607" s="2">
        <v>44755</v>
      </c>
      <c r="I607" t="s">
        <v>52</v>
      </c>
      <c r="J607">
        <v>2</v>
      </c>
    </row>
    <row r="608" spans="1:10" x14ac:dyDescent="0.45">
      <c r="A608" s="2">
        <v>44428</v>
      </c>
      <c r="B608">
        <v>8</v>
      </c>
      <c r="C608">
        <v>2021</v>
      </c>
      <c r="D608" t="s">
        <v>73</v>
      </c>
      <c r="E608">
        <v>5</v>
      </c>
      <c r="H608" s="2">
        <v>44757</v>
      </c>
      <c r="I608" t="s">
        <v>93</v>
      </c>
      <c r="J608">
        <v>4</v>
      </c>
    </row>
    <row r="609" spans="1:10" x14ac:dyDescent="0.45">
      <c r="A609" s="2">
        <v>44427</v>
      </c>
      <c r="B609">
        <v>8</v>
      </c>
      <c r="C609">
        <v>2021</v>
      </c>
      <c r="D609" t="s">
        <v>52</v>
      </c>
      <c r="E609">
        <v>4</v>
      </c>
      <c r="H609" s="2">
        <v>44761</v>
      </c>
      <c r="I609" t="s">
        <v>172</v>
      </c>
      <c r="J609">
        <v>5</v>
      </c>
    </row>
    <row r="610" spans="1:10" x14ac:dyDescent="0.45">
      <c r="A610" s="2">
        <v>44426</v>
      </c>
      <c r="B610">
        <v>8</v>
      </c>
      <c r="C610">
        <v>2021</v>
      </c>
      <c r="D610" t="s">
        <v>172</v>
      </c>
      <c r="E610">
        <v>5</v>
      </c>
      <c r="H610" s="2">
        <v>44765</v>
      </c>
      <c r="I610" t="s">
        <v>85</v>
      </c>
      <c r="J610">
        <v>4</v>
      </c>
    </row>
    <row r="611" spans="1:10" x14ac:dyDescent="0.45">
      <c r="A611" s="2">
        <v>44422</v>
      </c>
      <c r="B611">
        <v>8</v>
      </c>
      <c r="C611">
        <v>2021</v>
      </c>
      <c r="D611" t="s">
        <v>35</v>
      </c>
      <c r="E611">
        <v>4</v>
      </c>
      <c r="H611" s="2">
        <v>44766</v>
      </c>
      <c r="I611" t="s">
        <v>93</v>
      </c>
      <c r="J611">
        <v>5</v>
      </c>
    </row>
    <row r="612" spans="1:10" x14ac:dyDescent="0.45">
      <c r="A612" s="2">
        <v>44422</v>
      </c>
      <c r="B612">
        <v>8</v>
      </c>
      <c r="C612">
        <v>2021</v>
      </c>
      <c r="D612" t="s">
        <v>93</v>
      </c>
      <c r="E612">
        <v>5</v>
      </c>
      <c r="H612" s="2">
        <v>44769</v>
      </c>
      <c r="I612" t="s">
        <v>73</v>
      </c>
      <c r="J612">
        <v>7</v>
      </c>
    </row>
    <row r="613" spans="1:10" x14ac:dyDescent="0.45">
      <c r="A613" s="2">
        <v>44422</v>
      </c>
      <c r="B613">
        <v>8</v>
      </c>
      <c r="C613">
        <v>2021</v>
      </c>
      <c r="D613" t="s">
        <v>52</v>
      </c>
      <c r="E613">
        <v>3</v>
      </c>
      <c r="H613" s="2">
        <v>44771</v>
      </c>
      <c r="I613" t="s">
        <v>52</v>
      </c>
      <c r="J613">
        <v>5</v>
      </c>
    </row>
    <row r="614" spans="1:10" x14ac:dyDescent="0.45">
      <c r="A614" s="2">
        <v>44421</v>
      </c>
      <c r="B614">
        <v>8</v>
      </c>
      <c r="C614">
        <v>2021</v>
      </c>
      <c r="D614" t="s">
        <v>63</v>
      </c>
      <c r="E614">
        <v>1</v>
      </c>
      <c r="H614" s="2">
        <v>44773</v>
      </c>
      <c r="I614" t="s">
        <v>85</v>
      </c>
      <c r="J614">
        <v>4</v>
      </c>
    </row>
    <row r="615" spans="1:10" x14ac:dyDescent="0.45">
      <c r="A615" s="2">
        <v>44416</v>
      </c>
      <c r="B615">
        <v>8</v>
      </c>
      <c r="C615">
        <v>2021</v>
      </c>
      <c r="D615" t="s">
        <v>52</v>
      </c>
      <c r="E615">
        <v>1</v>
      </c>
      <c r="H615" s="2">
        <v>44775</v>
      </c>
      <c r="I615" t="s">
        <v>73</v>
      </c>
      <c r="J615">
        <v>1</v>
      </c>
    </row>
    <row r="616" spans="1:10" x14ac:dyDescent="0.45">
      <c r="A616" s="2">
        <v>44416</v>
      </c>
      <c r="B616">
        <v>8</v>
      </c>
      <c r="C616">
        <v>2021</v>
      </c>
      <c r="D616" t="s">
        <v>52</v>
      </c>
      <c r="E616">
        <v>3</v>
      </c>
      <c r="H616" s="2">
        <v>44776</v>
      </c>
      <c r="I616" t="s">
        <v>63</v>
      </c>
      <c r="J616">
        <v>4</v>
      </c>
    </row>
    <row r="617" spans="1:10" x14ac:dyDescent="0.45">
      <c r="A617" s="2">
        <v>44414</v>
      </c>
      <c r="B617">
        <v>8</v>
      </c>
      <c r="C617">
        <v>2021</v>
      </c>
      <c r="D617" t="s">
        <v>73</v>
      </c>
      <c r="E617">
        <v>4</v>
      </c>
      <c r="H617" s="2">
        <v>44777</v>
      </c>
      <c r="I617" t="s">
        <v>73</v>
      </c>
      <c r="J617">
        <v>4</v>
      </c>
    </row>
    <row r="618" spans="1:10" x14ac:dyDescent="0.45">
      <c r="A618" s="2">
        <v>44414</v>
      </c>
      <c r="B618">
        <v>8</v>
      </c>
      <c r="C618">
        <v>2021</v>
      </c>
      <c r="D618" t="s">
        <v>63</v>
      </c>
      <c r="E618">
        <v>4</v>
      </c>
      <c r="H618" s="2">
        <v>44777</v>
      </c>
      <c r="I618" t="s">
        <v>63</v>
      </c>
      <c r="J618">
        <v>4</v>
      </c>
    </row>
    <row r="619" spans="1:10" x14ac:dyDescent="0.45">
      <c r="A619" s="2">
        <v>44413</v>
      </c>
      <c r="B619">
        <v>8</v>
      </c>
      <c r="C619">
        <v>2021</v>
      </c>
      <c r="D619" t="s">
        <v>172</v>
      </c>
      <c r="E619">
        <v>4</v>
      </c>
      <c r="H619" s="2">
        <v>44779</v>
      </c>
      <c r="I619" t="s">
        <v>24</v>
      </c>
      <c r="J619">
        <v>5</v>
      </c>
    </row>
    <row r="620" spans="1:10" x14ac:dyDescent="0.45">
      <c r="A620" s="2">
        <v>44412</v>
      </c>
      <c r="B620">
        <v>8</v>
      </c>
      <c r="C620">
        <v>2021</v>
      </c>
      <c r="D620" t="s">
        <v>73</v>
      </c>
      <c r="E620">
        <v>1</v>
      </c>
      <c r="H620" s="2">
        <v>44781</v>
      </c>
      <c r="I620" t="s">
        <v>129</v>
      </c>
      <c r="J620">
        <v>3</v>
      </c>
    </row>
    <row r="621" spans="1:10" x14ac:dyDescent="0.45">
      <c r="A621" s="2">
        <v>44411</v>
      </c>
      <c r="B621">
        <v>8</v>
      </c>
      <c r="C621">
        <v>2021</v>
      </c>
      <c r="D621" t="s">
        <v>172</v>
      </c>
      <c r="E621">
        <v>4</v>
      </c>
      <c r="H621" s="2">
        <v>44782</v>
      </c>
      <c r="I621" t="s">
        <v>52</v>
      </c>
      <c r="J621">
        <v>3</v>
      </c>
    </row>
    <row r="622" spans="1:10" x14ac:dyDescent="0.45">
      <c r="A622" s="2">
        <v>44410</v>
      </c>
      <c r="B622">
        <v>8</v>
      </c>
      <c r="C622">
        <v>2021</v>
      </c>
      <c r="D622" t="s">
        <v>52</v>
      </c>
      <c r="E622">
        <v>3</v>
      </c>
      <c r="H622" s="2">
        <v>44783</v>
      </c>
      <c r="I622" t="s">
        <v>85</v>
      </c>
      <c r="J622">
        <v>1</v>
      </c>
    </row>
    <row r="623" spans="1:10" x14ac:dyDescent="0.45">
      <c r="A623" s="2">
        <v>44404</v>
      </c>
      <c r="B623">
        <v>7</v>
      </c>
      <c r="C623">
        <v>2021</v>
      </c>
      <c r="D623" t="s">
        <v>93</v>
      </c>
      <c r="E623">
        <v>3</v>
      </c>
      <c r="H623" s="2">
        <v>44783</v>
      </c>
      <c r="I623" t="s">
        <v>52</v>
      </c>
      <c r="J623">
        <v>5</v>
      </c>
    </row>
    <row r="624" spans="1:10" x14ac:dyDescent="0.45">
      <c r="A624" s="2">
        <v>44403</v>
      </c>
      <c r="B624">
        <v>7</v>
      </c>
      <c r="C624">
        <v>2021</v>
      </c>
      <c r="D624" t="s">
        <v>35</v>
      </c>
      <c r="E624">
        <v>3</v>
      </c>
      <c r="H624" s="2">
        <v>44784</v>
      </c>
      <c r="I624" t="s">
        <v>129</v>
      </c>
      <c r="J624">
        <v>1</v>
      </c>
    </row>
    <row r="625" spans="1:10" x14ac:dyDescent="0.45">
      <c r="A625" s="2">
        <v>44400</v>
      </c>
      <c r="B625">
        <v>7</v>
      </c>
      <c r="C625">
        <v>2021</v>
      </c>
      <c r="D625" t="s">
        <v>73</v>
      </c>
      <c r="E625">
        <v>5</v>
      </c>
      <c r="H625" s="2">
        <v>44786</v>
      </c>
      <c r="I625" t="s">
        <v>73</v>
      </c>
      <c r="J625">
        <v>1</v>
      </c>
    </row>
    <row r="626" spans="1:10" x14ac:dyDescent="0.45">
      <c r="A626" s="2">
        <v>44399</v>
      </c>
      <c r="B626">
        <v>7</v>
      </c>
      <c r="C626">
        <v>2021</v>
      </c>
      <c r="D626" t="s">
        <v>73</v>
      </c>
      <c r="E626">
        <v>4</v>
      </c>
      <c r="H626" s="2">
        <v>44787</v>
      </c>
      <c r="I626" t="s">
        <v>73</v>
      </c>
      <c r="J626">
        <v>4</v>
      </c>
    </row>
    <row r="627" spans="1:10" x14ac:dyDescent="0.45">
      <c r="A627" s="2">
        <v>44398</v>
      </c>
      <c r="B627">
        <v>7</v>
      </c>
      <c r="C627">
        <v>2021</v>
      </c>
      <c r="D627" t="s">
        <v>63</v>
      </c>
      <c r="E627">
        <v>5</v>
      </c>
      <c r="H627" s="2">
        <v>44787</v>
      </c>
      <c r="I627" t="s">
        <v>85</v>
      </c>
      <c r="J627">
        <v>4</v>
      </c>
    </row>
    <row r="628" spans="1:10" x14ac:dyDescent="0.45">
      <c r="A628" s="2">
        <v>44395</v>
      </c>
      <c r="B628">
        <v>7</v>
      </c>
      <c r="C628">
        <v>2021</v>
      </c>
      <c r="D628" t="s">
        <v>52</v>
      </c>
      <c r="E628">
        <v>1</v>
      </c>
      <c r="H628" s="2">
        <v>44787</v>
      </c>
      <c r="I628" t="s">
        <v>172</v>
      </c>
      <c r="J628">
        <v>4</v>
      </c>
    </row>
    <row r="629" spans="1:10" x14ac:dyDescent="0.45">
      <c r="A629" s="2">
        <v>44390</v>
      </c>
      <c r="B629">
        <v>7</v>
      </c>
      <c r="C629">
        <v>2021</v>
      </c>
      <c r="D629" t="s">
        <v>24</v>
      </c>
      <c r="E629">
        <v>3</v>
      </c>
      <c r="H629" s="2">
        <v>44792</v>
      </c>
      <c r="I629" t="s">
        <v>172</v>
      </c>
      <c r="J629">
        <v>4</v>
      </c>
    </row>
    <row r="630" spans="1:10" x14ac:dyDescent="0.45">
      <c r="A630" s="2">
        <v>44386</v>
      </c>
      <c r="B630">
        <v>7</v>
      </c>
      <c r="C630">
        <v>2021</v>
      </c>
      <c r="D630" t="s">
        <v>85</v>
      </c>
      <c r="E630">
        <v>2</v>
      </c>
      <c r="H630" s="2">
        <v>44793</v>
      </c>
      <c r="I630" t="s">
        <v>52</v>
      </c>
      <c r="J630">
        <v>5</v>
      </c>
    </row>
    <row r="631" spans="1:10" x14ac:dyDescent="0.45">
      <c r="A631" s="2">
        <v>44386</v>
      </c>
      <c r="B631">
        <v>7</v>
      </c>
      <c r="C631">
        <v>2021</v>
      </c>
      <c r="D631" t="s">
        <v>35</v>
      </c>
      <c r="E631">
        <v>4</v>
      </c>
      <c r="H631" s="2">
        <v>44794</v>
      </c>
      <c r="I631" t="s">
        <v>172</v>
      </c>
      <c r="J631">
        <v>4</v>
      </c>
    </row>
    <row r="632" spans="1:10" x14ac:dyDescent="0.45">
      <c r="A632" s="2">
        <v>44385</v>
      </c>
      <c r="B632">
        <v>7</v>
      </c>
      <c r="C632">
        <v>2021</v>
      </c>
      <c r="D632" t="s">
        <v>93</v>
      </c>
      <c r="E632">
        <v>3</v>
      </c>
      <c r="H632" s="2">
        <v>44795</v>
      </c>
      <c r="I632" t="s">
        <v>35</v>
      </c>
      <c r="J632">
        <v>3</v>
      </c>
    </row>
    <row r="633" spans="1:10" x14ac:dyDescent="0.45">
      <c r="A633" s="2">
        <v>44384</v>
      </c>
      <c r="B633">
        <v>7</v>
      </c>
      <c r="C633">
        <v>2021</v>
      </c>
      <c r="D633" t="s">
        <v>52</v>
      </c>
      <c r="E633">
        <v>5</v>
      </c>
      <c r="H633" s="2">
        <v>44802</v>
      </c>
      <c r="I633" t="s">
        <v>73</v>
      </c>
      <c r="J633">
        <v>4</v>
      </c>
    </row>
    <row r="634" spans="1:10" x14ac:dyDescent="0.45">
      <c r="A634" s="2">
        <v>44384</v>
      </c>
      <c r="B634">
        <v>7</v>
      </c>
      <c r="C634">
        <v>2021</v>
      </c>
      <c r="D634" t="s">
        <v>172</v>
      </c>
      <c r="E634">
        <v>3</v>
      </c>
      <c r="H634" s="2">
        <v>44805</v>
      </c>
      <c r="I634" t="s">
        <v>85</v>
      </c>
      <c r="J634">
        <v>3</v>
      </c>
    </row>
    <row r="635" spans="1:10" x14ac:dyDescent="0.45">
      <c r="A635" s="2">
        <v>44383</v>
      </c>
      <c r="B635">
        <v>7</v>
      </c>
      <c r="C635">
        <v>2021</v>
      </c>
      <c r="D635" t="s">
        <v>172</v>
      </c>
      <c r="E635">
        <v>5</v>
      </c>
      <c r="H635" s="2">
        <v>44807</v>
      </c>
      <c r="I635" t="s">
        <v>73</v>
      </c>
      <c r="J635">
        <v>2</v>
      </c>
    </row>
    <row r="636" spans="1:10" x14ac:dyDescent="0.45">
      <c r="A636" s="2">
        <v>44382</v>
      </c>
      <c r="B636">
        <v>7</v>
      </c>
      <c r="C636">
        <v>2021</v>
      </c>
      <c r="D636" t="s">
        <v>85</v>
      </c>
      <c r="E636">
        <v>4</v>
      </c>
      <c r="H636" s="2">
        <v>44808</v>
      </c>
      <c r="I636" t="s">
        <v>63</v>
      </c>
      <c r="J636">
        <v>3</v>
      </c>
    </row>
    <row r="637" spans="1:10" x14ac:dyDescent="0.45">
      <c r="A637" s="2">
        <v>44382</v>
      </c>
      <c r="B637">
        <v>7</v>
      </c>
      <c r="C637">
        <v>2021</v>
      </c>
      <c r="D637" t="s">
        <v>172</v>
      </c>
      <c r="E637">
        <v>1</v>
      </c>
      <c r="H637" s="2">
        <v>44809</v>
      </c>
      <c r="I637" t="s">
        <v>73</v>
      </c>
      <c r="J637">
        <v>3</v>
      </c>
    </row>
    <row r="638" spans="1:10" x14ac:dyDescent="0.45">
      <c r="A638" s="2">
        <v>44381</v>
      </c>
      <c r="B638">
        <v>7</v>
      </c>
      <c r="C638">
        <v>2021</v>
      </c>
      <c r="D638" t="s">
        <v>35</v>
      </c>
      <c r="E638">
        <v>5</v>
      </c>
      <c r="H638" s="2">
        <v>44810</v>
      </c>
      <c r="I638" t="s">
        <v>93</v>
      </c>
      <c r="J638">
        <v>2</v>
      </c>
    </row>
    <row r="639" spans="1:10" x14ac:dyDescent="0.45">
      <c r="A639" s="2">
        <v>44380</v>
      </c>
      <c r="B639">
        <v>7</v>
      </c>
      <c r="C639">
        <v>2021</v>
      </c>
      <c r="D639" t="s">
        <v>73</v>
      </c>
      <c r="E639">
        <v>3</v>
      </c>
      <c r="H639" s="2">
        <v>44810</v>
      </c>
      <c r="I639" t="s">
        <v>35</v>
      </c>
      <c r="J639">
        <v>3</v>
      </c>
    </row>
    <row r="640" spans="1:10" x14ac:dyDescent="0.45">
      <c r="A640" s="2">
        <v>44380</v>
      </c>
      <c r="B640">
        <v>7</v>
      </c>
      <c r="C640">
        <v>2021</v>
      </c>
      <c r="D640" t="s">
        <v>172</v>
      </c>
      <c r="E640">
        <v>3</v>
      </c>
      <c r="H640" s="2">
        <v>44810</v>
      </c>
      <c r="I640" t="s">
        <v>172</v>
      </c>
      <c r="J640">
        <v>2</v>
      </c>
    </row>
    <row r="641" spans="1:10" x14ac:dyDescent="0.45">
      <c r="A641" s="2">
        <v>44380</v>
      </c>
      <c r="B641">
        <v>7</v>
      </c>
      <c r="C641">
        <v>2021</v>
      </c>
      <c r="D641" t="s">
        <v>93</v>
      </c>
      <c r="E641">
        <v>2</v>
      </c>
      <c r="H641" s="2">
        <v>44811</v>
      </c>
      <c r="I641" t="s">
        <v>35</v>
      </c>
      <c r="J641">
        <v>4</v>
      </c>
    </row>
    <row r="642" spans="1:10" x14ac:dyDescent="0.45">
      <c r="A642" s="2">
        <v>44377</v>
      </c>
      <c r="B642">
        <v>6</v>
      </c>
      <c r="C642">
        <v>2021</v>
      </c>
      <c r="D642" t="s">
        <v>93</v>
      </c>
      <c r="E642">
        <v>4</v>
      </c>
      <c r="H642" s="2">
        <v>44812</v>
      </c>
      <c r="I642" t="s">
        <v>73</v>
      </c>
      <c r="J642">
        <v>5</v>
      </c>
    </row>
    <row r="643" spans="1:10" x14ac:dyDescent="0.45">
      <c r="A643" s="2">
        <v>44377</v>
      </c>
      <c r="B643">
        <v>6</v>
      </c>
      <c r="C643">
        <v>2021</v>
      </c>
      <c r="D643" t="s">
        <v>52</v>
      </c>
      <c r="E643">
        <v>4</v>
      </c>
      <c r="H643" s="2">
        <v>44814</v>
      </c>
      <c r="I643" t="s">
        <v>85</v>
      </c>
      <c r="J643">
        <v>2</v>
      </c>
    </row>
    <row r="644" spans="1:10" x14ac:dyDescent="0.45">
      <c r="A644" s="2">
        <v>44374</v>
      </c>
      <c r="B644">
        <v>6</v>
      </c>
      <c r="C644">
        <v>2021</v>
      </c>
      <c r="D644" t="s">
        <v>172</v>
      </c>
      <c r="E644">
        <v>5</v>
      </c>
      <c r="H644" s="2">
        <v>44815</v>
      </c>
      <c r="I644" t="s">
        <v>93</v>
      </c>
      <c r="J644">
        <v>1</v>
      </c>
    </row>
    <row r="645" spans="1:10" x14ac:dyDescent="0.45">
      <c r="A645" s="2">
        <v>44372</v>
      </c>
      <c r="B645">
        <v>6</v>
      </c>
      <c r="C645">
        <v>2021</v>
      </c>
      <c r="D645" t="s">
        <v>63</v>
      </c>
      <c r="E645">
        <v>5</v>
      </c>
      <c r="H645" s="2">
        <v>44817</v>
      </c>
      <c r="I645" t="s">
        <v>129</v>
      </c>
      <c r="J645">
        <v>2</v>
      </c>
    </row>
    <row r="646" spans="1:10" x14ac:dyDescent="0.45">
      <c r="A646" s="2">
        <v>44369</v>
      </c>
      <c r="B646">
        <v>6</v>
      </c>
      <c r="C646">
        <v>2021</v>
      </c>
      <c r="D646" t="s">
        <v>85</v>
      </c>
      <c r="E646">
        <v>3</v>
      </c>
      <c r="H646" s="2">
        <v>44818</v>
      </c>
      <c r="I646" t="s">
        <v>85</v>
      </c>
      <c r="J646">
        <v>5</v>
      </c>
    </row>
    <row r="647" spans="1:10" x14ac:dyDescent="0.45">
      <c r="A647" s="2">
        <v>44365</v>
      </c>
      <c r="B647">
        <v>6</v>
      </c>
      <c r="C647">
        <v>2021</v>
      </c>
      <c r="D647" t="s">
        <v>35</v>
      </c>
      <c r="E647">
        <v>5</v>
      </c>
      <c r="H647" s="2">
        <v>44820</v>
      </c>
      <c r="I647" t="s">
        <v>63</v>
      </c>
      <c r="J647">
        <v>4</v>
      </c>
    </row>
    <row r="648" spans="1:10" x14ac:dyDescent="0.45">
      <c r="A648" s="2">
        <v>44365</v>
      </c>
      <c r="B648">
        <v>6</v>
      </c>
      <c r="C648">
        <v>2021</v>
      </c>
      <c r="D648" t="s">
        <v>129</v>
      </c>
      <c r="E648">
        <v>1</v>
      </c>
      <c r="H648" s="2">
        <v>44821</v>
      </c>
      <c r="I648" t="s">
        <v>93</v>
      </c>
      <c r="J648">
        <v>2</v>
      </c>
    </row>
    <row r="649" spans="1:10" x14ac:dyDescent="0.45">
      <c r="A649" s="2">
        <v>44365</v>
      </c>
      <c r="B649">
        <v>6</v>
      </c>
      <c r="C649">
        <v>2021</v>
      </c>
      <c r="D649" t="s">
        <v>85</v>
      </c>
      <c r="E649">
        <v>2</v>
      </c>
      <c r="H649" s="2">
        <v>44823</v>
      </c>
      <c r="I649" t="s">
        <v>73</v>
      </c>
      <c r="J649">
        <v>4</v>
      </c>
    </row>
    <row r="650" spans="1:10" x14ac:dyDescent="0.45">
      <c r="A650" s="2">
        <v>44364</v>
      </c>
      <c r="B650">
        <v>6</v>
      </c>
      <c r="C650">
        <v>2021</v>
      </c>
      <c r="D650" t="s">
        <v>73</v>
      </c>
      <c r="E650">
        <v>2</v>
      </c>
      <c r="H650" s="2">
        <v>44823</v>
      </c>
      <c r="I650" t="s">
        <v>35</v>
      </c>
      <c r="J650">
        <v>4</v>
      </c>
    </row>
    <row r="651" spans="1:10" x14ac:dyDescent="0.45">
      <c r="A651" s="2">
        <v>44364</v>
      </c>
      <c r="B651">
        <v>6</v>
      </c>
      <c r="C651">
        <v>2021</v>
      </c>
      <c r="D651" t="s">
        <v>24</v>
      </c>
      <c r="E651">
        <v>4</v>
      </c>
      <c r="H651" s="2">
        <v>44823</v>
      </c>
      <c r="I651" t="s">
        <v>172</v>
      </c>
      <c r="J651">
        <v>3</v>
      </c>
    </row>
    <row r="652" spans="1:10" x14ac:dyDescent="0.45">
      <c r="A652" s="2">
        <v>44356</v>
      </c>
      <c r="B652">
        <v>6</v>
      </c>
      <c r="C652">
        <v>2021</v>
      </c>
      <c r="D652" t="s">
        <v>35</v>
      </c>
      <c r="E652">
        <v>4</v>
      </c>
      <c r="H652" s="2">
        <v>44824</v>
      </c>
      <c r="I652" t="s">
        <v>85</v>
      </c>
      <c r="J652">
        <v>1</v>
      </c>
    </row>
    <row r="653" spans="1:10" x14ac:dyDescent="0.45">
      <c r="A653" s="2">
        <v>44356</v>
      </c>
      <c r="B653">
        <v>6</v>
      </c>
      <c r="C653">
        <v>2021</v>
      </c>
      <c r="D653" t="s">
        <v>52</v>
      </c>
      <c r="E653">
        <v>3</v>
      </c>
      <c r="H653" s="2">
        <v>44824</v>
      </c>
      <c r="I653" t="s">
        <v>52</v>
      </c>
      <c r="J653">
        <v>2</v>
      </c>
    </row>
    <row r="654" spans="1:10" x14ac:dyDescent="0.45">
      <c r="A654" s="2">
        <v>44354</v>
      </c>
      <c r="B654">
        <v>6</v>
      </c>
      <c r="C654">
        <v>2021</v>
      </c>
      <c r="D654" t="s">
        <v>93</v>
      </c>
      <c r="E654">
        <v>3</v>
      </c>
      <c r="H654" s="2">
        <v>44832</v>
      </c>
      <c r="I654" t="s">
        <v>129</v>
      </c>
      <c r="J654">
        <v>5</v>
      </c>
    </row>
    <row r="655" spans="1:10" x14ac:dyDescent="0.45">
      <c r="A655" s="2">
        <v>44353</v>
      </c>
      <c r="B655">
        <v>6</v>
      </c>
      <c r="C655">
        <v>2021</v>
      </c>
      <c r="D655" t="s">
        <v>172</v>
      </c>
      <c r="E655">
        <v>2</v>
      </c>
      <c r="H655" s="2">
        <v>44837</v>
      </c>
      <c r="I655" t="s">
        <v>52</v>
      </c>
      <c r="J655">
        <v>3</v>
      </c>
    </row>
    <row r="656" spans="1:10" x14ac:dyDescent="0.45">
      <c r="A656" s="2">
        <v>44353</v>
      </c>
      <c r="B656">
        <v>6</v>
      </c>
      <c r="C656">
        <v>2021</v>
      </c>
      <c r="D656" t="s">
        <v>24</v>
      </c>
      <c r="E656">
        <v>3</v>
      </c>
      <c r="H656" s="2">
        <v>44839</v>
      </c>
      <c r="I656" t="s">
        <v>35</v>
      </c>
      <c r="J656">
        <v>5</v>
      </c>
    </row>
    <row r="657" spans="1:10" x14ac:dyDescent="0.45">
      <c r="A657" s="2">
        <v>44352</v>
      </c>
      <c r="B657">
        <v>6</v>
      </c>
      <c r="C657">
        <v>2021</v>
      </c>
      <c r="D657" t="s">
        <v>85</v>
      </c>
      <c r="E657">
        <v>5</v>
      </c>
      <c r="H657" s="2">
        <v>44840</v>
      </c>
      <c r="I657" t="s">
        <v>93</v>
      </c>
      <c r="J657">
        <v>3</v>
      </c>
    </row>
    <row r="658" spans="1:10" x14ac:dyDescent="0.45">
      <c r="A658" s="2">
        <v>44350</v>
      </c>
      <c r="B658">
        <v>6</v>
      </c>
      <c r="C658">
        <v>2021</v>
      </c>
      <c r="D658" t="s">
        <v>85</v>
      </c>
      <c r="E658">
        <v>1</v>
      </c>
      <c r="H658" s="2">
        <v>44840</v>
      </c>
      <c r="I658" t="s">
        <v>63</v>
      </c>
      <c r="J658">
        <v>3</v>
      </c>
    </row>
    <row r="659" spans="1:10" x14ac:dyDescent="0.45">
      <c r="A659" s="2">
        <v>44349</v>
      </c>
      <c r="B659">
        <v>6</v>
      </c>
      <c r="C659">
        <v>2021</v>
      </c>
      <c r="D659" t="s">
        <v>63</v>
      </c>
      <c r="E659">
        <v>4</v>
      </c>
      <c r="H659" s="2">
        <v>44842</v>
      </c>
      <c r="I659" t="s">
        <v>85</v>
      </c>
      <c r="J659">
        <v>4</v>
      </c>
    </row>
    <row r="660" spans="1:10" x14ac:dyDescent="0.45">
      <c r="A660" s="2">
        <v>44343</v>
      </c>
      <c r="B660">
        <v>5</v>
      </c>
      <c r="C660">
        <v>2021</v>
      </c>
      <c r="D660" t="s">
        <v>52</v>
      </c>
      <c r="E660">
        <v>4</v>
      </c>
      <c r="H660" s="2">
        <v>44844</v>
      </c>
      <c r="I660" t="s">
        <v>93</v>
      </c>
      <c r="J660">
        <v>2</v>
      </c>
    </row>
    <row r="661" spans="1:10" x14ac:dyDescent="0.45">
      <c r="A661" s="2">
        <v>44341</v>
      </c>
      <c r="B661">
        <v>5</v>
      </c>
      <c r="C661">
        <v>2021</v>
      </c>
      <c r="D661" t="s">
        <v>85</v>
      </c>
      <c r="E661">
        <v>4</v>
      </c>
      <c r="H661" s="2">
        <v>44844</v>
      </c>
      <c r="I661" t="s">
        <v>24</v>
      </c>
      <c r="J661">
        <v>4</v>
      </c>
    </row>
    <row r="662" spans="1:10" x14ac:dyDescent="0.45">
      <c r="A662" s="2">
        <v>44341</v>
      </c>
      <c r="B662">
        <v>5</v>
      </c>
      <c r="C662">
        <v>2021</v>
      </c>
      <c r="D662" t="s">
        <v>52</v>
      </c>
      <c r="E662">
        <v>2</v>
      </c>
      <c r="H662" s="2">
        <v>44848</v>
      </c>
      <c r="I662" t="s">
        <v>129</v>
      </c>
      <c r="J662">
        <v>2</v>
      </c>
    </row>
    <row r="663" spans="1:10" x14ac:dyDescent="0.45">
      <c r="A663" s="2">
        <v>44341</v>
      </c>
      <c r="B663">
        <v>5</v>
      </c>
      <c r="C663">
        <v>2021</v>
      </c>
      <c r="D663" t="s">
        <v>24</v>
      </c>
      <c r="E663">
        <v>1</v>
      </c>
      <c r="H663" s="2">
        <v>44852</v>
      </c>
      <c r="I663" t="s">
        <v>85</v>
      </c>
      <c r="J663">
        <v>4</v>
      </c>
    </row>
    <row r="664" spans="1:10" x14ac:dyDescent="0.45">
      <c r="A664" s="2">
        <v>44339</v>
      </c>
      <c r="B664">
        <v>5</v>
      </c>
      <c r="C664">
        <v>2021</v>
      </c>
      <c r="D664" t="s">
        <v>35</v>
      </c>
      <c r="E664">
        <v>3</v>
      </c>
      <c r="H664" s="2">
        <v>44853</v>
      </c>
      <c r="I664" t="s">
        <v>73</v>
      </c>
      <c r="J664">
        <v>2</v>
      </c>
    </row>
    <row r="665" spans="1:10" x14ac:dyDescent="0.45">
      <c r="A665" s="2">
        <v>44337</v>
      </c>
      <c r="B665">
        <v>5</v>
      </c>
      <c r="C665">
        <v>2021</v>
      </c>
      <c r="D665" t="s">
        <v>52</v>
      </c>
      <c r="E665">
        <v>5</v>
      </c>
      <c r="H665" s="2">
        <v>44855</v>
      </c>
      <c r="I665" t="s">
        <v>52</v>
      </c>
      <c r="J665">
        <v>1</v>
      </c>
    </row>
    <row r="666" spans="1:10" x14ac:dyDescent="0.45">
      <c r="A666" s="2">
        <v>44335</v>
      </c>
      <c r="B666">
        <v>5</v>
      </c>
      <c r="C666">
        <v>2021</v>
      </c>
      <c r="D666" t="s">
        <v>85</v>
      </c>
      <c r="E666">
        <v>2</v>
      </c>
      <c r="H666" s="2">
        <v>44858</v>
      </c>
      <c r="I666" t="s">
        <v>93</v>
      </c>
      <c r="J666">
        <v>5</v>
      </c>
    </row>
    <row r="667" spans="1:10" x14ac:dyDescent="0.45">
      <c r="A667" s="2">
        <v>44330</v>
      </c>
      <c r="B667">
        <v>5</v>
      </c>
      <c r="C667">
        <v>2021</v>
      </c>
      <c r="D667" t="s">
        <v>35</v>
      </c>
      <c r="E667">
        <v>4</v>
      </c>
      <c r="H667" s="2">
        <v>44858</v>
      </c>
      <c r="I667" t="s">
        <v>172</v>
      </c>
      <c r="J667">
        <v>1</v>
      </c>
    </row>
    <row r="668" spans="1:10" x14ac:dyDescent="0.45">
      <c r="A668" s="2">
        <v>44329</v>
      </c>
      <c r="B668">
        <v>5</v>
      </c>
      <c r="C668">
        <v>2021</v>
      </c>
      <c r="D668" t="s">
        <v>129</v>
      </c>
      <c r="E668">
        <v>4</v>
      </c>
      <c r="H668" s="2">
        <v>44859</v>
      </c>
      <c r="I668" t="s">
        <v>24</v>
      </c>
      <c r="J668">
        <v>4</v>
      </c>
    </row>
    <row r="669" spans="1:10" x14ac:dyDescent="0.45">
      <c r="A669" s="2">
        <v>44328</v>
      </c>
      <c r="B669">
        <v>5</v>
      </c>
      <c r="C669">
        <v>2021</v>
      </c>
      <c r="D669" t="s">
        <v>73</v>
      </c>
      <c r="E669">
        <v>1</v>
      </c>
      <c r="H669" s="2">
        <v>44863</v>
      </c>
      <c r="I669" t="s">
        <v>85</v>
      </c>
      <c r="J669">
        <v>4</v>
      </c>
    </row>
    <row r="670" spans="1:10" x14ac:dyDescent="0.45">
      <c r="A670" s="2">
        <v>44327</v>
      </c>
      <c r="B670">
        <v>5</v>
      </c>
      <c r="C670">
        <v>2021</v>
      </c>
      <c r="D670" t="s">
        <v>73</v>
      </c>
      <c r="E670">
        <v>5</v>
      </c>
      <c r="H670" s="2">
        <v>44865</v>
      </c>
      <c r="I670" t="s">
        <v>35</v>
      </c>
      <c r="J670">
        <v>1</v>
      </c>
    </row>
    <row r="671" spans="1:10" x14ac:dyDescent="0.45">
      <c r="A671" s="2">
        <v>44322</v>
      </c>
      <c r="B671">
        <v>5</v>
      </c>
      <c r="C671">
        <v>2021</v>
      </c>
      <c r="D671" t="s">
        <v>85</v>
      </c>
      <c r="E671">
        <v>2</v>
      </c>
      <c r="H671" s="2">
        <v>44865</v>
      </c>
      <c r="I671" t="s">
        <v>172</v>
      </c>
      <c r="J671">
        <v>4</v>
      </c>
    </row>
    <row r="672" spans="1:10" x14ac:dyDescent="0.45">
      <c r="A672" s="2">
        <v>44321</v>
      </c>
      <c r="B672">
        <v>5</v>
      </c>
      <c r="C672">
        <v>2021</v>
      </c>
      <c r="D672" t="s">
        <v>35</v>
      </c>
      <c r="E672">
        <v>5</v>
      </c>
      <c r="H672" s="2">
        <v>44866</v>
      </c>
      <c r="I672" t="s">
        <v>129</v>
      </c>
      <c r="J672">
        <v>1</v>
      </c>
    </row>
    <row r="673" spans="1:10" x14ac:dyDescent="0.45">
      <c r="A673" s="2">
        <v>44321</v>
      </c>
      <c r="B673">
        <v>5</v>
      </c>
      <c r="C673">
        <v>2021</v>
      </c>
      <c r="D673" t="s">
        <v>85</v>
      </c>
      <c r="E673">
        <v>3</v>
      </c>
      <c r="H673" s="2">
        <v>44866</v>
      </c>
      <c r="I673" t="s">
        <v>35</v>
      </c>
      <c r="J673">
        <v>2</v>
      </c>
    </row>
    <row r="674" spans="1:10" x14ac:dyDescent="0.45">
      <c r="A674" s="2">
        <v>44317</v>
      </c>
      <c r="B674">
        <v>5</v>
      </c>
      <c r="C674">
        <v>2021</v>
      </c>
      <c r="D674" t="s">
        <v>35</v>
      </c>
      <c r="E674">
        <v>4</v>
      </c>
      <c r="H674" s="2">
        <v>44868</v>
      </c>
      <c r="I674" t="s">
        <v>35</v>
      </c>
      <c r="J674">
        <v>2</v>
      </c>
    </row>
    <row r="675" spans="1:10" x14ac:dyDescent="0.45">
      <c r="A675" s="2">
        <v>44317</v>
      </c>
      <c r="B675">
        <v>5</v>
      </c>
      <c r="C675">
        <v>2021</v>
      </c>
      <c r="D675" t="s">
        <v>93</v>
      </c>
      <c r="E675">
        <v>1</v>
      </c>
      <c r="H675" s="2">
        <v>44870</v>
      </c>
      <c r="I675" t="s">
        <v>85</v>
      </c>
      <c r="J675">
        <v>4</v>
      </c>
    </row>
    <row r="676" spans="1:10" x14ac:dyDescent="0.45">
      <c r="A676" s="2">
        <v>44315</v>
      </c>
      <c r="B676">
        <v>4</v>
      </c>
      <c r="C676">
        <v>2021</v>
      </c>
      <c r="D676" t="s">
        <v>172</v>
      </c>
      <c r="E676">
        <v>3</v>
      </c>
      <c r="H676" s="2">
        <v>44872</v>
      </c>
      <c r="I676" t="s">
        <v>63</v>
      </c>
      <c r="J676">
        <v>2</v>
      </c>
    </row>
    <row r="677" spans="1:10" x14ac:dyDescent="0.45">
      <c r="A677" s="2">
        <v>44315</v>
      </c>
      <c r="B677">
        <v>4</v>
      </c>
      <c r="C677">
        <v>2021</v>
      </c>
      <c r="D677" t="s">
        <v>93</v>
      </c>
      <c r="E677">
        <v>5</v>
      </c>
      <c r="H677" s="2">
        <v>44873</v>
      </c>
      <c r="I677" t="s">
        <v>93</v>
      </c>
      <c r="J677">
        <v>5</v>
      </c>
    </row>
    <row r="678" spans="1:10" x14ac:dyDescent="0.45">
      <c r="A678" s="2">
        <v>44315</v>
      </c>
      <c r="B678">
        <v>4</v>
      </c>
      <c r="C678">
        <v>2021</v>
      </c>
      <c r="D678" t="s">
        <v>24</v>
      </c>
      <c r="E678">
        <v>3</v>
      </c>
      <c r="H678" s="2">
        <v>44873</v>
      </c>
      <c r="I678" t="s">
        <v>52</v>
      </c>
      <c r="J678">
        <v>6</v>
      </c>
    </row>
    <row r="679" spans="1:10" x14ac:dyDescent="0.45">
      <c r="A679" s="2">
        <v>44312</v>
      </c>
      <c r="B679">
        <v>4</v>
      </c>
      <c r="C679">
        <v>2021</v>
      </c>
      <c r="D679" t="s">
        <v>63</v>
      </c>
      <c r="E679">
        <v>3</v>
      </c>
      <c r="H679" s="2">
        <v>44874</v>
      </c>
      <c r="I679" t="s">
        <v>52</v>
      </c>
      <c r="J679">
        <v>4</v>
      </c>
    </row>
    <row r="680" spans="1:10" x14ac:dyDescent="0.45">
      <c r="A680" s="2">
        <v>44312</v>
      </c>
      <c r="B680">
        <v>4</v>
      </c>
      <c r="C680">
        <v>2021</v>
      </c>
      <c r="D680" t="s">
        <v>93</v>
      </c>
      <c r="E680">
        <v>3</v>
      </c>
      <c r="H680" s="2">
        <v>44877</v>
      </c>
      <c r="I680" t="s">
        <v>52</v>
      </c>
      <c r="J680">
        <v>1</v>
      </c>
    </row>
    <row r="681" spans="1:10" x14ac:dyDescent="0.45">
      <c r="A681" s="2">
        <v>44310</v>
      </c>
      <c r="B681">
        <v>4</v>
      </c>
      <c r="C681">
        <v>2021</v>
      </c>
      <c r="D681" t="s">
        <v>35</v>
      </c>
      <c r="E681">
        <v>4</v>
      </c>
      <c r="H681" s="2">
        <v>44880</v>
      </c>
      <c r="I681" t="s">
        <v>24</v>
      </c>
      <c r="J681">
        <v>1</v>
      </c>
    </row>
    <row r="682" spans="1:10" x14ac:dyDescent="0.45">
      <c r="A682" s="2">
        <v>44309</v>
      </c>
      <c r="B682">
        <v>4</v>
      </c>
      <c r="C682">
        <v>2021</v>
      </c>
      <c r="D682" t="s">
        <v>85</v>
      </c>
      <c r="E682">
        <v>4</v>
      </c>
      <c r="H682" s="2">
        <v>44882</v>
      </c>
      <c r="I682" t="s">
        <v>35</v>
      </c>
      <c r="J682">
        <v>5</v>
      </c>
    </row>
    <row r="683" spans="1:10" x14ac:dyDescent="0.45">
      <c r="A683" s="2">
        <v>44309</v>
      </c>
      <c r="B683">
        <v>4</v>
      </c>
      <c r="C683">
        <v>2021</v>
      </c>
      <c r="D683" t="s">
        <v>172</v>
      </c>
      <c r="E683">
        <v>3</v>
      </c>
      <c r="H683" s="2">
        <v>44885</v>
      </c>
      <c r="I683" t="s">
        <v>93</v>
      </c>
      <c r="J683">
        <v>1</v>
      </c>
    </row>
    <row r="684" spans="1:10" x14ac:dyDescent="0.45">
      <c r="A684" s="2">
        <v>44309</v>
      </c>
      <c r="B684">
        <v>4</v>
      </c>
      <c r="C684">
        <v>2021</v>
      </c>
      <c r="D684" t="s">
        <v>172</v>
      </c>
      <c r="E684">
        <v>4</v>
      </c>
      <c r="H684" s="2">
        <v>44885</v>
      </c>
      <c r="I684" t="s">
        <v>63</v>
      </c>
      <c r="J684">
        <v>2</v>
      </c>
    </row>
    <row r="685" spans="1:10" x14ac:dyDescent="0.45">
      <c r="A685" s="2">
        <v>44307</v>
      </c>
      <c r="B685">
        <v>4</v>
      </c>
      <c r="C685">
        <v>2021</v>
      </c>
      <c r="D685" t="s">
        <v>24</v>
      </c>
      <c r="E685">
        <v>3</v>
      </c>
      <c r="H685" s="2">
        <v>44886</v>
      </c>
      <c r="I685" t="s">
        <v>73</v>
      </c>
      <c r="J685">
        <v>2</v>
      </c>
    </row>
    <row r="686" spans="1:10" x14ac:dyDescent="0.45">
      <c r="A686" s="2">
        <v>44307</v>
      </c>
      <c r="B686">
        <v>4</v>
      </c>
      <c r="C686">
        <v>2021</v>
      </c>
      <c r="D686" t="s">
        <v>73</v>
      </c>
      <c r="E686">
        <v>1</v>
      </c>
      <c r="H686" s="2">
        <v>44888</v>
      </c>
      <c r="I686" t="s">
        <v>63</v>
      </c>
      <c r="J686">
        <v>5</v>
      </c>
    </row>
    <row r="687" spans="1:10" x14ac:dyDescent="0.45">
      <c r="A687" s="2">
        <v>44305</v>
      </c>
      <c r="B687">
        <v>4</v>
      </c>
      <c r="C687">
        <v>2021</v>
      </c>
      <c r="D687" t="s">
        <v>52</v>
      </c>
      <c r="E687">
        <v>1</v>
      </c>
      <c r="H687" s="2">
        <v>44890</v>
      </c>
      <c r="I687" t="s">
        <v>129</v>
      </c>
      <c r="J687">
        <v>5</v>
      </c>
    </row>
    <row r="688" spans="1:10" x14ac:dyDescent="0.45">
      <c r="A688" s="2">
        <v>44303</v>
      </c>
      <c r="B688">
        <v>4</v>
      </c>
      <c r="C688">
        <v>2021</v>
      </c>
      <c r="D688" t="s">
        <v>93</v>
      </c>
      <c r="E688">
        <v>3</v>
      </c>
      <c r="H688" s="2">
        <v>44891</v>
      </c>
      <c r="I688" t="s">
        <v>85</v>
      </c>
      <c r="J688">
        <v>3</v>
      </c>
    </row>
    <row r="689" spans="1:10" x14ac:dyDescent="0.45">
      <c r="A689" s="2">
        <v>44301</v>
      </c>
      <c r="B689">
        <v>4</v>
      </c>
      <c r="C689">
        <v>2021</v>
      </c>
      <c r="D689" t="s">
        <v>85</v>
      </c>
      <c r="E689">
        <v>2</v>
      </c>
      <c r="H689" s="2">
        <v>44893</v>
      </c>
      <c r="I689" t="s">
        <v>52</v>
      </c>
      <c r="J689">
        <v>5</v>
      </c>
    </row>
    <row r="690" spans="1:10" x14ac:dyDescent="0.45">
      <c r="A690" s="2">
        <v>44299</v>
      </c>
      <c r="B690">
        <v>4</v>
      </c>
      <c r="C690">
        <v>2021</v>
      </c>
      <c r="D690" t="s">
        <v>73</v>
      </c>
      <c r="E690">
        <v>4</v>
      </c>
      <c r="H690" s="2">
        <v>44893</v>
      </c>
      <c r="I690" t="s">
        <v>24</v>
      </c>
      <c r="J690">
        <v>3</v>
      </c>
    </row>
    <row r="691" spans="1:10" x14ac:dyDescent="0.45">
      <c r="A691" s="2">
        <v>44298</v>
      </c>
      <c r="B691">
        <v>4</v>
      </c>
      <c r="C691">
        <v>2021</v>
      </c>
      <c r="D691" t="s">
        <v>63</v>
      </c>
      <c r="E691">
        <v>2</v>
      </c>
      <c r="H691" s="2">
        <v>44897</v>
      </c>
      <c r="I691" t="s">
        <v>73</v>
      </c>
      <c r="J691">
        <v>3</v>
      </c>
    </row>
    <row r="692" spans="1:10" x14ac:dyDescent="0.45">
      <c r="A692" s="2">
        <v>44295</v>
      </c>
      <c r="B692">
        <v>4</v>
      </c>
      <c r="C692">
        <v>2021</v>
      </c>
      <c r="D692" t="s">
        <v>172</v>
      </c>
      <c r="E692">
        <v>2</v>
      </c>
      <c r="H692" s="2">
        <v>44897</v>
      </c>
      <c r="I692" t="s">
        <v>63</v>
      </c>
      <c r="J692">
        <v>5</v>
      </c>
    </row>
    <row r="693" spans="1:10" x14ac:dyDescent="0.45">
      <c r="A693" s="2">
        <v>44290</v>
      </c>
      <c r="B693">
        <v>4</v>
      </c>
      <c r="C693">
        <v>2021</v>
      </c>
      <c r="D693" t="s">
        <v>52</v>
      </c>
      <c r="E693">
        <v>4</v>
      </c>
      <c r="H693" s="2">
        <v>44899</v>
      </c>
      <c r="I693" t="s">
        <v>93</v>
      </c>
      <c r="J693">
        <v>4</v>
      </c>
    </row>
    <row r="694" spans="1:10" x14ac:dyDescent="0.45">
      <c r="A694" s="2">
        <v>44288</v>
      </c>
      <c r="B694">
        <v>4</v>
      </c>
      <c r="C694">
        <v>2021</v>
      </c>
      <c r="D694" t="s">
        <v>63</v>
      </c>
      <c r="E694">
        <v>1</v>
      </c>
      <c r="H694" s="2">
        <v>44905</v>
      </c>
      <c r="I694" t="s">
        <v>93</v>
      </c>
      <c r="J694">
        <v>2</v>
      </c>
    </row>
    <row r="695" spans="1:10" x14ac:dyDescent="0.45">
      <c r="A695" s="2">
        <v>44287</v>
      </c>
      <c r="B695">
        <v>4</v>
      </c>
      <c r="C695">
        <v>2021</v>
      </c>
      <c r="D695" t="s">
        <v>24</v>
      </c>
      <c r="E695">
        <v>3</v>
      </c>
      <c r="H695" s="2">
        <v>44906</v>
      </c>
      <c r="I695" t="s">
        <v>172</v>
      </c>
      <c r="J695">
        <v>5</v>
      </c>
    </row>
    <row r="696" spans="1:10" x14ac:dyDescent="0.45">
      <c r="A696" s="2">
        <v>44286</v>
      </c>
      <c r="B696">
        <v>3</v>
      </c>
      <c r="C696">
        <v>2021</v>
      </c>
      <c r="D696" t="s">
        <v>172</v>
      </c>
      <c r="E696">
        <v>5</v>
      </c>
      <c r="H696" s="2">
        <v>44908</v>
      </c>
      <c r="I696" t="s">
        <v>172</v>
      </c>
      <c r="J696">
        <v>3</v>
      </c>
    </row>
    <row r="697" spans="1:10" x14ac:dyDescent="0.45">
      <c r="A697" s="2">
        <v>44284</v>
      </c>
      <c r="B697">
        <v>3</v>
      </c>
      <c r="C697">
        <v>2021</v>
      </c>
      <c r="D697" t="s">
        <v>24</v>
      </c>
      <c r="E697">
        <v>5</v>
      </c>
      <c r="H697" s="2">
        <v>44910</v>
      </c>
      <c r="I697" t="s">
        <v>52</v>
      </c>
      <c r="J697">
        <v>2</v>
      </c>
    </row>
    <row r="698" spans="1:10" x14ac:dyDescent="0.45">
      <c r="A698" s="2">
        <v>44276</v>
      </c>
      <c r="B698">
        <v>3</v>
      </c>
      <c r="C698">
        <v>2021</v>
      </c>
      <c r="D698" t="s">
        <v>172</v>
      </c>
      <c r="E698">
        <v>1</v>
      </c>
      <c r="H698" s="2">
        <v>44911</v>
      </c>
      <c r="I698" t="s">
        <v>24</v>
      </c>
      <c r="J698">
        <v>1</v>
      </c>
    </row>
    <row r="699" spans="1:10" x14ac:dyDescent="0.45">
      <c r="A699" s="2">
        <v>44274</v>
      </c>
      <c r="B699">
        <v>3</v>
      </c>
      <c r="C699">
        <v>2021</v>
      </c>
      <c r="D699" t="s">
        <v>52</v>
      </c>
      <c r="E699">
        <v>3</v>
      </c>
      <c r="H699" s="2">
        <v>44913</v>
      </c>
      <c r="I699" t="s">
        <v>35</v>
      </c>
      <c r="J699">
        <v>1</v>
      </c>
    </row>
    <row r="700" spans="1:10" x14ac:dyDescent="0.45">
      <c r="A700" s="2">
        <v>44271</v>
      </c>
      <c r="B700">
        <v>3</v>
      </c>
      <c r="C700">
        <v>2021</v>
      </c>
      <c r="D700" t="s">
        <v>24</v>
      </c>
      <c r="E700">
        <v>2</v>
      </c>
      <c r="H700" s="2">
        <v>44914</v>
      </c>
      <c r="I700" t="s">
        <v>73</v>
      </c>
      <c r="J700">
        <v>4</v>
      </c>
    </row>
    <row r="701" spans="1:10" x14ac:dyDescent="0.45">
      <c r="A701" s="2">
        <v>44270</v>
      </c>
      <c r="B701">
        <v>3</v>
      </c>
      <c r="C701">
        <v>2021</v>
      </c>
      <c r="D701" t="s">
        <v>129</v>
      </c>
      <c r="E701">
        <v>4</v>
      </c>
      <c r="H701" s="2">
        <v>44915</v>
      </c>
      <c r="I701" t="s">
        <v>73</v>
      </c>
      <c r="J701">
        <v>1</v>
      </c>
    </row>
    <row r="702" spans="1:10" x14ac:dyDescent="0.45">
      <c r="A702" s="2">
        <v>44269</v>
      </c>
      <c r="B702">
        <v>3</v>
      </c>
      <c r="C702">
        <v>2021</v>
      </c>
      <c r="D702" t="s">
        <v>93</v>
      </c>
      <c r="E702">
        <v>2</v>
      </c>
      <c r="H702" s="2">
        <v>44915</v>
      </c>
      <c r="I702" t="s">
        <v>172</v>
      </c>
      <c r="J702">
        <v>2</v>
      </c>
    </row>
    <row r="703" spans="1:10" x14ac:dyDescent="0.45">
      <c r="A703" s="2">
        <v>44269</v>
      </c>
      <c r="B703">
        <v>3</v>
      </c>
      <c r="C703">
        <v>2021</v>
      </c>
      <c r="D703" t="s">
        <v>73</v>
      </c>
      <c r="E703">
        <v>5</v>
      </c>
      <c r="H703" s="2">
        <v>44916</v>
      </c>
      <c r="I703" t="s">
        <v>129</v>
      </c>
      <c r="J703">
        <v>5</v>
      </c>
    </row>
    <row r="704" spans="1:10" x14ac:dyDescent="0.45">
      <c r="A704" s="2">
        <v>44269</v>
      </c>
      <c r="B704">
        <v>3</v>
      </c>
      <c r="C704">
        <v>2021</v>
      </c>
      <c r="D704" t="s">
        <v>35</v>
      </c>
      <c r="E704">
        <v>4</v>
      </c>
      <c r="H704" s="2">
        <v>44919</v>
      </c>
      <c r="I704" t="s">
        <v>35</v>
      </c>
      <c r="J704">
        <v>2</v>
      </c>
    </row>
    <row r="705" spans="1:10" x14ac:dyDescent="0.45">
      <c r="A705" s="2">
        <v>44265</v>
      </c>
      <c r="B705">
        <v>3</v>
      </c>
      <c r="C705">
        <v>2021</v>
      </c>
      <c r="D705" t="s">
        <v>93</v>
      </c>
      <c r="E705">
        <v>2</v>
      </c>
      <c r="H705" s="2">
        <v>44920</v>
      </c>
      <c r="I705" t="s">
        <v>73</v>
      </c>
      <c r="J705">
        <v>1</v>
      </c>
    </row>
    <row r="706" spans="1:10" x14ac:dyDescent="0.45">
      <c r="A706" s="2">
        <v>44264</v>
      </c>
      <c r="B706">
        <v>3</v>
      </c>
      <c r="C706">
        <v>2021</v>
      </c>
      <c r="D706" t="s">
        <v>35</v>
      </c>
      <c r="E706">
        <v>4</v>
      </c>
      <c r="H706" s="2">
        <v>44920</v>
      </c>
      <c r="I706" t="s">
        <v>52</v>
      </c>
      <c r="J706">
        <v>2</v>
      </c>
    </row>
    <row r="707" spans="1:10" x14ac:dyDescent="0.45">
      <c r="A707" s="2">
        <v>44263</v>
      </c>
      <c r="B707">
        <v>3</v>
      </c>
      <c r="C707">
        <v>2021</v>
      </c>
      <c r="D707" t="s">
        <v>73</v>
      </c>
      <c r="E707">
        <v>3</v>
      </c>
      <c r="H707" s="2">
        <v>44926</v>
      </c>
      <c r="I707" t="s">
        <v>85</v>
      </c>
      <c r="J707">
        <v>5</v>
      </c>
    </row>
    <row r="708" spans="1:10" x14ac:dyDescent="0.45">
      <c r="A708" s="2">
        <v>44262</v>
      </c>
      <c r="B708">
        <v>3</v>
      </c>
      <c r="C708">
        <v>2021</v>
      </c>
      <c r="D708" t="s">
        <v>172</v>
      </c>
      <c r="E708">
        <v>4</v>
      </c>
      <c r="H708" s="2">
        <v>44927</v>
      </c>
      <c r="I708" t="s">
        <v>85</v>
      </c>
      <c r="J708">
        <v>1</v>
      </c>
    </row>
    <row r="709" spans="1:10" x14ac:dyDescent="0.45">
      <c r="A709" s="2">
        <v>44257</v>
      </c>
      <c r="B709">
        <v>3</v>
      </c>
      <c r="C709">
        <v>2021</v>
      </c>
      <c r="D709" t="s">
        <v>85</v>
      </c>
      <c r="E709">
        <v>3</v>
      </c>
      <c r="H709" s="2">
        <v>44929</v>
      </c>
      <c r="I709" t="s">
        <v>129</v>
      </c>
      <c r="J709">
        <v>3</v>
      </c>
    </row>
    <row r="710" spans="1:10" x14ac:dyDescent="0.45">
      <c r="A710" s="2">
        <v>44254</v>
      </c>
      <c r="B710">
        <v>2</v>
      </c>
      <c r="C710">
        <v>2021</v>
      </c>
      <c r="D710" t="s">
        <v>35</v>
      </c>
      <c r="E710">
        <v>2</v>
      </c>
      <c r="H710" s="2">
        <v>44930</v>
      </c>
      <c r="I710" t="s">
        <v>63</v>
      </c>
      <c r="J710">
        <v>2</v>
      </c>
    </row>
    <row r="711" spans="1:10" x14ac:dyDescent="0.45">
      <c r="A711" s="2">
        <v>44251</v>
      </c>
      <c r="B711">
        <v>2</v>
      </c>
      <c r="C711">
        <v>2021</v>
      </c>
      <c r="D711" t="s">
        <v>52</v>
      </c>
      <c r="E711">
        <v>3</v>
      </c>
      <c r="H711" s="2">
        <v>44931</v>
      </c>
      <c r="I711" t="s">
        <v>93</v>
      </c>
      <c r="J711">
        <v>4</v>
      </c>
    </row>
    <row r="712" spans="1:10" x14ac:dyDescent="0.45">
      <c r="A712" s="2">
        <v>44251</v>
      </c>
      <c r="B712">
        <v>2</v>
      </c>
      <c r="C712">
        <v>2021</v>
      </c>
      <c r="D712" t="s">
        <v>63</v>
      </c>
      <c r="E712">
        <v>4</v>
      </c>
      <c r="H712" s="2">
        <v>44931</v>
      </c>
      <c r="I712" t="s">
        <v>129</v>
      </c>
      <c r="J712">
        <v>1</v>
      </c>
    </row>
    <row r="713" spans="1:10" x14ac:dyDescent="0.45">
      <c r="A713" s="2">
        <v>44250</v>
      </c>
      <c r="B713">
        <v>2</v>
      </c>
      <c r="C713">
        <v>2021</v>
      </c>
      <c r="D713" t="s">
        <v>35</v>
      </c>
      <c r="E713">
        <v>5</v>
      </c>
      <c r="H713" s="2">
        <v>44932</v>
      </c>
      <c r="I713" t="s">
        <v>73</v>
      </c>
      <c r="J713">
        <v>5</v>
      </c>
    </row>
    <row r="714" spans="1:10" x14ac:dyDescent="0.45">
      <c r="A714" s="2">
        <v>44250</v>
      </c>
      <c r="B714">
        <v>2</v>
      </c>
      <c r="C714">
        <v>2021</v>
      </c>
      <c r="D714" t="s">
        <v>73</v>
      </c>
      <c r="E714">
        <v>5</v>
      </c>
      <c r="H714" s="2">
        <v>44933</v>
      </c>
      <c r="I714" t="s">
        <v>35</v>
      </c>
      <c r="J714">
        <v>4</v>
      </c>
    </row>
    <row r="715" spans="1:10" x14ac:dyDescent="0.45">
      <c r="A715" s="2">
        <v>44250</v>
      </c>
      <c r="B715">
        <v>2</v>
      </c>
      <c r="C715">
        <v>2021</v>
      </c>
      <c r="D715" t="s">
        <v>172</v>
      </c>
      <c r="E715">
        <v>1</v>
      </c>
      <c r="H715" s="2">
        <v>44934</v>
      </c>
      <c r="I715" t="s">
        <v>129</v>
      </c>
      <c r="J715">
        <v>4</v>
      </c>
    </row>
    <row r="716" spans="1:10" x14ac:dyDescent="0.45">
      <c r="A716" s="2">
        <v>44249</v>
      </c>
      <c r="B716">
        <v>2</v>
      </c>
      <c r="C716">
        <v>2021</v>
      </c>
      <c r="D716" t="s">
        <v>93</v>
      </c>
      <c r="E716">
        <v>3</v>
      </c>
      <c r="H716" s="2">
        <v>44934</v>
      </c>
      <c r="I716" t="s">
        <v>24</v>
      </c>
      <c r="J716">
        <v>3</v>
      </c>
    </row>
    <row r="717" spans="1:10" x14ac:dyDescent="0.45">
      <c r="A717" s="2">
        <v>44249</v>
      </c>
      <c r="B717">
        <v>2</v>
      </c>
      <c r="C717">
        <v>2021</v>
      </c>
      <c r="D717" t="s">
        <v>73</v>
      </c>
      <c r="E717">
        <v>5</v>
      </c>
      <c r="H717" s="2">
        <v>44936</v>
      </c>
      <c r="I717" t="s">
        <v>85</v>
      </c>
      <c r="J717">
        <v>1</v>
      </c>
    </row>
    <row r="718" spans="1:10" x14ac:dyDescent="0.45">
      <c r="A718" s="2">
        <v>44247</v>
      </c>
      <c r="B718">
        <v>2</v>
      </c>
      <c r="C718">
        <v>2021</v>
      </c>
      <c r="D718" t="s">
        <v>85</v>
      </c>
      <c r="E718">
        <v>2</v>
      </c>
      <c r="H718" s="2">
        <v>44937</v>
      </c>
      <c r="I718" t="s">
        <v>172</v>
      </c>
      <c r="J718">
        <v>5</v>
      </c>
    </row>
    <row r="719" spans="1:10" x14ac:dyDescent="0.45">
      <c r="A719" s="2">
        <v>44244</v>
      </c>
      <c r="B719">
        <v>2</v>
      </c>
      <c r="C719">
        <v>2021</v>
      </c>
      <c r="D719" t="s">
        <v>172</v>
      </c>
      <c r="E719">
        <v>1</v>
      </c>
      <c r="H719" s="2">
        <v>44939</v>
      </c>
      <c r="I719" t="s">
        <v>85</v>
      </c>
      <c r="J719">
        <v>4</v>
      </c>
    </row>
    <row r="720" spans="1:10" x14ac:dyDescent="0.45">
      <c r="A720" s="2">
        <v>44244</v>
      </c>
      <c r="B720">
        <v>2</v>
      </c>
      <c r="C720">
        <v>2021</v>
      </c>
      <c r="D720" t="s">
        <v>73</v>
      </c>
      <c r="E720">
        <v>5</v>
      </c>
      <c r="H720" s="2">
        <v>44939</v>
      </c>
      <c r="I720" t="s">
        <v>63</v>
      </c>
      <c r="J720">
        <v>3</v>
      </c>
    </row>
    <row r="721" spans="1:10" x14ac:dyDescent="0.45">
      <c r="A721" s="2">
        <v>44243</v>
      </c>
      <c r="B721">
        <v>2</v>
      </c>
      <c r="C721">
        <v>2021</v>
      </c>
      <c r="D721" t="s">
        <v>129</v>
      </c>
      <c r="E721">
        <v>1</v>
      </c>
      <c r="H721" s="2">
        <v>44940</v>
      </c>
      <c r="I721" t="s">
        <v>172</v>
      </c>
      <c r="J721">
        <v>3</v>
      </c>
    </row>
    <row r="722" spans="1:10" x14ac:dyDescent="0.45">
      <c r="A722" s="2">
        <v>44243</v>
      </c>
      <c r="B722">
        <v>2</v>
      </c>
      <c r="C722">
        <v>2021</v>
      </c>
      <c r="D722" t="s">
        <v>52</v>
      </c>
      <c r="E722">
        <v>4</v>
      </c>
      <c r="H722" s="2">
        <v>44941</v>
      </c>
      <c r="I722" t="s">
        <v>63</v>
      </c>
      <c r="J722">
        <v>5</v>
      </c>
    </row>
    <row r="723" spans="1:10" x14ac:dyDescent="0.45">
      <c r="A723" s="2">
        <v>44238</v>
      </c>
      <c r="B723">
        <v>2</v>
      </c>
      <c r="C723">
        <v>2021</v>
      </c>
      <c r="D723" t="s">
        <v>24</v>
      </c>
      <c r="E723">
        <v>3</v>
      </c>
      <c r="H723" s="2">
        <v>44944</v>
      </c>
      <c r="I723" t="s">
        <v>73</v>
      </c>
      <c r="J723">
        <v>5</v>
      </c>
    </row>
    <row r="724" spans="1:10" x14ac:dyDescent="0.45">
      <c r="A724" s="2">
        <v>44238</v>
      </c>
      <c r="B724">
        <v>2</v>
      </c>
      <c r="C724">
        <v>2021</v>
      </c>
      <c r="D724" t="s">
        <v>24</v>
      </c>
      <c r="E724">
        <v>4</v>
      </c>
      <c r="H724" s="2">
        <v>44947</v>
      </c>
      <c r="I724" t="s">
        <v>85</v>
      </c>
      <c r="J724">
        <v>2</v>
      </c>
    </row>
    <row r="725" spans="1:10" x14ac:dyDescent="0.45">
      <c r="A725" s="2">
        <v>44229</v>
      </c>
      <c r="B725">
        <v>2</v>
      </c>
      <c r="C725">
        <v>2021</v>
      </c>
      <c r="D725" t="s">
        <v>52</v>
      </c>
      <c r="E725">
        <v>3</v>
      </c>
      <c r="H725" s="2">
        <v>44948</v>
      </c>
      <c r="I725" t="s">
        <v>35</v>
      </c>
      <c r="J725">
        <v>4</v>
      </c>
    </row>
    <row r="726" spans="1:10" x14ac:dyDescent="0.45">
      <c r="A726" s="2">
        <v>44229</v>
      </c>
      <c r="B726">
        <v>2</v>
      </c>
      <c r="C726">
        <v>2021</v>
      </c>
      <c r="D726" t="s">
        <v>172</v>
      </c>
      <c r="E726">
        <v>3</v>
      </c>
      <c r="H726" s="2">
        <v>44951</v>
      </c>
      <c r="I726" t="s">
        <v>93</v>
      </c>
      <c r="J726">
        <v>1</v>
      </c>
    </row>
    <row r="727" spans="1:10" x14ac:dyDescent="0.45">
      <c r="A727" s="2">
        <v>44227</v>
      </c>
      <c r="B727">
        <v>1</v>
      </c>
      <c r="C727">
        <v>2021</v>
      </c>
      <c r="D727" t="s">
        <v>63</v>
      </c>
      <c r="E727">
        <v>1</v>
      </c>
      <c r="H727" s="2">
        <v>44954</v>
      </c>
      <c r="I727" t="s">
        <v>52</v>
      </c>
      <c r="J727">
        <v>1</v>
      </c>
    </row>
    <row r="728" spans="1:10" x14ac:dyDescent="0.45">
      <c r="A728" s="2">
        <v>44227</v>
      </c>
      <c r="B728">
        <v>1</v>
      </c>
      <c r="C728">
        <v>2021</v>
      </c>
      <c r="D728" t="s">
        <v>35</v>
      </c>
      <c r="E728">
        <v>2</v>
      </c>
      <c r="H728" s="2">
        <v>44954</v>
      </c>
      <c r="I728" t="s">
        <v>172</v>
      </c>
      <c r="J728">
        <v>2</v>
      </c>
    </row>
    <row r="729" spans="1:10" x14ac:dyDescent="0.45">
      <c r="A729" s="2">
        <v>44224</v>
      </c>
      <c r="B729">
        <v>1</v>
      </c>
      <c r="C729">
        <v>2021</v>
      </c>
      <c r="D729" t="s">
        <v>63</v>
      </c>
      <c r="E729">
        <v>4</v>
      </c>
      <c r="H729" s="2">
        <v>44959</v>
      </c>
      <c r="I729" t="s">
        <v>73</v>
      </c>
      <c r="J729">
        <v>4</v>
      </c>
    </row>
    <row r="730" spans="1:10" x14ac:dyDescent="0.45">
      <c r="A730" s="2">
        <v>44222</v>
      </c>
      <c r="B730">
        <v>1</v>
      </c>
      <c r="C730">
        <v>2021</v>
      </c>
      <c r="D730" t="s">
        <v>172</v>
      </c>
      <c r="E730">
        <v>5</v>
      </c>
      <c r="H730" s="2">
        <v>44963</v>
      </c>
      <c r="I730" t="s">
        <v>85</v>
      </c>
      <c r="J730">
        <v>1</v>
      </c>
    </row>
    <row r="731" spans="1:10" x14ac:dyDescent="0.45">
      <c r="A731" s="2">
        <v>44219</v>
      </c>
      <c r="B731">
        <v>1</v>
      </c>
      <c r="C731">
        <v>2021</v>
      </c>
      <c r="D731" t="s">
        <v>63</v>
      </c>
      <c r="E731">
        <v>5</v>
      </c>
      <c r="H731" s="2">
        <v>44963</v>
      </c>
      <c r="I731" t="s">
        <v>129</v>
      </c>
      <c r="J731">
        <v>2</v>
      </c>
    </row>
    <row r="732" spans="1:10" x14ac:dyDescent="0.45">
      <c r="A732" s="2">
        <v>44218</v>
      </c>
      <c r="B732">
        <v>1</v>
      </c>
      <c r="C732">
        <v>2021</v>
      </c>
      <c r="D732" t="s">
        <v>85</v>
      </c>
      <c r="E732">
        <v>4</v>
      </c>
      <c r="H732" s="2">
        <v>44964</v>
      </c>
      <c r="I732" t="s">
        <v>85</v>
      </c>
      <c r="J732">
        <v>5</v>
      </c>
    </row>
    <row r="733" spans="1:10" x14ac:dyDescent="0.45">
      <c r="A733" s="2">
        <v>44216</v>
      </c>
      <c r="B733">
        <v>1</v>
      </c>
      <c r="C733">
        <v>2021</v>
      </c>
      <c r="D733" t="s">
        <v>172</v>
      </c>
      <c r="E733">
        <v>2</v>
      </c>
      <c r="H733" s="2">
        <v>44968</v>
      </c>
      <c r="I733" t="s">
        <v>52</v>
      </c>
      <c r="J733">
        <v>3</v>
      </c>
    </row>
    <row r="734" spans="1:10" x14ac:dyDescent="0.45">
      <c r="A734" s="2">
        <v>44215</v>
      </c>
      <c r="B734">
        <v>1</v>
      </c>
      <c r="C734">
        <v>2021</v>
      </c>
      <c r="D734" t="s">
        <v>73</v>
      </c>
      <c r="E734">
        <v>1</v>
      </c>
      <c r="H734" s="2">
        <v>44972</v>
      </c>
      <c r="I734" t="s">
        <v>52</v>
      </c>
      <c r="J734">
        <v>1</v>
      </c>
    </row>
    <row r="735" spans="1:10" x14ac:dyDescent="0.45">
      <c r="A735" s="2">
        <v>44214</v>
      </c>
      <c r="B735">
        <v>1</v>
      </c>
      <c r="C735">
        <v>2021</v>
      </c>
      <c r="D735" t="s">
        <v>73</v>
      </c>
      <c r="E735">
        <v>4</v>
      </c>
      <c r="H735" s="2">
        <v>44973</v>
      </c>
      <c r="I735" t="s">
        <v>63</v>
      </c>
      <c r="J735">
        <v>1</v>
      </c>
    </row>
    <row r="736" spans="1:10" x14ac:dyDescent="0.45">
      <c r="A736" s="2">
        <v>44208</v>
      </c>
      <c r="B736">
        <v>1</v>
      </c>
      <c r="C736">
        <v>2021</v>
      </c>
      <c r="D736" t="s">
        <v>93</v>
      </c>
      <c r="E736">
        <v>4</v>
      </c>
      <c r="H736" s="2">
        <v>44977</v>
      </c>
      <c r="I736" t="s">
        <v>52</v>
      </c>
      <c r="J736">
        <v>4</v>
      </c>
    </row>
    <row r="737" spans="1:10" x14ac:dyDescent="0.45">
      <c r="A737" s="2">
        <v>44207</v>
      </c>
      <c r="B737">
        <v>1</v>
      </c>
      <c r="C737">
        <v>2021</v>
      </c>
      <c r="D737" t="s">
        <v>85</v>
      </c>
      <c r="E737">
        <v>5</v>
      </c>
      <c r="H737" s="2">
        <v>44978</v>
      </c>
      <c r="I737" t="s">
        <v>85</v>
      </c>
      <c r="J737">
        <v>1</v>
      </c>
    </row>
    <row r="738" spans="1:10" x14ac:dyDescent="0.45">
      <c r="A738" s="2">
        <v>44203</v>
      </c>
      <c r="B738">
        <v>1</v>
      </c>
      <c r="C738">
        <v>2021</v>
      </c>
      <c r="D738" t="s">
        <v>63</v>
      </c>
      <c r="E738">
        <v>4</v>
      </c>
      <c r="H738" s="2">
        <v>44979</v>
      </c>
      <c r="I738" t="s">
        <v>85</v>
      </c>
      <c r="J738">
        <v>3</v>
      </c>
    </row>
    <row r="739" spans="1:10" x14ac:dyDescent="0.45">
      <c r="A739" s="2">
        <v>44202</v>
      </c>
      <c r="B739">
        <v>1</v>
      </c>
      <c r="C739">
        <v>2021</v>
      </c>
      <c r="D739" t="s">
        <v>73</v>
      </c>
      <c r="E739">
        <v>1</v>
      </c>
      <c r="H739" s="2">
        <v>44979</v>
      </c>
      <c r="I739" t="s">
        <v>63</v>
      </c>
      <c r="J739">
        <v>4</v>
      </c>
    </row>
    <row r="740" spans="1:10" x14ac:dyDescent="0.45">
      <c r="A740" s="2">
        <v>44200</v>
      </c>
      <c r="B740">
        <v>1</v>
      </c>
      <c r="C740">
        <v>2021</v>
      </c>
      <c r="D740" t="s">
        <v>73</v>
      </c>
      <c r="E740">
        <v>2</v>
      </c>
      <c r="H740" s="2">
        <v>44981</v>
      </c>
      <c r="I740" t="s">
        <v>172</v>
      </c>
      <c r="J740">
        <v>4</v>
      </c>
    </row>
    <row r="741" spans="1:10" x14ac:dyDescent="0.45">
      <c r="A741" s="2">
        <v>44198</v>
      </c>
      <c r="B741">
        <v>1</v>
      </c>
      <c r="C741">
        <v>2021</v>
      </c>
      <c r="D741" t="s">
        <v>93</v>
      </c>
      <c r="E741">
        <v>1</v>
      </c>
      <c r="H741" s="2">
        <v>44989</v>
      </c>
      <c r="I741" t="s">
        <v>93</v>
      </c>
      <c r="J741">
        <v>1</v>
      </c>
    </row>
    <row r="742" spans="1:10" x14ac:dyDescent="0.45">
      <c r="A742" s="2">
        <v>44197</v>
      </c>
      <c r="B742">
        <v>1</v>
      </c>
      <c r="C742">
        <v>2021</v>
      </c>
      <c r="D742" t="s">
        <v>129</v>
      </c>
      <c r="E742">
        <v>1</v>
      </c>
      <c r="H742" s="2">
        <v>44990</v>
      </c>
      <c r="I742" t="s">
        <v>35</v>
      </c>
      <c r="J742">
        <v>5</v>
      </c>
    </row>
    <row r="743" spans="1:10" x14ac:dyDescent="0.45">
      <c r="A743" s="2">
        <v>44195</v>
      </c>
      <c r="B743">
        <v>12</v>
      </c>
      <c r="C743">
        <v>2020</v>
      </c>
      <c r="D743" t="s">
        <v>93</v>
      </c>
      <c r="E743">
        <v>2</v>
      </c>
      <c r="H743" s="2">
        <v>44993</v>
      </c>
      <c r="I743" t="s">
        <v>85</v>
      </c>
      <c r="J743">
        <v>2</v>
      </c>
    </row>
    <row r="744" spans="1:10" x14ac:dyDescent="0.45">
      <c r="A744" s="2">
        <v>44188</v>
      </c>
      <c r="B744">
        <v>12</v>
      </c>
      <c r="C744">
        <v>2020</v>
      </c>
      <c r="D744" t="s">
        <v>85</v>
      </c>
      <c r="E744">
        <v>5</v>
      </c>
      <c r="H744" s="2">
        <v>44995</v>
      </c>
      <c r="I744" t="s">
        <v>85</v>
      </c>
      <c r="J744">
        <v>3</v>
      </c>
    </row>
    <row r="745" spans="1:10" x14ac:dyDescent="0.45">
      <c r="A745" s="2">
        <v>44185</v>
      </c>
      <c r="B745">
        <v>12</v>
      </c>
      <c r="C745">
        <v>2020</v>
      </c>
      <c r="D745" t="s">
        <v>129</v>
      </c>
      <c r="E745">
        <v>1</v>
      </c>
      <c r="H745" s="2">
        <v>44995</v>
      </c>
      <c r="I745" t="s">
        <v>24</v>
      </c>
      <c r="J745">
        <v>4</v>
      </c>
    </row>
    <row r="746" spans="1:10" x14ac:dyDescent="0.45">
      <c r="A746" s="2">
        <v>44183</v>
      </c>
      <c r="B746">
        <v>12</v>
      </c>
      <c r="C746">
        <v>2020</v>
      </c>
      <c r="D746" t="s">
        <v>73</v>
      </c>
      <c r="E746">
        <v>5</v>
      </c>
      <c r="H746" s="2">
        <v>44995</v>
      </c>
      <c r="I746" t="s">
        <v>172</v>
      </c>
      <c r="J746">
        <v>1</v>
      </c>
    </row>
    <row r="747" spans="1:10" x14ac:dyDescent="0.45">
      <c r="A747" s="2">
        <v>44183</v>
      </c>
      <c r="B747">
        <v>12</v>
      </c>
      <c r="C747">
        <v>2020</v>
      </c>
      <c r="D747" t="s">
        <v>73</v>
      </c>
      <c r="E747">
        <v>4</v>
      </c>
      <c r="H747" s="2">
        <v>44998</v>
      </c>
      <c r="I747" t="s">
        <v>93</v>
      </c>
      <c r="J747">
        <v>1</v>
      </c>
    </row>
    <row r="748" spans="1:10" x14ac:dyDescent="0.45">
      <c r="A748" s="2">
        <v>44183</v>
      </c>
      <c r="B748">
        <v>12</v>
      </c>
      <c r="C748">
        <v>2020</v>
      </c>
      <c r="D748" t="s">
        <v>85</v>
      </c>
      <c r="E748">
        <v>3</v>
      </c>
      <c r="H748" s="2">
        <v>44998</v>
      </c>
      <c r="I748" t="s">
        <v>24</v>
      </c>
      <c r="J748">
        <v>3</v>
      </c>
    </row>
    <row r="749" spans="1:10" x14ac:dyDescent="0.45">
      <c r="A749" s="2">
        <v>44181</v>
      </c>
      <c r="B749">
        <v>12</v>
      </c>
      <c r="C749">
        <v>2020</v>
      </c>
      <c r="D749" t="s">
        <v>172</v>
      </c>
      <c r="E749">
        <v>3</v>
      </c>
      <c r="H749" s="2">
        <v>44998</v>
      </c>
      <c r="I749" t="s">
        <v>172</v>
      </c>
      <c r="J749">
        <v>4</v>
      </c>
    </row>
    <row r="750" spans="1:10" x14ac:dyDescent="0.45">
      <c r="A750" s="2">
        <v>44180</v>
      </c>
      <c r="B750">
        <v>12</v>
      </c>
      <c r="C750">
        <v>2020</v>
      </c>
      <c r="D750" t="s">
        <v>85</v>
      </c>
      <c r="E750">
        <v>1</v>
      </c>
      <c r="H750" s="2">
        <v>45001</v>
      </c>
      <c r="I750" t="s">
        <v>52</v>
      </c>
      <c r="J750">
        <v>3</v>
      </c>
    </row>
    <row r="751" spans="1:10" x14ac:dyDescent="0.45">
      <c r="A751" s="2">
        <v>44180</v>
      </c>
      <c r="B751">
        <v>12</v>
      </c>
      <c r="C751">
        <v>2020</v>
      </c>
      <c r="D751" t="s">
        <v>35</v>
      </c>
      <c r="E751">
        <v>1</v>
      </c>
      <c r="H751" s="2">
        <v>45002</v>
      </c>
      <c r="I751" t="s">
        <v>24</v>
      </c>
      <c r="J751">
        <v>3</v>
      </c>
    </row>
    <row r="752" spans="1:10" x14ac:dyDescent="0.45">
      <c r="A752" s="2">
        <v>44176</v>
      </c>
      <c r="B752">
        <v>12</v>
      </c>
      <c r="C752">
        <v>2020</v>
      </c>
      <c r="D752" t="s">
        <v>24</v>
      </c>
      <c r="E752">
        <v>3</v>
      </c>
      <c r="H752" s="2">
        <v>45004</v>
      </c>
      <c r="I752" t="s">
        <v>129</v>
      </c>
      <c r="J752">
        <v>5</v>
      </c>
    </row>
    <row r="753" spans="1:10" x14ac:dyDescent="0.45">
      <c r="A753" s="2">
        <v>44173</v>
      </c>
      <c r="B753">
        <v>12</v>
      </c>
      <c r="C753">
        <v>2020</v>
      </c>
      <c r="D753" t="s">
        <v>93</v>
      </c>
      <c r="E753">
        <v>3</v>
      </c>
      <c r="H753" s="2">
        <v>45006</v>
      </c>
      <c r="I753" t="s">
        <v>129</v>
      </c>
      <c r="J753">
        <v>5</v>
      </c>
    </row>
    <row r="754" spans="1:10" x14ac:dyDescent="0.45">
      <c r="A754" s="2">
        <v>44170</v>
      </c>
      <c r="B754">
        <v>12</v>
      </c>
      <c r="C754">
        <v>2020</v>
      </c>
      <c r="D754" t="s">
        <v>73</v>
      </c>
      <c r="E754">
        <v>3</v>
      </c>
      <c r="H754" s="2">
        <v>45008</v>
      </c>
      <c r="I754" t="s">
        <v>172</v>
      </c>
      <c r="J754">
        <v>5</v>
      </c>
    </row>
    <row r="755" spans="1:10" x14ac:dyDescent="0.45">
      <c r="A755" s="2">
        <v>44169</v>
      </c>
      <c r="B755">
        <v>12</v>
      </c>
      <c r="C755">
        <v>2020</v>
      </c>
      <c r="D755" t="s">
        <v>73</v>
      </c>
      <c r="E755">
        <v>5</v>
      </c>
      <c r="H755" s="2">
        <v>45010</v>
      </c>
      <c r="I755" t="s">
        <v>172</v>
      </c>
      <c r="J755">
        <v>3</v>
      </c>
    </row>
    <row r="756" spans="1:10" x14ac:dyDescent="0.45">
      <c r="A756" s="2">
        <v>44168</v>
      </c>
      <c r="B756">
        <v>12</v>
      </c>
      <c r="C756">
        <v>2020</v>
      </c>
      <c r="D756" t="s">
        <v>52</v>
      </c>
      <c r="E756">
        <v>4</v>
      </c>
      <c r="H756" s="2">
        <v>45011</v>
      </c>
      <c r="I756" t="s">
        <v>129</v>
      </c>
      <c r="J756">
        <v>3</v>
      </c>
    </row>
    <row r="757" spans="1:10" x14ac:dyDescent="0.45">
      <c r="A757" s="2">
        <v>44167</v>
      </c>
      <c r="B757">
        <v>12</v>
      </c>
      <c r="C757">
        <v>2020</v>
      </c>
      <c r="D757" t="s">
        <v>35</v>
      </c>
      <c r="E757">
        <v>1</v>
      </c>
      <c r="H757" s="2">
        <v>45012</v>
      </c>
      <c r="I757" t="s">
        <v>85</v>
      </c>
      <c r="J757">
        <v>5</v>
      </c>
    </row>
    <row r="758" spans="1:10" x14ac:dyDescent="0.45">
      <c r="A758" s="2">
        <v>44167</v>
      </c>
      <c r="B758">
        <v>12</v>
      </c>
      <c r="C758">
        <v>2020</v>
      </c>
      <c r="D758" t="s">
        <v>63</v>
      </c>
      <c r="E758">
        <v>4</v>
      </c>
      <c r="H758" s="2">
        <v>45014</v>
      </c>
      <c r="I758" t="s">
        <v>52</v>
      </c>
      <c r="J758">
        <v>5</v>
      </c>
    </row>
    <row r="759" spans="1:10" x14ac:dyDescent="0.45">
      <c r="A759" s="2">
        <v>44167</v>
      </c>
      <c r="B759">
        <v>12</v>
      </c>
      <c r="C759">
        <v>2020</v>
      </c>
      <c r="D759" t="s">
        <v>172</v>
      </c>
      <c r="E759">
        <v>2</v>
      </c>
      <c r="H759" s="2">
        <v>45017</v>
      </c>
      <c r="I759" t="s">
        <v>35</v>
      </c>
      <c r="J759">
        <v>2</v>
      </c>
    </row>
    <row r="760" spans="1:10" x14ac:dyDescent="0.45">
      <c r="A760" s="2">
        <v>44166</v>
      </c>
      <c r="B760">
        <v>12</v>
      </c>
      <c r="C760">
        <v>2020</v>
      </c>
      <c r="D760" t="s">
        <v>85</v>
      </c>
      <c r="E760">
        <v>1</v>
      </c>
      <c r="H760" s="2">
        <v>45017</v>
      </c>
      <c r="I760" t="s">
        <v>172</v>
      </c>
      <c r="J760">
        <v>5</v>
      </c>
    </row>
    <row r="761" spans="1:10" x14ac:dyDescent="0.45">
      <c r="A761" s="2">
        <v>44166</v>
      </c>
      <c r="B761">
        <v>12</v>
      </c>
      <c r="C761">
        <v>2020</v>
      </c>
      <c r="D761" t="s">
        <v>129</v>
      </c>
      <c r="E761">
        <v>1</v>
      </c>
      <c r="H761" s="2">
        <v>45018</v>
      </c>
      <c r="I761" t="s">
        <v>85</v>
      </c>
      <c r="J761">
        <v>1</v>
      </c>
    </row>
    <row r="762" spans="1:10" x14ac:dyDescent="0.45">
      <c r="A762" s="2">
        <v>44163</v>
      </c>
      <c r="B762">
        <v>11</v>
      </c>
      <c r="C762">
        <v>2020</v>
      </c>
      <c r="D762" t="s">
        <v>24</v>
      </c>
      <c r="E762">
        <v>5</v>
      </c>
      <c r="H762" s="2">
        <v>45019</v>
      </c>
      <c r="I762" t="s">
        <v>129</v>
      </c>
      <c r="J762">
        <v>1</v>
      </c>
    </row>
    <row r="763" spans="1:10" x14ac:dyDescent="0.45">
      <c r="A763" s="2">
        <v>44163</v>
      </c>
      <c r="B763">
        <v>11</v>
      </c>
      <c r="C763">
        <v>2020</v>
      </c>
      <c r="D763" t="s">
        <v>172</v>
      </c>
      <c r="E763">
        <v>1</v>
      </c>
      <c r="H763" s="2">
        <v>45021</v>
      </c>
      <c r="I763" t="s">
        <v>52</v>
      </c>
      <c r="J763">
        <v>2</v>
      </c>
    </row>
    <row r="764" spans="1:10" x14ac:dyDescent="0.45">
      <c r="A764" s="2">
        <v>44161</v>
      </c>
      <c r="B764">
        <v>11</v>
      </c>
      <c r="C764">
        <v>2020</v>
      </c>
      <c r="D764" t="s">
        <v>52</v>
      </c>
      <c r="E764">
        <v>5</v>
      </c>
      <c r="H764" s="2">
        <v>45021</v>
      </c>
      <c r="I764" t="s">
        <v>35</v>
      </c>
      <c r="J764">
        <v>1</v>
      </c>
    </row>
    <row r="765" spans="1:10" x14ac:dyDescent="0.45">
      <c r="A765" s="2">
        <v>44154</v>
      </c>
      <c r="B765">
        <v>11</v>
      </c>
      <c r="C765">
        <v>2020</v>
      </c>
      <c r="D765" t="s">
        <v>172</v>
      </c>
      <c r="E765">
        <v>1</v>
      </c>
      <c r="H765" s="2">
        <v>45021</v>
      </c>
      <c r="I765" t="s">
        <v>63</v>
      </c>
      <c r="J765">
        <v>4</v>
      </c>
    </row>
    <row r="766" spans="1:10" x14ac:dyDescent="0.45">
      <c r="A766" s="2">
        <v>44153</v>
      </c>
      <c r="B766">
        <v>11</v>
      </c>
      <c r="C766">
        <v>2020</v>
      </c>
      <c r="D766" t="s">
        <v>85</v>
      </c>
      <c r="E766">
        <v>1</v>
      </c>
      <c r="H766" s="2">
        <v>45022</v>
      </c>
      <c r="I766" t="s">
        <v>73</v>
      </c>
      <c r="J766">
        <v>1</v>
      </c>
    </row>
    <row r="767" spans="1:10" x14ac:dyDescent="0.45">
      <c r="A767" s="2">
        <v>44152</v>
      </c>
      <c r="B767">
        <v>11</v>
      </c>
      <c r="C767">
        <v>2020</v>
      </c>
      <c r="D767" t="s">
        <v>85</v>
      </c>
      <c r="E767">
        <v>2</v>
      </c>
      <c r="H767" s="2">
        <v>45024</v>
      </c>
      <c r="I767" t="s">
        <v>85</v>
      </c>
      <c r="J767">
        <v>5</v>
      </c>
    </row>
    <row r="768" spans="1:10" x14ac:dyDescent="0.45">
      <c r="A768" s="2">
        <v>44150</v>
      </c>
      <c r="B768">
        <v>11</v>
      </c>
      <c r="C768">
        <v>2020</v>
      </c>
      <c r="D768" t="s">
        <v>93</v>
      </c>
      <c r="E768">
        <v>2</v>
      </c>
      <c r="H768" s="2">
        <v>45024</v>
      </c>
      <c r="I768" t="s">
        <v>93</v>
      </c>
      <c r="J768">
        <v>5</v>
      </c>
    </row>
    <row r="769" spans="1:10" x14ac:dyDescent="0.45">
      <c r="A769" s="2">
        <v>44149</v>
      </c>
      <c r="B769">
        <v>11</v>
      </c>
      <c r="C769">
        <v>2020</v>
      </c>
      <c r="D769" t="s">
        <v>93</v>
      </c>
      <c r="E769">
        <v>4</v>
      </c>
      <c r="H769" s="2">
        <v>45025</v>
      </c>
      <c r="I769" t="s">
        <v>35</v>
      </c>
      <c r="J769">
        <v>4</v>
      </c>
    </row>
    <row r="770" spans="1:10" x14ac:dyDescent="0.45">
      <c r="A770" s="2">
        <v>44148</v>
      </c>
      <c r="B770">
        <v>11</v>
      </c>
      <c r="C770">
        <v>2020</v>
      </c>
      <c r="D770" t="s">
        <v>85</v>
      </c>
      <c r="E770">
        <v>1</v>
      </c>
      <c r="H770" s="2">
        <v>45030</v>
      </c>
      <c r="I770" t="s">
        <v>35</v>
      </c>
      <c r="J770">
        <v>2</v>
      </c>
    </row>
    <row r="771" spans="1:10" x14ac:dyDescent="0.45">
      <c r="A771" s="2">
        <v>44148</v>
      </c>
      <c r="B771">
        <v>11</v>
      </c>
      <c r="C771">
        <v>2020</v>
      </c>
      <c r="D771" t="s">
        <v>73</v>
      </c>
      <c r="E771">
        <v>5</v>
      </c>
      <c r="H771" s="2">
        <v>45034</v>
      </c>
      <c r="I771" t="s">
        <v>85</v>
      </c>
      <c r="J771">
        <v>4</v>
      </c>
    </row>
    <row r="772" spans="1:10" x14ac:dyDescent="0.45">
      <c r="A772" s="2">
        <v>44147</v>
      </c>
      <c r="B772">
        <v>11</v>
      </c>
      <c r="C772">
        <v>2020</v>
      </c>
      <c r="D772" t="s">
        <v>172</v>
      </c>
      <c r="E772">
        <v>1</v>
      </c>
      <c r="H772" s="2">
        <v>45036</v>
      </c>
      <c r="I772" t="s">
        <v>73</v>
      </c>
      <c r="J772">
        <v>4</v>
      </c>
    </row>
    <row r="773" spans="1:10" x14ac:dyDescent="0.45">
      <c r="A773" s="2">
        <v>44145</v>
      </c>
      <c r="B773">
        <v>11</v>
      </c>
      <c r="C773">
        <v>2020</v>
      </c>
      <c r="D773" t="s">
        <v>35</v>
      </c>
      <c r="E773">
        <v>1</v>
      </c>
      <c r="H773" s="2">
        <v>45037</v>
      </c>
      <c r="I773" t="s">
        <v>73</v>
      </c>
      <c r="J773">
        <v>3</v>
      </c>
    </row>
    <row r="774" spans="1:10" x14ac:dyDescent="0.45">
      <c r="A774" s="2">
        <v>44144</v>
      </c>
      <c r="B774">
        <v>11</v>
      </c>
      <c r="C774">
        <v>2020</v>
      </c>
      <c r="D774" t="s">
        <v>129</v>
      </c>
      <c r="E774">
        <v>2</v>
      </c>
      <c r="H774" s="2">
        <v>45039</v>
      </c>
      <c r="I774" t="s">
        <v>85</v>
      </c>
      <c r="J774">
        <v>5</v>
      </c>
    </row>
    <row r="775" spans="1:10" x14ac:dyDescent="0.45">
      <c r="A775" s="2">
        <v>44144</v>
      </c>
      <c r="B775">
        <v>11</v>
      </c>
      <c r="C775">
        <v>2020</v>
      </c>
      <c r="D775" t="s">
        <v>93</v>
      </c>
      <c r="E775">
        <v>3</v>
      </c>
      <c r="H775" s="2">
        <v>45039</v>
      </c>
      <c r="I775" t="s">
        <v>52</v>
      </c>
      <c r="J775">
        <v>1</v>
      </c>
    </row>
    <row r="776" spans="1:10" x14ac:dyDescent="0.45">
      <c r="A776" s="2">
        <v>44143</v>
      </c>
      <c r="B776">
        <v>11</v>
      </c>
      <c r="C776">
        <v>2020</v>
      </c>
      <c r="D776" t="s">
        <v>85</v>
      </c>
      <c r="E776">
        <v>2</v>
      </c>
      <c r="H776" s="2">
        <v>45040</v>
      </c>
      <c r="I776" t="s">
        <v>129</v>
      </c>
      <c r="J776">
        <v>4</v>
      </c>
    </row>
    <row r="777" spans="1:10" x14ac:dyDescent="0.45">
      <c r="A777" s="2">
        <v>44141</v>
      </c>
      <c r="B777">
        <v>11</v>
      </c>
      <c r="C777">
        <v>2020</v>
      </c>
      <c r="D777" t="s">
        <v>129</v>
      </c>
      <c r="E777">
        <v>4</v>
      </c>
      <c r="H777" s="2">
        <v>45040</v>
      </c>
      <c r="I777" t="s">
        <v>52</v>
      </c>
      <c r="J777">
        <v>4</v>
      </c>
    </row>
    <row r="778" spans="1:10" x14ac:dyDescent="0.45">
      <c r="A778" s="2">
        <v>44139</v>
      </c>
      <c r="B778">
        <v>11</v>
      </c>
      <c r="C778">
        <v>2020</v>
      </c>
      <c r="D778" t="s">
        <v>63</v>
      </c>
      <c r="E778">
        <v>4</v>
      </c>
      <c r="H778" s="2">
        <v>45042</v>
      </c>
      <c r="I778" t="s">
        <v>172</v>
      </c>
      <c r="J778">
        <v>3</v>
      </c>
    </row>
    <row r="779" spans="1:10" x14ac:dyDescent="0.45">
      <c r="A779" s="2">
        <v>44139</v>
      </c>
      <c r="B779">
        <v>11</v>
      </c>
      <c r="C779">
        <v>2020</v>
      </c>
      <c r="D779" t="s">
        <v>85</v>
      </c>
      <c r="E779">
        <v>2</v>
      </c>
      <c r="H779" s="2">
        <v>45044</v>
      </c>
      <c r="I779" t="s">
        <v>73</v>
      </c>
      <c r="J779">
        <v>1</v>
      </c>
    </row>
    <row r="780" spans="1:10" x14ac:dyDescent="0.45">
      <c r="A780" s="2">
        <v>44137</v>
      </c>
      <c r="B780">
        <v>11</v>
      </c>
      <c r="C780">
        <v>2020</v>
      </c>
      <c r="D780" t="s">
        <v>129</v>
      </c>
      <c r="E780">
        <v>1</v>
      </c>
      <c r="H780" s="2">
        <v>45044</v>
      </c>
      <c r="I780" t="s">
        <v>35</v>
      </c>
      <c r="J780">
        <v>5</v>
      </c>
    </row>
    <row r="781" spans="1:10" x14ac:dyDescent="0.45">
      <c r="A781" s="2">
        <v>44137</v>
      </c>
      <c r="B781">
        <v>11</v>
      </c>
      <c r="C781">
        <v>2020</v>
      </c>
      <c r="D781" t="s">
        <v>129</v>
      </c>
      <c r="E781">
        <v>4</v>
      </c>
      <c r="H781" s="2">
        <v>45045</v>
      </c>
      <c r="I781" t="s">
        <v>73</v>
      </c>
      <c r="J781">
        <v>9</v>
      </c>
    </row>
    <row r="782" spans="1:10" x14ac:dyDescent="0.45">
      <c r="A782" s="2">
        <v>44134</v>
      </c>
      <c r="B782">
        <v>10</v>
      </c>
      <c r="C782">
        <v>2020</v>
      </c>
      <c r="D782" t="s">
        <v>85</v>
      </c>
      <c r="E782">
        <v>1</v>
      </c>
      <c r="H782" s="2">
        <v>45047</v>
      </c>
      <c r="I782" t="s">
        <v>63</v>
      </c>
      <c r="J782">
        <v>4</v>
      </c>
    </row>
    <row r="783" spans="1:10" x14ac:dyDescent="0.45">
      <c r="A783" s="2">
        <v>44133</v>
      </c>
      <c r="B783">
        <v>10</v>
      </c>
      <c r="C783">
        <v>2020</v>
      </c>
      <c r="D783" t="s">
        <v>24</v>
      </c>
      <c r="E783">
        <v>1</v>
      </c>
      <c r="H783" s="2">
        <v>45048</v>
      </c>
      <c r="I783" t="s">
        <v>85</v>
      </c>
      <c r="J783">
        <v>2</v>
      </c>
    </row>
    <row r="784" spans="1:10" x14ac:dyDescent="0.45">
      <c r="A784" s="2">
        <v>44131</v>
      </c>
      <c r="B784">
        <v>10</v>
      </c>
      <c r="C784">
        <v>2020</v>
      </c>
      <c r="D784" t="s">
        <v>85</v>
      </c>
      <c r="E784">
        <v>4</v>
      </c>
      <c r="H784" s="2">
        <v>45052</v>
      </c>
      <c r="I784" t="s">
        <v>73</v>
      </c>
      <c r="J784">
        <v>5</v>
      </c>
    </row>
    <row r="785" spans="1:10" x14ac:dyDescent="0.45">
      <c r="A785" s="2">
        <v>44128</v>
      </c>
      <c r="B785">
        <v>10</v>
      </c>
      <c r="C785">
        <v>2020</v>
      </c>
      <c r="D785" t="s">
        <v>24</v>
      </c>
      <c r="E785">
        <v>4</v>
      </c>
      <c r="H785" s="2">
        <v>45052</v>
      </c>
      <c r="I785" t="s">
        <v>172</v>
      </c>
      <c r="J785">
        <v>8</v>
      </c>
    </row>
    <row r="786" spans="1:10" x14ac:dyDescent="0.45">
      <c r="A786" s="2">
        <v>44126</v>
      </c>
      <c r="B786">
        <v>10</v>
      </c>
      <c r="C786">
        <v>2020</v>
      </c>
      <c r="D786" t="s">
        <v>129</v>
      </c>
      <c r="E786">
        <v>4</v>
      </c>
      <c r="H786" s="2">
        <v>45054</v>
      </c>
      <c r="I786" t="s">
        <v>93</v>
      </c>
      <c r="J786">
        <v>2</v>
      </c>
    </row>
    <row r="787" spans="1:10" x14ac:dyDescent="0.45">
      <c r="A787" s="2">
        <v>44125</v>
      </c>
      <c r="B787">
        <v>10</v>
      </c>
      <c r="C787">
        <v>2020</v>
      </c>
      <c r="D787" t="s">
        <v>129</v>
      </c>
      <c r="E787">
        <v>5</v>
      </c>
      <c r="H787" s="2">
        <v>45055</v>
      </c>
      <c r="I787" t="s">
        <v>73</v>
      </c>
      <c r="J787">
        <v>4</v>
      </c>
    </row>
    <row r="788" spans="1:10" x14ac:dyDescent="0.45">
      <c r="A788" s="2">
        <v>44125</v>
      </c>
      <c r="B788">
        <v>10</v>
      </c>
      <c r="C788">
        <v>2020</v>
      </c>
      <c r="D788" t="s">
        <v>93</v>
      </c>
      <c r="E788">
        <v>3</v>
      </c>
      <c r="H788" s="2">
        <v>45057</v>
      </c>
      <c r="I788" t="s">
        <v>129</v>
      </c>
      <c r="J788">
        <v>4</v>
      </c>
    </row>
    <row r="789" spans="1:10" x14ac:dyDescent="0.45">
      <c r="A789" s="2">
        <v>44124</v>
      </c>
      <c r="B789">
        <v>10</v>
      </c>
      <c r="C789">
        <v>2020</v>
      </c>
      <c r="D789" t="s">
        <v>35</v>
      </c>
      <c r="E789">
        <v>3</v>
      </c>
      <c r="H789" s="2">
        <v>45059</v>
      </c>
      <c r="I789" t="s">
        <v>73</v>
      </c>
      <c r="J789">
        <v>4</v>
      </c>
    </row>
    <row r="790" spans="1:10" x14ac:dyDescent="0.45">
      <c r="A790" s="2">
        <v>44123</v>
      </c>
      <c r="B790">
        <v>10</v>
      </c>
      <c r="C790">
        <v>2020</v>
      </c>
      <c r="D790" t="s">
        <v>85</v>
      </c>
      <c r="E790">
        <v>2</v>
      </c>
      <c r="H790" s="2">
        <v>45062</v>
      </c>
      <c r="I790" t="s">
        <v>129</v>
      </c>
      <c r="J790">
        <v>3</v>
      </c>
    </row>
    <row r="791" spans="1:10" x14ac:dyDescent="0.45">
      <c r="A791" s="2">
        <v>44122</v>
      </c>
      <c r="B791">
        <v>10</v>
      </c>
      <c r="C791">
        <v>2020</v>
      </c>
      <c r="D791" t="s">
        <v>63</v>
      </c>
      <c r="E791">
        <v>4</v>
      </c>
      <c r="H791" s="2">
        <v>45065</v>
      </c>
      <c r="I791" t="s">
        <v>129</v>
      </c>
      <c r="J791">
        <v>3</v>
      </c>
    </row>
    <row r="792" spans="1:10" x14ac:dyDescent="0.45">
      <c r="A792" s="2">
        <v>44122</v>
      </c>
      <c r="B792">
        <v>10</v>
      </c>
      <c r="C792">
        <v>2020</v>
      </c>
      <c r="D792" t="s">
        <v>129</v>
      </c>
      <c r="E792">
        <v>4</v>
      </c>
      <c r="H792" s="2">
        <v>45066</v>
      </c>
      <c r="I792" t="s">
        <v>63</v>
      </c>
      <c r="J792">
        <v>5</v>
      </c>
    </row>
    <row r="793" spans="1:10" x14ac:dyDescent="0.45">
      <c r="A793" s="2">
        <v>44122</v>
      </c>
      <c r="B793">
        <v>10</v>
      </c>
      <c r="C793">
        <v>2020</v>
      </c>
      <c r="D793" t="s">
        <v>73</v>
      </c>
      <c r="E793">
        <v>1</v>
      </c>
      <c r="H793" s="2">
        <v>45067</v>
      </c>
      <c r="I793" t="s">
        <v>129</v>
      </c>
      <c r="J793">
        <v>3</v>
      </c>
    </row>
    <row r="794" spans="1:10" x14ac:dyDescent="0.45">
      <c r="A794" s="2">
        <v>44120</v>
      </c>
      <c r="B794">
        <v>10</v>
      </c>
      <c r="C794">
        <v>2020</v>
      </c>
      <c r="D794" t="s">
        <v>129</v>
      </c>
      <c r="E794">
        <v>4</v>
      </c>
      <c r="H794" s="2">
        <v>45067</v>
      </c>
      <c r="I794" t="s">
        <v>172</v>
      </c>
      <c r="J794">
        <v>3</v>
      </c>
    </row>
    <row r="795" spans="1:10" x14ac:dyDescent="0.45">
      <c r="A795" s="2">
        <v>44118</v>
      </c>
      <c r="B795">
        <v>10</v>
      </c>
      <c r="C795">
        <v>2020</v>
      </c>
      <c r="D795" t="s">
        <v>129</v>
      </c>
      <c r="E795">
        <v>1</v>
      </c>
      <c r="H795" s="2">
        <v>45070</v>
      </c>
      <c r="I795" t="s">
        <v>93</v>
      </c>
      <c r="J795">
        <v>4</v>
      </c>
    </row>
    <row r="796" spans="1:10" x14ac:dyDescent="0.45">
      <c r="A796" s="2">
        <v>44117</v>
      </c>
      <c r="B796">
        <v>10</v>
      </c>
      <c r="C796">
        <v>2020</v>
      </c>
      <c r="D796" t="s">
        <v>172</v>
      </c>
      <c r="E796">
        <v>1</v>
      </c>
      <c r="H796" s="2">
        <v>45072</v>
      </c>
      <c r="I796" t="s">
        <v>73</v>
      </c>
      <c r="J796">
        <v>5</v>
      </c>
    </row>
    <row r="797" spans="1:10" x14ac:dyDescent="0.45">
      <c r="A797" s="2">
        <v>44114</v>
      </c>
      <c r="B797">
        <v>10</v>
      </c>
      <c r="C797">
        <v>2020</v>
      </c>
      <c r="D797" t="s">
        <v>52</v>
      </c>
      <c r="E797">
        <v>2</v>
      </c>
      <c r="H797" s="2">
        <v>45075</v>
      </c>
      <c r="I797" t="s">
        <v>73</v>
      </c>
      <c r="J797">
        <v>3</v>
      </c>
    </row>
    <row r="798" spans="1:10" x14ac:dyDescent="0.45">
      <c r="A798" s="2">
        <v>44112</v>
      </c>
      <c r="B798">
        <v>10</v>
      </c>
      <c r="C798">
        <v>2020</v>
      </c>
      <c r="D798" t="s">
        <v>85</v>
      </c>
      <c r="E798">
        <v>1</v>
      </c>
      <c r="H798" s="2">
        <v>45075</v>
      </c>
      <c r="I798" t="s">
        <v>35</v>
      </c>
      <c r="J798">
        <v>2</v>
      </c>
    </row>
    <row r="799" spans="1:10" x14ac:dyDescent="0.45">
      <c r="A799" s="2">
        <v>44111</v>
      </c>
      <c r="B799">
        <v>10</v>
      </c>
      <c r="C799">
        <v>2020</v>
      </c>
      <c r="D799" t="s">
        <v>24</v>
      </c>
      <c r="E799">
        <v>2</v>
      </c>
      <c r="H799" s="2">
        <v>45078</v>
      </c>
      <c r="I799" t="s">
        <v>35</v>
      </c>
      <c r="J799">
        <v>3</v>
      </c>
    </row>
    <row r="800" spans="1:10" x14ac:dyDescent="0.45">
      <c r="A800" s="2">
        <v>44111</v>
      </c>
      <c r="B800">
        <v>10</v>
      </c>
      <c r="C800">
        <v>2020</v>
      </c>
      <c r="D800" t="s">
        <v>63</v>
      </c>
      <c r="E800">
        <v>5</v>
      </c>
      <c r="H800" s="2">
        <v>45079</v>
      </c>
      <c r="I800" t="s">
        <v>73</v>
      </c>
      <c r="J800">
        <v>5</v>
      </c>
    </row>
    <row r="801" spans="1:10" x14ac:dyDescent="0.45">
      <c r="A801" s="2">
        <v>44111</v>
      </c>
      <c r="B801">
        <v>10</v>
      </c>
      <c r="C801">
        <v>2020</v>
      </c>
      <c r="D801" t="s">
        <v>63</v>
      </c>
      <c r="E801">
        <v>5</v>
      </c>
      <c r="H801" s="2">
        <v>45079</v>
      </c>
      <c r="I801" t="s">
        <v>93</v>
      </c>
      <c r="J801">
        <v>3</v>
      </c>
    </row>
    <row r="802" spans="1:10" x14ac:dyDescent="0.45">
      <c r="A802" s="2">
        <v>44110</v>
      </c>
      <c r="B802">
        <v>10</v>
      </c>
      <c r="C802">
        <v>2020</v>
      </c>
      <c r="D802" t="s">
        <v>172</v>
      </c>
      <c r="E802">
        <v>4</v>
      </c>
      <c r="H802" s="2">
        <v>45080</v>
      </c>
      <c r="I802" t="s">
        <v>172</v>
      </c>
      <c r="J802">
        <v>3</v>
      </c>
    </row>
    <row r="803" spans="1:10" x14ac:dyDescent="0.45">
      <c r="A803" s="2">
        <v>44109</v>
      </c>
      <c r="B803">
        <v>10</v>
      </c>
      <c r="C803">
        <v>2020</v>
      </c>
      <c r="D803" t="s">
        <v>24</v>
      </c>
      <c r="E803">
        <v>4</v>
      </c>
      <c r="H803" s="2">
        <v>45082</v>
      </c>
      <c r="I803" t="s">
        <v>85</v>
      </c>
      <c r="J803">
        <v>2</v>
      </c>
    </row>
    <row r="804" spans="1:10" x14ac:dyDescent="0.45">
      <c r="A804" s="2">
        <v>44106</v>
      </c>
      <c r="B804">
        <v>10</v>
      </c>
      <c r="C804">
        <v>2020</v>
      </c>
      <c r="D804" t="s">
        <v>93</v>
      </c>
      <c r="E804">
        <v>1</v>
      </c>
      <c r="H804" s="2">
        <v>45085</v>
      </c>
      <c r="I804" t="s">
        <v>172</v>
      </c>
      <c r="J804">
        <v>2</v>
      </c>
    </row>
    <row r="805" spans="1:10" x14ac:dyDescent="0.45">
      <c r="A805" s="2">
        <v>44104</v>
      </c>
      <c r="B805">
        <v>9</v>
      </c>
      <c r="C805">
        <v>2020</v>
      </c>
      <c r="D805" t="s">
        <v>93</v>
      </c>
      <c r="E805">
        <v>1</v>
      </c>
      <c r="H805" s="2">
        <v>45086</v>
      </c>
      <c r="I805" t="s">
        <v>73</v>
      </c>
      <c r="J805">
        <v>2</v>
      </c>
    </row>
    <row r="806" spans="1:10" x14ac:dyDescent="0.45">
      <c r="A806" s="2">
        <v>44102</v>
      </c>
      <c r="B806">
        <v>9</v>
      </c>
      <c r="C806">
        <v>2020</v>
      </c>
      <c r="D806" t="s">
        <v>129</v>
      </c>
      <c r="E806">
        <v>5</v>
      </c>
      <c r="H806" s="2">
        <v>45087</v>
      </c>
      <c r="I806" t="s">
        <v>73</v>
      </c>
      <c r="J806">
        <v>3</v>
      </c>
    </row>
    <row r="807" spans="1:10" x14ac:dyDescent="0.45">
      <c r="A807" s="2">
        <v>44099</v>
      </c>
      <c r="B807">
        <v>9</v>
      </c>
      <c r="C807">
        <v>2020</v>
      </c>
      <c r="D807" t="s">
        <v>85</v>
      </c>
      <c r="E807">
        <v>2</v>
      </c>
      <c r="H807" s="2">
        <v>45089</v>
      </c>
      <c r="I807" t="s">
        <v>35</v>
      </c>
      <c r="J807">
        <v>4</v>
      </c>
    </row>
    <row r="808" spans="1:10" x14ac:dyDescent="0.45">
      <c r="A808" s="2">
        <v>44098</v>
      </c>
      <c r="B808">
        <v>9</v>
      </c>
      <c r="C808">
        <v>2020</v>
      </c>
      <c r="D808" t="s">
        <v>73</v>
      </c>
      <c r="E808">
        <v>2</v>
      </c>
      <c r="H808" s="2">
        <v>45090</v>
      </c>
      <c r="I808" t="s">
        <v>172</v>
      </c>
      <c r="J808">
        <v>5</v>
      </c>
    </row>
    <row r="809" spans="1:10" x14ac:dyDescent="0.45">
      <c r="A809" s="2">
        <v>44098</v>
      </c>
      <c r="B809">
        <v>9</v>
      </c>
      <c r="C809">
        <v>2020</v>
      </c>
      <c r="D809" t="s">
        <v>63</v>
      </c>
      <c r="E809">
        <v>5</v>
      </c>
      <c r="H809" s="2">
        <v>45092</v>
      </c>
      <c r="I809" t="s">
        <v>93</v>
      </c>
      <c r="J809">
        <v>2</v>
      </c>
    </row>
    <row r="810" spans="1:10" x14ac:dyDescent="0.45">
      <c r="A810" s="2">
        <v>44095</v>
      </c>
      <c r="B810">
        <v>9</v>
      </c>
      <c r="C810">
        <v>2020</v>
      </c>
      <c r="D810" t="s">
        <v>172</v>
      </c>
      <c r="E810">
        <v>4</v>
      </c>
      <c r="H810" s="2">
        <v>45092</v>
      </c>
      <c r="I810" t="s">
        <v>35</v>
      </c>
      <c r="J810">
        <v>4</v>
      </c>
    </row>
    <row r="811" spans="1:10" x14ac:dyDescent="0.45">
      <c r="A811" s="2">
        <v>44093</v>
      </c>
      <c r="B811">
        <v>9</v>
      </c>
      <c r="C811">
        <v>2020</v>
      </c>
      <c r="D811" t="s">
        <v>24</v>
      </c>
      <c r="E811">
        <v>3</v>
      </c>
      <c r="H811" s="2">
        <v>45093</v>
      </c>
      <c r="I811" t="s">
        <v>85</v>
      </c>
      <c r="J811">
        <v>4</v>
      </c>
    </row>
    <row r="812" spans="1:10" x14ac:dyDescent="0.45">
      <c r="A812" s="2">
        <v>44089</v>
      </c>
      <c r="B812">
        <v>9</v>
      </c>
      <c r="C812">
        <v>2020</v>
      </c>
      <c r="D812" t="s">
        <v>35</v>
      </c>
      <c r="E812">
        <v>2</v>
      </c>
      <c r="H812" s="2">
        <v>45095</v>
      </c>
      <c r="I812" t="s">
        <v>35</v>
      </c>
      <c r="J812">
        <v>3</v>
      </c>
    </row>
    <row r="813" spans="1:10" x14ac:dyDescent="0.45">
      <c r="A813" s="2">
        <v>44089</v>
      </c>
      <c r="B813">
        <v>9</v>
      </c>
      <c r="C813">
        <v>2020</v>
      </c>
      <c r="D813" t="s">
        <v>35</v>
      </c>
      <c r="E813">
        <v>2</v>
      </c>
      <c r="H813" s="2">
        <v>45098</v>
      </c>
      <c r="I813" t="s">
        <v>93</v>
      </c>
      <c r="J813">
        <v>3</v>
      </c>
    </row>
    <row r="814" spans="1:10" x14ac:dyDescent="0.45">
      <c r="A814" s="2">
        <v>44089</v>
      </c>
      <c r="B814">
        <v>9</v>
      </c>
      <c r="C814">
        <v>2020</v>
      </c>
      <c r="D814" t="s">
        <v>63</v>
      </c>
      <c r="E814">
        <v>4</v>
      </c>
      <c r="H814" s="2">
        <v>45102</v>
      </c>
      <c r="I814" t="s">
        <v>24</v>
      </c>
      <c r="J814">
        <v>5</v>
      </c>
    </row>
    <row r="815" spans="1:10" x14ac:dyDescent="0.45">
      <c r="A815" s="2">
        <v>44088</v>
      </c>
      <c r="B815">
        <v>9</v>
      </c>
      <c r="C815">
        <v>2020</v>
      </c>
      <c r="D815" t="s">
        <v>85</v>
      </c>
      <c r="E815">
        <v>2</v>
      </c>
      <c r="H815" s="2">
        <v>45103</v>
      </c>
      <c r="I815" t="s">
        <v>73</v>
      </c>
      <c r="J815">
        <v>1</v>
      </c>
    </row>
    <row r="816" spans="1:10" x14ac:dyDescent="0.45">
      <c r="A816" s="2">
        <v>44088</v>
      </c>
      <c r="B816">
        <v>9</v>
      </c>
      <c r="C816">
        <v>2020</v>
      </c>
      <c r="D816" t="s">
        <v>63</v>
      </c>
      <c r="E816">
        <v>4</v>
      </c>
      <c r="H816" s="2">
        <v>45103</v>
      </c>
      <c r="I816" t="s">
        <v>24</v>
      </c>
      <c r="J816">
        <v>5</v>
      </c>
    </row>
    <row r="817" spans="1:10" x14ac:dyDescent="0.45">
      <c r="A817" s="2">
        <v>44087</v>
      </c>
      <c r="B817">
        <v>9</v>
      </c>
      <c r="C817">
        <v>2020</v>
      </c>
      <c r="D817" t="s">
        <v>85</v>
      </c>
      <c r="E817">
        <v>3</v>
      </c>
      <c r="H817" s="2">
        <v>45104</v>
      </c>
      <c r="I817" t="s">
        <v>93</v>
      </c>
      <c r="J817">
        <v>2</v>
      </c>
    </row>
    <row r="818" spans="1:10" x14ac:dyDescent="0.45">
      <c r="A818" s="2">
        <v>44085</v>
      </c>
      <c r="B818">
        <v>9</v>
      </c>
      <c r="C818">
        <v>2020</v>
      </c>
      <c r="D818" t="s">
        <v>85</v>
      </c>
      <c r="E818">
        <v>4</v>
      </c>
      <c r="H818" s="2">
        <v>45104</v>
      </c>
      <c r="I818" t="s">
        <v>172</v>
      </c>
      <c r="J818">
        <v>5</v>
      </c>
    </row>
    <row r="819" spans="1:10" x14ac:dyDescent="0.45">
      <c r="A819" s="2">
        <v>44084</v>
      </c>
      <c r="B819">
        <v>9</v>
      </c>
      <c r="C819">
        <v>2020</v>
      </c>
      <c r="D819" t="s">
        <v>73</v>
      </c>
      <c r="E819">
        <v>4</v>
      </c>
      <c r="H819" s="2">
        <v>45108</v>
      </c>
      <c r="I819" t="s">
        <v>63</v>
      </c>
      <c r="J819">
        <v>2</v>
      </c>
    </row>
    <row r="820" spans="1:10" x14ac:dyDescent="0.45">
      <c r="A820" s="2">
        <v>44084</v>
      </c>
      <c r="B820">
        <v>9</v>
      </c>
      <c r="C820">
        <v>2020</v>
      </c>
      <c r="D820" t="s">
        <v>172</v>
      </c>
      <c r="E820">
        <v>2</v>
      </c>
      <c r="H820" s="2">
        <v>45110</v>
      </c>
      <c r="I820" t="s">
        <v>52</v>
      </c>
      <c r="J820">
        <v>2</v>
      </c>
    </row>
    <row r="821" spans="1:10" x14ac:dyDescent="0.45">
      <c r="A821" s="2">
        <v>44083</v>
      </c>
      <c r="B821">
        <v>9</v>
      </c>
      <c r="C821">
        <v>2020</v>
      </c>
      <c r="D821" t="s">
        <v>35</v>
      </c>
      <c r="E821">
        <v>4</v>
      </c>
      <c r="H821" s="2">
        <v>45114</v>
      </c>
      <c r="I821" t="s">
        <v>63</v>
      </c>
      <c r="J821">
        <v>5</v>
      </c>
    </row>
    <row r="822" spans="1:10" x14ac:dyDescent="0.45">
      <c r="A822" s="2">
        <v>44082</v>
      </c>
      <c r="B822">
        <v>9</v>
      </c>
      <c r="C822">
        <v>2020</v>
      </c>
      <c r="D822" t="s">
        <v>63</v>
      </c>
      <c r="E822">
        <v>5</v>
      </c>
      <c r="H822" s="2">
        <v>45115</v>
      </c>
      <c r="I822" t="s">
        <v>52</v>
      </c>
      <c r="J822">
        <v>5</v>
      </c>
    </row>
    <row r="823" spans="1:10" x14ac:dyDescent="0.45">
      <c r="A823" s="2">
        <v>44079</v>
      </c>
      <c r="B823">
        <v>9</v>
      </c>
      <c r="C823">
        <v>2020</v>
      </c>
      <c r="D823" t="s">
        <v>93</v>
      </c>
      <c r="E823">
        <v>3</v>
      </c>
      <c r="H823" s="2">
        <v>45116</v>
      </c>
      <c r="I823" t="s">
        <v>35</v>
      </c>
      <c r="J823">
        <v>1</v>
      </c>
    </row>
    <row r="824" spans="1:10" x14ac:dyDescent="0.45">
      <c r="A824" s="2">
        <v>44079</v>
      </c>
      <c r="B824">
        <v>9</v>
      </c>
      <c r="C824">
        <v>2020</v>
      </c>
      <c r="D824" t="s">
        <v>73</v>
      </c>
      <c r="E824">
        <v>1</v>
      </c>
      <c r="H824" s="2">
        <v>45116</v>
      </c>
      <c r="I824" t="s">
        <v>24</v>
      </c>
      <c r="J824">
        <v>1</v>
      </c>
    </row>
    <row r="825" spans="1:10" x14ac:dyDescent="0.45">
      <c r="A825" s="2">
        <v>44079</v>
      </c>
      <c r="B825">
        <v>9</v>
      </c>
      <c r="C825">
        <v>2020</v>
      </c>
      <c r="D825" t="s">
        <v>63</v>
      </c>
      <c r="E825">
        <v>2</v>
      </c>
      <c r="H825" s="2">
        <v>45117</v>
      </c>
      <c r="I825" t="s">
        <v>129</v>
      </c>
      <c r="J825">
        <v>4</v>
      </c>
    </row>
    <row r="826" spans="1:10" x14ac:dyDescent="0.45">
      <c r="A826" s="2">
        <v>44078</v>
      </c>
      <c r="B826">
        <v>9</v>
      </c>
      <c r="C826">
        <v>2020</v>
      </c>
      <c r="D826" t="s">
        <v>85</v>
      </c>
      <c r="E826">
        <v>3</v>
      </c>
      <c r="H826" s="2">
        <v>45118</v>
      </c>
      <c r="I826" t="s">
        <v>85</v>
      </c>
      <c r="J826">
        <v>5</v>
      </c>
    </row>
    <row r="827" spans="1:10" x14ac:dyDescent="0.45">
      <c r="A827" s="2">
        <v>44076</v>
      </c>
      <c r="B827">
        <v>9</v>
      </c>
      <c r="C827">
        <v>2020</v>
      </c>
      <c r="D827" t="s">
        <v>93</v>
      </c>
      <c r="E827">
        <v>4</v>
      </c>
      <c r="H827" s="2">
        <v>45119</v>
      </c>
      <c r="I827" t="s">
        <v>93</v>
      </c>
      <c r="J827">
        <v>3</v>
      </c>
    </row>
    <row r="828" spans="1:10" x14ac:dyDescent="0.45">
      <c r="A828" s="2">
        <v>44075</v>
      </c>
      <c r="B828">
        <v>9</v>
      </c>
      <c r="C828">
        <v>2020</v>
      </c>
      <c r="D828" t="s">
        <v>63</v>
      </c>
      <c r="E828">
        <v>3</v>
      </c>
      <c r="H828" s="2">
        <v>45120</v>
      </c>
      <c r="I828" t="s">
        <v>52</v>
      </c>
      <c r="J828">
        <v>1</v>
      </c>
    </row>
    <row r="829" spans="1:10" x14ac:dyDescent="0.45">
      <c r="A829" s="2">
        <v>44075</v>
      </c>
      <c r="B829">
        <v>9</v>
      </c>
      <c r="C829">
        <v>2020</v>
      </c>
      <c r="D829" t="s">
        <v>35</v>
      </c>
      <c r="E829">
        <v>2</v>
      </c>
      <c r="H829" s="2">
        <v>45121</v>
      </c>
      <c r="I829" t="s">
        <v>63</v>
      </c>
      <c r="J829">
        <v>2</v>
      </c>
    </row>
    <row r="830" spans="1:10" x14ac:dyDescent="0.45">
      <c r="A830" s="2">
        <v>44070</v>
      </c>
      <c r="B830">
        <v>8</v>
      </c>
      <c r="C830">
        <v>2020</v>
      </c>
      <c r="D830" t="s">
        <v>73</v>
      </c>
      <c r="E830">
        <v>1</v>
      </c>
      <c r="H830" s="2">
        <v>45122</v>
      </c>
      <c r="I830" t="s">
        <v>35</v>
      </c>
      <c r="J830">
        <v>5</v>
      </c>
    </row>
    <row r="831" spans="1:10" x14ac:dyDescent="0.45">
      <c r="A831" s="2">
        <v>44067</v>
      </c>
      <c r="B831">
        <v>8</v>
      </c>
      <c r="C831">
        <v>2020</v>
      </c>
      <c r="D831" t="s">
        <v>24</v>
      </c>
      <c r="E831">
        <v>1</v>
      </c>
      <c r="H831" s="2">
        <v>45124</v>
      </c>
      <c r="I831" t="s">
        <v>35</v>
      </c>
      <c r="J831">
        <v>1</v>
      </c>
    </row>
    <row r="832" spans="1:10" x14ac:dyDescent="0.45">
      <c r="A832" s="2">
        <v>44067</v>
      </c>
      <c r="B832">
        <v>8</v>
      </c>
      <c r="C832">
        <v>2020</v>
      </c>
      <c r="D832" t="s">
        <v>35</v>
      </c>
      <c r="E832">
        <v>3</v>
      </c>
      <c r="H832" s="2">
        <v>45125</v>
      </c>
      <c r="I832" t="s">
        <v>73</v>
      </c>
      <c r="J832">
        <v>2</v>
      </c>
    </row>
    <row r="833" spans="1:10" x14ac:dyDescent="0.45">
      <c r="A833" s="2">
        <v>44064</v>
      </c>
      <c r="B833">
        <v>8</v>
      </c>
      <c r="C833">
        <v>2020</v>
      </c>
      <c r="D833" t="s">
        <v>172</v>
      </c>
      <c r="E833">
        <v>1</v>
      </c>
      <c r="H833" s="2">
        <v>45126</v>
      </c>
      <c r="I833" t="s">
        <v>85</v>
      </c>
      <c r="J833">
        <v>2</v>
      </c>
    </row>
    <row r="834" spans="1:10" x14ac:dyDescent="0.45">
      <c r="A834" s="2">
        <v>44059</v>
      </c>
      <c r="B834">
        <v>8</v>
      </c>
      <c r="C834">
        <v>2020</v>
      </c>
      <c r="D834" t="s">
        <v>85</v>
      </c>
      <c r="E834">
        <v>4</v>
      </c>
      <c r="H834" s="2">
        <v>45126</v>
      </c>
      <c r="I834" t="s">
        <v>93</v>
      </c>
      <c r="J834">
        <v>2</v>
      </c>
    </row>
    <row r="835" spans="1:10" x14ac:dyDescent="0.45">
      <c r="A835" s="2">
        <v>44057</v>
      </c>
      <c r="B835">
        <v>8</v>
      </c>
      <c r="C835">
        <v>2020</v>
      </c>
      <c r="D835" t="s">
        <v>172</v>
      </c>
      <c r="E835">
        <v>5</v>
      </c>
      <c r="H835" s="2">
        <v>45126</v>
      </c>
      <c r="I835" t="s">
        <v>129</v>
      </c>
      <c r="J835">
        <v>2</v>
      </c>
    </row>
    <row r="836" spans="1:10" x14ac:dyDescent="0.45">
      <c r="A836" s="2">
        <v>44056</v>
      </c>
      <c r="B836">
        <v>8</v>
      </c>
      <c r="C836">
        <v>2020</v>
      </c>
      <c r="D836" t="s">
        <v>24</v>
      </c>
      <c r="E836">
        <v>1</v>
      </c>
      <c r="H836" s="2">
        <v>45126</v>
      </c>
      <c r="I836" t="s">
        <v>24</v>
      </c>
      <c r="J836">
        <v>1</v>
      </c>
    </row>
    <row r="837" spans="1:10" x14ac:dyDescent="0.45">
      <c r="A837" s="2">
        <v>44055</v>
      </c>
      <c r="B837">
        <v>8</v>
      </c>
      <c r="C837">
        <v>2020</v>
      </c>
      <c r="D837" t="s">
        <v>52</v>
      </c>
      <c r="E837">
        <v>1</v>
      </c>
      <c r="H837" s="2">
        <v>45128</v>
      </c>
      <c r="I837" t="s">
        <v>35</v>
      </c>
      <c r="J837">
        <v>5</v>
      </c>
    </row>
    <row r="838" spans="1:10" x14ac:dyDescent="0.45">
      <c r="A838" s="2">
        <v>44054</v>
      </c>
      <c r="B838">
        <v>8</v>
      </c>
      <c r="C838">
        <v>2020</v>
      </c>
      <c r="D838" t="s">
        <v>172</v>
      </c>
      <c r="E838">
        <v>1</v>
      </c>
      <c r="H838" s="2">
        <v>45130</v>
      </c>
      <c r="I838" t="s">
        <v>35</v>
      </c>
      <c r="J838">
        <v>3</v>
      </c>
    </row>
    <row r="839" spans="1:10" x14ac:dyDescent="0.45">
      <c r="A839" s="2">
        <v>44053</v>
      </c>
      <c r="B839">
        <v>8</v>
      </c>
      <c r="C839">
        <v>2020</v>
      </c>
      <c r="D839" t="s">
        <v>24</v>
      </c>
      <c r="E839">
        <v>4</v>
      </c>
      <c r="H839" s="2">
        <v>45133</v>
      </c>
      <c r="I839" t="s">
        <v>35</v>
      </c>
      <c r="J839">
        <v>3</v>
      </c>
    </row>
    <row r="840" spans="1:10" x14ac:dyDescent="0.45">
      <c r="A840" s="2">
        <v>44053</v>
      </c>
      <c r="B840">
        <v>8</v>
      </c>
      <c r="C840">
        <v>2020</v>
      </c>
      <c r="D840" t="s">
        <v>35</v>
      </c>
      <c r="E840">
        <v>3</v>
      </c>
      <c r="H840" s="2">
        <v>45136</v>
      </c>
      <c r="I840" t="s">
        <v>63</v>
      </c>
      <c r="J840">
        <v>2</v>
      </c>
    </row>
    <row r="841" spans="1:10" x14ac:dyDescent="0.45">
      <c r="A841" s="2">
        <v>44052</v>
      </c>
      <c r="B841">
        <v>8</v>
      </c>
      <c r="C841">
        <v>2020</v>
      </c>
      <c r="D841" t="s">
        <v>52</v>
      </c>
      <c r="E841">
        <v>2</v>
      </c>
      <c r="H841" s="2">
        <v>45137</v>
      </c>
      <c r="I841" t="s">
        <v>52</v>
      </c>
      <c r="J841">
        <v>3</v>
      </c>
    </row>
    <row r="842" spans="1:10" x14ac:dyDescent="0.45">
      <c r="A842" s="2">
        <v>44051</v>
      </c>
      <c r="B842">
        <v>8</v>
      </c>
      <c r="C842">
        <v>2020</v>
      </c>
      <c r="D842" t="s">
        <v>63</v>
      </c>
      <c r="E842">
        <v>4</v>
      </c>
      <c r="H842" s="2">
        <v>45139</v>
      </c>
      <c r="I842" t="s">
        <v>52</v>
      </c>
      <c r="J842">
        <v>2</v>
      </c>
    </row>
    <row r="843" spans="1:10" x14ac:dyDescent="0.45">
      <c r="A843" s="2">
        <v>44049</v>
      </c>
      <c r="B843">
        <v>8</v>
      </c>
      <c r="C843">
        <v>2020</v>
      </c>
      <c r="D843" t="s">
        <v>35</v>
      </c>
      <c r="E843">
        <v>4</v>
      </c>
      <c r="H843" s="2">
        <v>45141</v>
      </c>
      <c r="I843" t="s">
        <v>73</v>
      </c>
      <c r="J843">
        <v>3</v>
      </c>
    </row>
    <row r="844" spans="1:10" x14ac:dyDescent="0.45">
      <c r="A844" s="2">
        <v>44049</v>
      </c>
      <c r="B844">
        <v>8</v>
      </c>
      <c r="C844">
        <v>2020</v>
      </c>
      <c r="D844" t="s">
        <v>129</v>
      </c>
      <c r="E844">
        <v>4</v>
      </c>
      <c r="H844" s="2">
        <v>45144</v>
      </c>
      <c r="I844" t="s">
        <v>93</v>
      </c>
      <c r="J844">
        <v>4</v>
      </c>
    </row>
    <row r="845" spans="1:10" x14ac:dyDescent="0.45">
      <c r="A845" s="2">
        <v>44048</v>
      </c>
      <c r="B845">
        <v>8</v>
      </c>
      <c r="C845">
        <v>2020</v>
      </c>
      <c r="D845" t="s">
        <v>85</v>
      </c>
      <c r="E845">
        <v>2</v>
      </c>
      <c r="H845" s="2">
        <v>45144</v>
      </c>
      <c r="I845" t="s">
        <v>129</v>
      </c>
      <c r="J845">
        <v>3</v>
      </c>
    </row>
    <row r="846" spans="1:10" x14ac:dyDescent="0.45">
      <c r="A846" s="2">
        <v>44047</v>
      </c>
      <c r="B846">
        <v>8</v>
      </c>
      <c r="C846">
        <v>2020</v>
      </c>
      <c r="D846" t="s">
        <v>52</v>
      </c>
      <c r="E846">
        <v>4</v>
      </c>
      <c r="H846" s="2">
        <v>45145</v>
      </c>
      <c r="I846" t="s">
        <v>63</v>
      </c>
      <c r="J846">
        <v>5</v>
      </c>
    </row>
    <row r="847" spans="1:10" x14ac:dyDescent="0.45">
      <c r="A847" s="2">
        <v>44047</v>
      </c>
      <c r="B847">
        <v>8</v>
      </c>
      <c r="C847">
        <v>2020</v>
      </c>
      <c r="D847" t="s">
        <v>85</v>
      </c>
      <c r="E847">
        <v>1</v>
      </c>
      <c r="H847" s="2">
        <v>45147</v>
      </c>
      <c r="I847" t="s">
        <v>24</v>
      </c>
      <c r="J847">
        <v>2</v>
      </c>
    </row>
    <row r="848" spans="1:10" x14ac:dyDescent="0.45">
      <c r="A848" s="2">
        <v>44042</v>
      </c>
      <c r="B848">
        <v>7</v>
      </c>
      <c r="C848">
        <v>2020</v>
      </c>
      <c r="D848" t="s">
        <v>172</v>
      </c>
      <c r="E848">
        <v>3</v>
      </c>
      <c r="H848" s="2">
        <v>45149</v>
      </c>
      <c r="I848" t="s">
        <v>85</v>
      </c>
      <c r="J848">
        <v>2</v>
      </c>
    </row>
    <row r="849" spans="1:10" x14ac:dyDescent="0.45">
      <c r="A849" s="2">
        <v>44042</v>
      </c>
      <c r="B849">
        <v>7</v>
      </c>
      <c r="C849">
        <v>2020</v>
      </c>
      <c r="D849" t="s">
        <v>35</v>
      </c>
      <c r="E849">
        <v>3</v>
      </c>
      <c r="H849" s="2">
        <v>45149</v>
      </c>
      <c r="I849" t="s">
        <v>129</v>
      </c>
      <c r="J849">
        <v>4</v>
      </c>
    </row>
    <row r="850" spans="1:10" x14ac:dyDescent="0.45">
      <c r="A850" s="2">
        <v>44041</v>
      </c>
      <c r="B850">
        <v>7</v>
      </c>
      <c r="C850">
        <v>2020</v>
      </c>
      <c r="D850" t="s">
        <v>93</v>
      </c>
      <c r="E850">
        <v>5</v>
      </c>
      <c r="H850" s="2">
        <v>45150</v>
      </c>
      <c r="I850" t="s">
        <v>73</v>
      </c>
      <c r="J850">
        <v>1</v>
      </c>
    </row>
    <row r="851" spans="1:10" x14ac:dyDescent="0.45">
      <c r="A851" s="2">
        <v>44040</v>
      </c>
      <c r="B851">
        <v>7</v>
      </c>
      <c r="C851">
        <v>2020</v>
      </c>
      <c r="D851" t="s">
        <v>63</v>
      </c>
      <c r="E851">
        <v>5</v>
      </c>
      <c r="H851" s="2">
        <v>45150</v>
      </c>
      <c r="I851" t="s">
        <v>129</v>
      </c>
      <c r="J851">
        <v>3</v>
      </c>
    </row>
    <row r="852" spans="1:10" x14ac:dyDescent="0.45">
      <c r="A852" s="2">
        <v>44039</v>
      </c>
      <c r="B852">
        <v>7</v>
      </c>
      <c r="C852">
        <v>2020</v>
      </c>
      <c r="D852" t="s">
        <v>172</v>
      </c>
      <c r="E852">
        <v>4</v>
      </c>
      <c r="H852" s="2">
        <v>45151</v>
      </c>
      <c r="I852" t="s">
        <v>52</v>
      </c>
      <c r="J852">
        <v>1</v>
      </c>
    </row>
    <row r="853" spans="1:10" x14ac:dyDescent="0.45">
      <c r="A853" s="2">
        <v>44039</v>
      </c>
      <c r="B853">
        <v>7</v>
      </c>
      <c r="C853">
        <v>2020</v>
      </c>
      <c r="D853" t="s">
        <v>63</v>
      </c>
      <c r="E853">
        <v>5</v>
      </c>
      <c r="H853" s="2">
        <v>45152</v>
      </c>
      <c r="I853" t="s">
        <v>172</v>
      </c>
      <c r="J853">
        <v>3</v>
      </c>
    </row>
    <row r="854" spans="1:10" x14ac:dyDescent="0.45">
      <c r="A854" s="2">
        <v>44037</v>
      </c>
      <c r="B854">
        <v>7</v>
      </c>
      <c r="C854">
        <v>2020</v>
      </c>
      <c r="D854" t="s">
        <v>35</v>
      </c>
      <c r="E854">
        <v>4</v>
      </c>
      <c r="H854" s="2">
        <v>45157</v>
      </c>
      <c r="I854" t="s">
        <v>73</v>
      </c>
      <c r="J854">
        <v>1</v>
      </c>
    </row>
    <row r="855" spans="1:10" x14ac:dyDescent="0.45">
      <c r="A855" s="2">
        <v>44036</v>
      </c>
      <c r="B855">
        <v>7</v>
      </c>
      <c r="C855">
        <v>2020</v>
      </c>
      <c r="D855" t="s">
        <v>73</v>
      </c>
      <c r="E855">
        <v>3</v>
      </c>
      <c r="H855" s="2">
        <v>45157</v>
      </c>
      <c r="I855" t="s">
        <v>172</v>
      </c>
      <c r="J855">
        <v>5</v>
      </c>
    </row>
    <row r="856" spans="1:10" x14ac:dyDescent="0.45">
      <c r="A856" s="2">
        <v>44033</v>
      </c>
      <c r="B856">
        <v>7</v>
      </c>
      <c r="C856">
        <v>2020</v>
      </c>
      <c r="D856" t="s">
        <v>63</v>
      </c>
      <c r="E856">
        <v>3</v>
      </c>
      <c r="H856" s="2">
        <v>45159</v>
      </c>
      <c r="I856" t="s">
        <v>172</v>
      </c>
      <c r="J856">
        <v>3</v>
      </c>
    </row>
    <row r="857" spans="1:10" x14ac:dyDescent="0.45">
      <c r="A857" s="2">
        <v>44032</v>
      </c>
      <c r="B857">
        <v>7</v>
      </c>
      <c r="C857">
        <v>2020</v>
      </c>
      <c r="D857" t="s">
        <v>24</v>
      </c>
      <c r="E857">
        <v>4</v>
      </c>
      <c r="H857" s="2">
        <v>45163</v>
      </c>
      <c r="I857" t="s">
        <v>93</v>
      </c>
      <c r="J857">
        <v>5</v>
      </c>
    </row>
    <row r="858" spans="1:10" x14ac:dyDescent="0.45">
      <c r="A858" s="2">
        <v>44031</v>
      </c>
      <c r="B858">
        <v>7</v>
      </c>
      <c r="C858">
        <v>2020</v>
      </c>
      <c r="D858" t="s">
        <v>73</v>
      </c>
      <c r="E858">
        <v>3</v>
      </c>
      <c r="H858" s="2">
        <v>45165</v>
      </c>
      <c r="I858" t="s">
        <v>85</v>
      </c>
      <c r="J858">
        <v>4</v>
      </c>
    </row>
    <row r="859" spans="1:10" x14ac:dyDescent="0.45">
      <c r="A859" s="2">
        <v>44030</v>
      </c>
      <c r="B859">
        <v>7</v>
      </c>
      <c r="C859">
        <v>2020</v>
      </c>
      <c r="D859" t="s">
        <v>52</v>
      </c>
      <c r="E859">
        <v>2</v>
      </c>
      <c r="H859" s="2">
        <v>45165</v>
      </c>
      <c r="I859" t="s">
        <v>24</v>
      </c>
      <c r="J859">
        <v>4</v>
      </c>
    </row>
    <row r="860" spans="1:10" x14ac:dyDescent="0.45">
      <c r="A860" s="2">
        <v>44028</v>
      </c>
      <c r="B860">
        <v>7</v>
      </c>
      <c r="C860">
        <v>2020</v>
      </c>
      <c r="D860" t="s">
        <v>35</v>
      </c>
      <c r="E860">
        <v>4</v>
      </c>
      <c r="H860" s="2">
        <v>45166</v>
      </c>
      <c r="I860" t="s">
        <v>35</v>
      </c>
      <c r="J860">
        <v>3</v>
      </c>
    </row>
    <row r="861" spans="1:10" x14ac:dyDescent="0.45">
      <c r="A861" s="2">
        <v>44021</v>
      </c>
      <c r="B861">
        <v>7</v>
      </c>
      <c r="C861">
        <v>2020</v>
      </c>
      <c r="D861" t="s">
        <v>85</v>
      </c>
      <c r="E861">
        <v>1</v>
      </c>
      <c r="H861" s="2">
        <v>45167</v>
      </c>
      <c r="I861" t="s">
        <v>63</v>
      </c>
      <c r="J861">
        <v>2</v>
      </c>
    </row>
    <row r="862" spans="1:10" x14ac:dyDescent="0.45">
      <c r="A862" s="2">
        <v>44021</v>
      </c>
      <c r="B862">
        <v>7</v>
      </c>
      <c r="C862">
        <v>2020</v>
      </c>
      <c r="D862" t="s">
        <v>172</v>
      </c>
      <c r="E862">
        <v>4</v>
      </c>
      <c r="H862" s="2">
        <v>45168</v>
      </c>
      <c r="I862" t="s">
        <v>52</v>
      </c>
      <c r="J862">
        <v>5</v>
      </c>
    </row>
    <row r="863" spans="1:10" x14ac:dyDescent="0.45">
      <c r="A863" s="2">
        <v>44019</v>
      </c>
      <c r="B863">
        <v>7</v>
      </c>
      <c r="C863">
        <v>2020</v>
      </c>
      <c r="D863" t="s">
        <v>73</v>
      </c>
      <c r="E863">
        <v>2</v>
      </c>
      <c r="H863" s="2">
        <v>45168</v>
      </c>
      <c r="I863" t="s">
        <v>172</v>
      </c>
      <c r="J863">
        <v>4</v>
      </c>
    </row>
    <row r="864" spans="1:10" x14ac:dyDescent="0.45">
      <c r="A864" s="2">
        <v>44018</v>
      </c>
      <c r="B864">
        <v>7</v>
      </c>
      <c r="C864">
        <v>2020</v>
      </c>
      <c r="D864" t="s">
        <v>73</v>
      </c>
      <c r="E864">
        <v>3</v>
      </c>
      <c r="H864" s="2">
        <v>45169</v>
      </c>
      <c r="I864" t="s">
        <v>52</v>
      </c>
      <c r="J864">
        <v>1</v>
      </c>
    </row>
    <row r="865" spans="1:10" x14ac:dyDescent="0.45">
      <c r="A865" s="2">
        <v>44018</v>
      </c>
      <c r="B865">
        <v>7</v>
      </c>
      <c r="C865">
        <v>2020</v>
      </c>
      <c r="D865" t="s">
        <v>24</v>
      </c>
      <c r="E865">
        <v>2</v>
      </c>
      <c r="H865" s="2">
        <v>45169</v>
      </c>
      <c r="I865" t="s">
        <v>172</v>
      </c>
      <c r="J865">
        <v>5</v>
      </c>
    </row>
    <row r="866" spans="1:10" x14ac:dyDescent="0.45">
      <c r="A866" s="2">
        <v>44017</v>
      </c>
      <c r="B866">
        <v>7</v>
      </c>
      <c r="C866">
        <v>2020</v>
      </c>
      <c r="D866" t="s">
        <v>63</v>
      </c>
      <c r="E866">
        <v>3</v>
      </c>
      <c r="H866" s="2">
        <v>45170</v>
      </c>
      <c r="I866" t="s">
        <v>35</v>
      </c>
      <c r="J866">
        <v>1</v>
      </c>
    </row>
    <row r="867" spans="1:10" x14ac:dyDescent="0.45">
      <c r="A867" s="2">
        <v>44012</v>
      </c>
      <c r="B867">
        <v>6</v>
      </c>
      <c r="C867">
        <v>2020</v>
      </c>
      <c r="D867" t="s">
        <v>24</v>
      </c>
      <c r="E867">
        <v>5</v>
      </c>
      <c r="H867" s="2">
        <v>45171</v>
      </c>
      <c r="I867" t="s">
        <v>24</v>
      </c>
      <c r="J867">
        <v>3</v>
      </c>
    </row>
    <row r="868" spans="1:10" x14ac:dyDescent="0.45">
      <c r="A868" s="2">
        <v>44012</v>
      </c>
      <c r="B868">
        <v>6</v>
      </c>
      <c r="C868">
        <v>2020</v>
      </c>
      <c r="D868" t="s">
        <v>172</v>
      </c>
      <c r="E868">
        <v>3</v>
      </c>
      <c r="H868" s="2">
        <v>45173</v>
      </c>
      <c r="I868" t="s">
        <v>129</v>
      </c>
      <c r="J868">
        <v>2</v>
      </c>
    </row>
    <row r="869" spans="1:10" x14ac:dyDescent="0.45">
      <c r="A869" s="2">
        <v>44012</v>
      </c>
      <c r="B869">
        <v>6</v>
      </c>
      <c r="C869">
        <v>2020</v>
      </c>
      <c r="D869" t="s">
        <v>85</v>
      </c>
      <c r="E869">
        <v>1</v>
      </c>
      <c r="H869" s="2">
        <v>45174</v>
      </c>
      <c r="I869" t="s">
        <v>85</v>
      </c>
      <c r="J869">
        <v>2</v>
      </c>
    </row>
    <row r="870" spans="1:10" x14ac:dyDescent="0.45">
      <c r="A870" s="2">
        <v>44010</v>
      </c>
      <c r="B870">
        <v>6</v>
      </c>
      <c r="C870">
        <v>2020</v>
      </c>
      <c r="D870" t="s">
        <v>85</v>
      </c>
      <c r="E870">
        <v>2</v>
      </c>
      <c r="H870" s="2">
        <v>45175</v>
      </c>
      <c r="I870" t="s">
        <v>85</v>
      </c>
      <c r="J870">
        <v>4</v>
      </c>
    </row>
    <row r="871" spans="1:10" x14ac:dyDescent="0.45">
      <c r="A871" s="2">
        <v>44010</v>
      </c>
      <c r="B871">
        <v>6</v>
      </c>
      <c r="C871">
        <v>2020</v>
      </c>
      <c r="D871" t="s">
        <v>85</v>
      </c>
      <c r="E871">
        <v>5</v>
      </c>
      <c r="H871" s="2">
        <v>45175</v>
      </c>
      <c r="I871" t="s">
        <v>129</v>
      </c>
      <c r="J871">
        <v>4</v>
      </c>
    </row>
    <row r="872" spans="1:10" x14ac:dyDescent="0.45">
      <c r="A872" s="2">
        <v>44010</v>
      </c>
      <c r="B872">
        <v>6</v>
      </c>
      <c r="C872">
        <v>2020</v>
      </c>
      <c r="D872" t="s">
        <v>24</v>
      </c>
      <c r="E872">
        <v>4</v>
      </c>
      <c r="H872" s="2">
        <v>45178</v>
      </c>
      <c r="I872" t="s">
        <v>35</v>
      </c>
      <c r="J872">
        <v>5</v>
      </c>
    </row>
    <row r="873" spans="1:10" x14ac:dyDescent="0.45">
      <c r="A873" s="2">
        <v>44009</v>
      </c>
      <c r="B873">
        <v>6</v>
      </c>
      <c r="C873">
        <v>2020</v>
      </c>
      <c r="D873" t="s">
        <v>85</v>
      </c>
      <c r="E873">
        <v>5</v>
      </c>
      <c r="H873" s="2">
        <v>45179</v>
      </c>
      <c r="I873" t="s">
        <v>172</v>
      </c>
      <c r="J873">
        <v>1</v>
      </c>
    </row>
    <row r="874" spans="1:10" x14ac:dyDescent="0.45">
      <c r="A874" s="2">
        <v>44007</v>
      </c>
      <c r="B874">
        <v>6</v>
      </c>
      <c r="C874">
        <v>2020</v>
      </c>
      <c r="D874" t="s">
        <v>85</v>
      </c>
      <c r="E874">
        <v>4</v>
      </c>
      <c r="H874" s="2">
        <v>45181</v>
      </c>
      <c r="I874" t="s">
        <v>52</v>
      </c>
      <c r="J874">
        <v>4</v>
      </c>
    </row>
    <row r="875" spans="1:10" x14ac:dyDescent="0.45">
      <c r="A875" s="2">
        <v>44006</v>
      </c>
      <c r="B875">
        <v>6</v>
      </c>
      <c r="C875">
        <v>2020</v>
      </c>
      <c r="D875" t="s">
        <v>85</v>
      </c>
      <c r="E875">
        <v>5</v>
      </c>
      <c r="H875" s="2">
        <v>45181</v>
      </c>
      <c r="I875" t="s">
        <v>35</v>
      </c>
      <c r="J875">
        <v>2</v>
      </c>
    </row>
    <row r="876" spans="1:10" x14ac:dyDescent="0.45">
      <c r="A876" s="2">
        <v>44005</v>
      </c>
      <c r="B876">
        <v>6</v>
      </c>
      <c r="C876">
        <v>2020</v>
      </c>
      <c r="D876" t="s">
        <v>85</v>
      </c>
      <c r="E876">
        <v>5</v>
      </c>
      <c r="H876" s="2">
        <v>45181</v>
      </c>
      <c r="I876" t="s">
        <v>172</v>
      </c>
      <c r="J876">
        <v>5</v>
      </c>
    </row>
    <row r="877" spans="1:10" x14ac:dyDescent="0.45">
      <c r="A877" s="2">
        <v>44005</v>
      </c>
      <c r="B877">
        <v>6</v>
      </c>
      <c r="C877">
        <v>2020</v>
      </c>
      <c r="D877" t="s">
        <v>35</v>
      </c>
      <c r="E877">
        <v>1</v>
      </c>
      <c r="H877" s="2">
        <v>45182</v>
      </c>
      <c r="I877" t="s">
        <v>129</v>
      </c>
      <c r="J877">
        <v>3</v>
      </c>
    </row>
    <row r="878" spans="1:10" x14ac:dyDescent="0.45">
      <c r="A878" s="2">
        <v>44003</v>
      </c>
      <c r="B878">
        <v>6</v>
      </c>
      <c r="C878">
        <v>2020</v>
      </c>
      <c r="D878" t="s">
        <v>172</v>
      </c>
      <c r="E878">
        <v>3</v>
      </c>
      <c r="H878" s="2">
        <v>45182</v>
      </c>
      <c r="I878" t="s">
        <v>172</v>
      </c>
      <c r="J878">
        <v>1</v>
      </c>
    </row>
    <row r="879" spans="1:10" x14ac:dyDescent="0.45">
      <c r="A879" s="2">
        <v>44002</v>
      </c>
      <c r="B879">
        <v>6</v>
      </c>
      <c r="C879">
        <v>2020</v>
      </c>
      <c r="D879" t="s">
        <v>24</v>
      </c>
      <c r="E879">
        <v>5</v>
      </c>
      <c r="H879" s="2">
        <v>45183</v>
      </c>
      <c r="I879" t="s">
        <v>129</v>
      </c>
      <c r="J879">
        <v>1</v>
      </c>
    </row>
    <row r="880" spans="1:10" x14ac:dyDescent="0.45">
      <c r="A880" s="2">
        <v>44000</v>
      </c>
      <c r="B880">
        <v>6</v>
      </c>
      <c r="C880">
        <v>2020</v>
      </c>
      <c r="D880" t="s">
        <v>73</v>
      </c>
      <c r="E880">
        <v>1</v>
      </c>
      <c r="H880" s="2">
        <v>45183</v>
      </c>
      <c r="I880" t="s">
        <v>52</v>
      </c>
      <c r="J880">
        <v>4</v>
      </c>
    </row>
    <row r="881" spans="1:10" x14ac:dyDescent="0.45">
      <c r="A881" s="2">
        <v>43999</v>
      </c>
      <c r="B881">
        <v>6</v>
      </c>
      <c r="C881">
        <v>2020</v>
      </c>
      <c r="D881" t="s">
        <v>93</v>
      </c>
      <c r="E881">
        <v>2</v>
      </c>
      <c r="H881" s="2">
        <v>45185</v>
      </c>
      <c r="I881" t="s">
        <v>172</v>
      </c>
      <c r="J881">
        <v>4</v>
      </c>
    </row>
    <row r="882" spans="1:10" x14ac:dyDescent="0.45">
      <c r="A882" s="2">
        <v>43997</v>
      </c>
      <c r="B882">
        <v>6</v>
      </c>
      <c r="C882">
        <v>2020</v>
      </c>
      <c r="D882" t="s">
        <v>63</v>
      </c>
      <c r="E882">
        <v>4</v>
      </c>
      <c r="H882" s="2">
        <v>45186</v>
      </c>
      <c r="I882" t="s">
        <v>52</v>
      </c>
      <c r="J882">
        <v>5</v>
      </c>
    </row>
    <row r="883" spans="1:10" x14ac:dyDescent="0.45">
      <c r="A883" s="2">
        <v>43996</v>
      </c>
      <c r="B883">
        <v>6</v>
      </c>
      <c r="C883">
        <v>2020</v>
      </c>
      <c r="D883" t="s">
        <v>172</v>
      </c>
      <c r="E883">
        <v>5</v>
      </c>
      <c r="H883" s="2">
        <v>45187</v>
      </c>
      <c r="I883" t="s">
        <v>93</v>
      </c>
      <c r="J883">
        <v>1</v>
      </c>
    </row>
    <row r="884" spans="1:10" x14ac:dyDescent="0.45">
      <c r="A884" s="2">
        <v>43994</v>
      </c>
      <c r="B884">
        <v>6</v>
      </c>
      <c r="C884">
        <v>2020</v>
      </c>
      <c r="D884" t="s">
        <v>35</v>
      </c>
      <c r="E884">
        <v>4</v>
      </c>
      <c r="H884" s="2">
        <v>45191</v>
      </c>
      <c r="I884" t="s">
        <v>73</v>
      </c>
      <c r="J884">
        <v>3</v>
      </c>
    </row>
    <row r="885" spans="1:10" x14ac:dyDescent="0.45">
      <c r="A885" s="2">
        <v>43992</v>
      </c>
      <c r="B885">
        <v>6</v>
      </c>
      <c r="C885">
        <v>2020</v>
      </c>
      <c r="D885" t="s">
        <v>35</v>
      </c>
      <c r="E885">
        <v>4</v>
      </c>
      <c r="H885" s="2">
        <v>45192</v>
      </c>
      <c r="I885" t="s">
        <v>63</v>
      </c>
      <c r="J885">
        <v>5</v>
      </c>
    </row>
    <row r="886" spans="1:10" x14ac:dyDescent="0.45">
      <c r="A886" s="2">
        <v>43991</v>
      </c>
      <c r="B886">
        <v>6</v>
      </c>
      <c r="C886">
        <v>2020</v>
      </c>
      <c r="D886" t="s">
        <v>172</v>
      </c>
      <c r="E886">
        <v>3</v>
      </c>
      <c r="H886" s="2">
        <v>45199</v>
      </c>
      <c r="I886" t="s">
        <v>85</v>
      </c>
      <c r="J886">
        <v>2</v>
      </c>
    </row>
    <row r="887" spans="1:10" x14ac:dyDescent="0.45">
      <c r="A887" s="2">
        <v>43990</v>
      </c>
      <c r="B887">
        <v>6</v>
      </c>
      <c r="C887">
        <v>2020</v>
      </c>
      <c r="D887" t="s">
        <v>85</v>
      </c>
      <c r="E887">
        <v>1</v>
      </c>
      <c r="H887" s="2">
        <v>45200</v>
      </c>
      <c r="I887" t="s">
        <v>35</v>
      </c>
      <c r="J887">
        <v>1</v>
      </c>
    </row>
    <row r="888" spans="1:10" x14ac:dyDescent="0.45">
      <c r="A888" s="2">
        <v>43990</v>
      </c>
      <c r="B888">
        <v>6</v>
      </c>
      <c r="C888">
        <v>2020</v>
      </c>
      <c r="D888" t="s">
        <v>24</v>
      </c>
      <c r="E888">
        <v>2</v>
      </c>
      <c r="H888" s="2">
        <v>45200</v>
      </c>
      <c r="I888" t="s">
        <v>63</v>
      </c>
      <c r="J888">
        <v>5</v>
      </c>
    </row>
    <row r="889" spans="1:10" x14ac:dyDescent="0.45">
      <c r="A889" s="2">
        <v>43989</v>
      </c>
      <c r="B889">
        <v>6</v>
      </c>
      <c r="C889">
        <v>2020</v>
      </c>
      <c r="D889" t="s">
        <v>73</v>
      </c>
      <c r="E889">
        <v>1</v>
      </c>
      <c r="H889" s="2">
        <v>45201</v>
      </c>
      <c r="I889" t="s">
        <v>85</v>
      </c>
      <c r="J889">
        <v>3</v>
      </c>
    </row>
    <row r="890" spans="1:10" x14ac:dyDescent="0.45">
      <c r="A890" s="2">
        <v>43989</v>
      </c>
      <c r="B890">
        <v>6</v>
      </c>
      <c r="C890">
        <v>2020</v>
      </c>
      <c r="D890" t="s">
        <v>52</v>
      </c>
      <c r="E890">
        <v>5</v>
      </c>
      <c r="H890" s="2">
        <v>45201</v>
      </c>
      <c r="I890" t="s">
        <v>52</v>
      </c>
      <c r="J890">
        <v>1</v>
      </c>
    </row>
    <row r="891" spans="1:10" x14ac:dyDescent="0.45">
      <c r="A891" s="2">
        <v>43988</v>
      </c>
      <c r="B891">
        <v>6</v>
      </c>
      <c r="C891">
        <v>2020</v>
      </c>
      <c r="D891" t="s">
        <v>52</v>
      </c>
      <c r="E891">
        <v>3</v>
      </c>
      <c r="H891" s="2">
        <v>45203</v>
      </c>
      <c r="I891" t="s">
        <v>52</v>
      </c>
      <c r="J891">
        <v>1</v>
      </c>
    </row>
    <row r="892" spans="1:10" x14ac:dyDescent="0.45">
      <c r="A892" s="2">
        <v>43988</v>
      </c>
      <c r="B892">
        <v>6</v>
      </c>
      <c r="C892">
        <v>2020</v>
      </c>
      <c r="D892" t="s">
        <v>172</v>
      </c>
      <c r="E892">
        <v>5</v>
      </c>
      <c r="H892" s="2">
        <v>45207</v>
      </c>
      <c r="I892" t="s">
        <v>85</v>
      </c>
      <c r="J892">
        <v>1</v>
      </c>
    </row>
    <row r="893" spans="1:10" x14ac:dyDescent="0.45">
      <c r="A893" s="2">
        <v>43988</v>
      </c>
      <c r="B893">
        <v>6</v>
      </c>
      <c r="C893">
        <v>2020</v>
      </c>
      <c r="D893" t="s">
        <v>24</v>
      </c>
      <c r="E893">
        <v>2</v>
      </c>
      <c r="H893" s="2">
        <v>45209</v>
      </c>
      <c r="I893" t="s">
        <v>73</v>
      </c>
      <c r="J893">
        <v>3</v>
      </c>
    </row>
    <row r="894" spans="1:10" x14ac:dyDescent="0.45">
      <c r="A894" s="2">
        <v>43988</v>
      </c>
      <c r="B894">
        <v>6</v>
      </c>
      <c r="C894">
        <v>2020</v>
      </c>
      <c r="D894" t="s">
        <v>172</v>
      </c>
      <c r="E894">
        <v>4</v>
      </c>
      <c r="H894" s="2">
        <v>45210</v>
      </c>
      <c r="I894" t="s">
        <v>52</v>
      </c>
      <c r="J894">
        <v>4</v>
      </c>
    </row>
    <row r="895" spans="1:10" x14ac:dyDescent="0.45">
      <c r="A895" s="2">
        <v>43988</v>
      </c>
      <c r="B895">
        <v>6</v>
      </c>
      <c r="C895">
        <v>2020</v>
      </c>
      <c r="D895" t="s">
        <v>24</v>
      </c>
      <c r="E895">
        <v>3</v>
      </c>
      <c r="H895" s="2">
        <v>45211</v>
      </c>
      <c r="I895" t="s">
        <v>73</v>
      </c>
      <c r="J895">
        <v>2</v>
      </c>
    </row>
    <row r="896" spans="1:10" x14ac:dyDescent="0.45">
      <c r="A896" s="2">
        <v>43987</v>
      </c>
      <c r="B896">
        <v>6</v>
      </c>
      <c r="C896">
        <v>2020</v>
      </c>
      <c r="D896" t="s">
        <v>24</v>
      </c>
      <c r="E896">
        <v>2</v>
      </c>
      <c r="H896" s="2">
        <v>45211</v>
      </c>
      <c r="I896" t="s">
        <v>63</v>
      </c>
      <c r="J896">
        <v>2</v>
      </c>
    </row>
    <row r="897" spans="1:10" x14ac:dyDescent="0.45">
      <c r="A897" s="2">
        <v>43985</v>
      </c>
      <c r="B897">
        <v>6</v>
      </c>
      <c r="C897">
        <v>2020</v>
      </c>
      <c r="D897" t="s">
        <v>85</v>
      </c>
      <c r="E897">
        <v>1</v>
      </c>
      <c r="H897" s="2">
        <v>45212</v>
      </c>
      <c r="I897" t="s">
        <v>35</v>
      </c>
      <c r="J897">
        <v>4</v>
      </c>
    </row>
    <row r="898" spans="1:10" x14ac:dyDescent="0.45">
      <c r="A898" s="2">
        <v>43985</v>
      </c>
      <c r="B898">
        <v>6</v>
      </c>
      <c r="C898">
        <v>2020</v>
      </c>
      <c r="D898" t="s">
        <v>35</v>
      </c>
      <c r="E898">
        <v>2</v>
      </c>
      <c r="H898" s="2">
        <v>45213</v>
      </c>
      <c r="I898" t="s">
        <v>52</v>
      </c>
      <c r="J898">
        <v>4</v>
      </c>
    </row>
    <row r="899" spans="1:10" x14ac:dyDescent="0.45">
      <c r="A899" s="2">
        <v>43984</v>
      </c>
      <c r="B899">
        <v>6</v>
      </c>
      <c r="C899">
        <v>2020</v>
      </c>
      <c r="D899" t="s">
        <v>85</v>
      </c>
      <c r="E899">
        <v>3</v>
      </c>
      <c r="H899" s="2">
        <v>45214</v>
      </c>
      <c r="I899" t="s">
        <v>73</v>
      </c>
      <c r="J899">
        <v>1</v>
      </c>
    </row>
    <row r="900" spans="1:10" x14ac:dyDescent="0.45">
      <c r="A900" s="2">
        <v>43984</v>
      </c>
      <c r="B900">
        <v>6</v>
      </c>
      <c r="C900">
        <v>2020</v>
      </c>
      <c r="D900" t="s">
        <v>129</v>
      </c>
      <c r="E900">
        <v>3</v>
      </c>
      <c r="H900" s="2">
        <v>45214</v>
      </c>
      <c r="I900" t="s">
        <v>85</v>
      </c>
      <c r="J900">
        <v>3</v>
      </c>
    </row>
    <row r="901" spans="1:10" x14ac:dyDescent="0.45">
      <c r="A901" s="2">
        <v>43984</v>
      </c>
      <c r="B901">
        <v>6</v>
      </c>
      <c r="C901">
        <v>2020</v>
      </c>
      <c r="D901" t="s">
        <v>85</v>
      </c>
      <c r="E901">
        <v>2</v>
      </c>
      <c r="H901" s="2">
        <v>45215</v>
      </c>
      <c r="I901" t="s">
        <v>85</v>
      </c>
      <c r="J901">
        <v>3</v>
      </c>
    </row>
    <row r="902" spans="1:10" x14ac:dyDescent="0.45">
      <c r="A902" s="2">
        <v>43983</v>
      </c>
      <c r="B902">
        <v>6</v>
      </c>
      <c r="C902">
        <v>2020</v>
      </c>
      <c r="D902" t="s">
        <v>52</v>
      </c>
      <c r="E902">
        <v>1</v>
      </c>
      <c r="H902" s="2">
        <v>45217</v>
      </c>
      <c r="I902" t="s">
        <v>35</v>
      </c>
      <c r="J902">
        <v>3</v>
      </c>
    </row>
    <row r="903" spans="1:10" x14ac:dyDescent="0.45">
      <c r="A903" s="2">
        <v>43978</v>
      </c>
      <c r="B903">
        <v>5</v>
      </c>
      <c r="C903">
        <v>2020</v>
      </c>
      <c r="D903" t="s">
        <v>24</v>
      </c>
      <c r="E903">
        <v>2</v>
      </c>
      <c r="H903" s="2">
        <v>45217</v>
      </c>
      <c r="I903" t="s">
        <v>63</v>
      </c>
      <c r="J903">
        <v>4</v>
      </c>
    </row>
    <row r="904" spans="1:10" x14ac:dyDescent="0.45">
      <c r="A904" s="2">
        <v>43971</v>
      </c>
      <c r="B904">
        <v>5</v>
      </c>
      <c r="C904">
        <v>2020</v>
      </c>
      <c r="D904" t="s">
        <v>93</v>
      </c>
      <c r="E904">
        <v>5</v>
      </c>
      <c r="H904" s="2">
        <v>45219</v>
      </c>
      <c r="I904" t="s">
        <v>35</v>
      </c>
      <c r="J904">
        <v>1</v>
      </c>
    </row>
    <row r="905" spans="1:10" x14ac:dyDescent="0.45">
      <c r="A905" s="2">
        <v>43970</v>
      </c>
      <c r="B905">
        <v>5</v>
      </c>
      <c r="C905">
        <v>2020</v>
      </c>
      <c r="D905" t="s">
        <v>93</v>
      </c>
      <c r="E905">
        <v>4</v>
      </c>
      <c r="H905" s="2">
        <v>45219</v>
      </c>
      <c r="I905" t="s">
        <v>172</v>
      </c>
      <c r="J905">
        <v>2</v>
      </c>
    </row>
    <row r="906" spans="1:10" x14ac:dyDescent="0.45">
      <c r="A906" s="2">
        <v>43966</v>
      </c>
      <c r="B906">
        <v>5</v>
      </c>
      <c r="C906">
        <v>2020</v>
      </c>
      <c r="D906" t="s">
        <v>73</v>
      </c>
      <c r="E906">
        <v>5</v>
      </c>
      <c r="H906" s="2">
        <v>45220</v>
      </c>
      <c r="I906" t="s">
        <v>73</v>
      </c>
      <c r="J906">
        <v>1</v>
      </c>
    </row>
    <row r="907" spans="1:10" x14ac:dyDescent="0.45">
      <c r="A907" s="2">
        <v>43964</v>
      </c>
      <c r="B907">
        <v>5</v>
      </c>
      <c r="C907">
        <v>2020</v>
      </c>
      <c r="D907" t="s">
        <v>93</v>
      </c>
      <c r="E907">
        <v>1</v>
      </c>
      <c r="H907" s="2">
        <v>45221</v>
      </c>
      <c r="I907" t="s">
        <v>93</v>
      </c>
      <c r="J907">
        <v>3</v>
      </c>
    </row>
    <row r="908" spans="1:10" x14ac:dyDescent="0.45">
      <c r="A908" s="2">
        <v>43964</v>
      </c>
      <c r="B908">
        <v>5</v>
      </c>
      <c r="C908">
        <v>2020</v>
      </c>
      <c r="D908" t="s">
        <v>35</v>
      </c>
      <c r="E908">
        <v>5</v>
      </c>
      <c r="H908" s="2">
        <v>45223</v>
      </c>
      <c r="I908" t="s">
        <v>35</v>
      </c>
      <c r="J908">
        <v>1</v>
      </c>
    </row>
    <row r="909" spans="1:10" x14ac:dyDescent="0.45">
      <c r="A909" s="2">
        <v>43963</v>
      </c>
      <c r="B909">
        <v>5</v>
      </c>
      <c r="C909">
        <v>2020</v>
      </c>
      <c r="D909" t="s">
        <v>52</v>
      </c>
      <c r="E909">
        <v>1</v>
      </c>
      <c r="H909" s="2">
        <v>45224</v>
      </c>
      <c r="I909" t="s">
        <v>52</v>
      </c>
      <c r="J909">
        <v>2</v>
      </c>
    </row>
    <row r="910" spans="1:10" x14ac:dyDescent="0.45">
      <c r="A910" s="2">
        <v>43962</v>
      </c>
      <c r="B910">
        <v>5</v>
      </c>
      <c r="C910">
        <v>2020</v>
      </c>
      <c r="D910" t="s">
        <v>73</v>
      </c>
      <c r="E910">
        <v>1</v>
      </c>
      <c r="H910" s="2">
        <v>45224</v>
      </c>
      <c r="I910" t="s">
        <v>35</v>
      </c>
      <c r="J910">
        <v>3</v>
      </c>
    </row>
    <row r="911" spans="1:10" x14ac:dyDescent="0.45">
      <c r="A911" s="2">
        <v>43962</v>
      </c>
      <c r="B911">
        <v>5</v>
      </c>
      <c r="C911">
        <v>2020</v>
      </c>
      <c r="D911" t="s">
        <v>93</v>
      </c>
      <c r="E911">
        <v>4</v>
      </c>
      <c r="H911" s="2">
        <v>45224</v>
      </c>
      <c r="I911" t="s">
        <v>24</v>
      </c>
      <c r="J911">
        <v>5</v>
      </c>
    </row>
    <row r="912" spans="1:10" x14ac:dyDescent="0.45">
      <c r="A912" s="2">
        <v>43961</v>
      </c>
      <c r="B912">
        <v>5</v>
      </c>
      <c r="C912">
        <v>2020</v>
      </c>
      <c r="D912" t="s">
        <v>93</v>
      </c>
      <c r="E912">
        <v>5</v>
      </c>
      <c r="H912" s="2">
        <v>45228</v>
      </c>
      <c r="I912" t="s">
        <v>35</v>
      </c>
      <c r="J912">
        <v>10</v>
      </c>
    </row>
    <row r="913" spans="1:10" x14ac:dyDescent="0.45">
      <c r="A913" s="2">
        <v>43955</v>
      </c>
      <c r="B913">
        <v>5</v>
      </c>
      <c r="C913">
        <v>2020</v>
      </c>
      <c r="D913" t="s">
        <v>129</v>
      </c>
      <c r="E913">
        <v>4</v>
      </c>
      <c r="H913" s="2">
        <v>45228</v>
      </c>
      <c r="I913" t="s">
        <v>63</v>
      </c>
      <c r="J913">
        <v>5</v>
      </c>
    </row>
    <row r="914" spans="1:10" x14ac:dyDescent="0.45">
      <c r="A914" s="2">
        <v>43955</v>
      </c>
      <c r="B914">
        <v>5</v>
      </c>
      <c r="C914">
        <v>2020</v>
      </c>
      <c r="D914" t="s">
        <v>24</v>
      </c>
      <c r="E914">
        <v>3</v>
      </c>
      <c r="H914" s="2">
        <v>45230</v>
      </c>
      <c r="I914" t="s">
        <v>73</v>
      </c>
      <c r="J914">
        <v>4</v>
      </c>
    </row>
    <row r="915" spans="1:10" x14ac:dyDescent="0.45">
      <c r="A915" s="2">
        <v>43954</v>
      </c>
      <c r="B915">
        <v>5</v>
      </c>
      <c r="C915">
        <v>2020</v>
      </c>
      <c r="D915" t="s">
        <v>129</v>
      </c>
      <c r="E915">
        <v>4</v>
      </c>
      <c r="H915" s="2">
        <v>45230</v>
      </c>
      <c r="I915" t="s">
        <v>85</v>
      </c>
      <c r="J915">
        <v>4</v>
      </c>
    </row>
    <row r="916" spans="1:10" x14ac:dyDescent="0.45">
      <c r="A916" s="2">
        <v>43954</v>
      </c>
      <c r="B916">
        <v>5</v>
      </c>
      <c r="C916">
        <v>2020</v>
      </c>
      <c r="D916" t="s">
        <v>73</v>
      </c>
      <c r="E916">
        <v>1</v>
      </c>
      <c r="H916" s="2">
        <v>45231</v>
      </c>
      <c r="I916" t="s">
        <v>129</v>
      </c>
      <c r="J916">
        <v>8</v>
      </c>
    </row>
    <row r="917" spans="1:10" x14ac:dyDescent="0.45">
      <c r="A917" s="2">
        <v>43954</v>
      </c>
      <c r="B917">
        <v>5</v>
      </c>
      <c r="C917">
        <v>2020</v>
      </c>
      <c r="D917" t="s">
        <v>24</v>
      </c>
      <c r="E917">
        <v>1</v>
      </c>
      <c r="H917" s="2">
        <v>45232</v>
      </c>
      <c r="I917" t="s">
        <v>85</v>
      </c>
      <c r="J917">
        <v>5</v>
      </c>
    </row>
    <row r="918" spans="1:10" x14ac:dyDescent="0.45">
      <c r="A918" s="2">
        <v>43952</v>
      </c>
      <c r="B918">
        <v>5</v>
      </c>
      <c r="C918">
        <v>2020</v>
      </c>
      <c r="D918" t="s">
        <v>172</v>
      </c>
      <c r="E918">
        <v>1</v>
      </c>
      <c r="H918" s="2">
        <v>45233</v>
      </c>
      <c r="I918" t="s">
        <v>63</v>
      </c>
      <c r="J918">
        <v>1</v>
      </c>
    </row>
    <row r="919" spans="1:10" x14ac:dyDescent="0.45">
      <c r="A919" s="2">
        <v>43949</v>
      </c>
      <c r="B919">
        <v>4</v>
      </c>
      <c r="C919">
        <v>2020</v>
      </c>
      <c r="D919" t="s">
        <v>129</v>
      </c>
      <c r="E919">
        <v>3</v>
      </c>
      <c r="H919" s="2">
        <v>45234</v>
      </c>
      <c r="I919" t="s">
        <v>85</v>
      </c>
      <c r="J919">
        <v>3</v>
      </c>
    </row>
    <row r="920" spans="1:10" x14ac:dyDescent="0.45">
      <c r="A920" s="2">
        <v>43946</v>
      </c>
      <c r="B920">
        <v>4</v>
      </c>
      <c r="C920">
        <v>2020</v>
      </c>
      <c r="D920" t="s">
        <v>85</v>
      </c>
      <c r="E920">
        <v>4</v>
      </c>
      <c r="H920" s="2">
        <v>45234</v>
      </c>
      <c r="I920" t="s">
        <v>172</v>
      </c>
      <c r="J920">
        <v>5</v>
      </c>
    </row>
    <row r="921" spans="1:10" x14ac:dyDescent="0.45">
      <c r="A921" s="2">
        <v>43945</v>
      </c>
      <c r="B921">
        <v>4</v>
      </c>
      <c r="C921">
        <v>2020</v>
      </c>
      <c r="D921" t="s">
        <v>52</v>
      </c>
      <c r="E921">
        <v>5</v>
      </c>
      <c r="H921" s="2">
        <v>45236</v>
      </c>
      <c r="I921" t="s">
        <v>172</v>
      </c>
      <c r="J921">
        <v>5</v>
      </c>
    </row>
    <row r="922" spans="1:10" x14ac:dyDescent="0.45">
      <c r="A922" s="2">
        <v>43944</v>
      </c>
      <c r="B922">
        <v>4</v>
      </c>
      <c r="C922">
        <v>2020</v>
      </c>
      <c r="D922" t="s">
        <v>35</v>
      </c>
      <c r="E922">
        <v>2</v>
      </c>
      <c r="H922" s="2">
        <v>45238</v>
      </c>
      <c r="I922" t="s">
        <v>52</v>
      </c>
      <c r="J922">
        <v>3</v>
      </c>
    </row>
    <row r="923" spans="1:10" x14ac:dyDescent="0.45">
      <c r="A923" s="2">
        <v>43943</v>
      </c>
      <c r="B923">
        <v>4</v>
      </c>
      <c r="C923">
        <v>2020</v>
      </c>
      <c r="D923" t="s">
        <v>129</v>
      </c>
      <c r="E923">
        <v>5</v>
      </c>
      <c r="H923" s="2">
        <v>45238</v>
      </c>
      <c r="I923" t="s">
        <v>63</v>
      </c>
      <c r="J923">
        <v>5</v>
      </c>
    </row>
    <row r="924" spans="1:10" x14ac:dyDescent="0.45">
      <c r="A924" s="2">
        <v>43942</v>
      </c>
      <c r="B924">
        <v>4</v>
      </c>
      <c r="C924">
        <v>2020</v>
      </c>
      <c r="D924" t="s">
        <v>73</v>
      </c>
      <c r="E924">
        <v>2</v>
      </c>
      <c r="H924" s="2">
        <v>45239</v>
      </c>
      <c r="I924" t="s">
        <v>63</v>
      </c>
      <c r="J924">
        <v>2</v>
      </c>
    </row>
    <row r="925" spans="1:10" x14ac:dyDescent="0.45">
      <c r="A925" s="2">
        <v>43942</v>
      </c>
      <c r="B925">
        <v>4</v>
      </c>
      <c r="C925">
        <v>2020</v>
      </c>
      <c r="D925" t="s">
        <v>35</v>
      </c>
      <c r="E925">
        <v>4</v>
      </c>
      <c r="H925" s="2">
        <v>45240</v>
      </c>
      <c r="I925" t="s">
        <v>52</v>
      </c>
      <c r="J925">
        <v>2</v>
      </c>
    </row>
    <row r="926" spans="1:10" x14ac:dyDescent="0.45">
      <c r="A926" s="2">
        <v>43941</v>
      </c>
      <c r="B926">
        <v>4</v>
      </c>
      <c r="C926">
        <v>2020</v>
      </c>
      <c r="D926" t="s">
        <v>129</v>
      </c>
      <c r="E926">
        <v>5</v>
      </c>
      <c r="H926" s="2">
        <v>45241</v>
      </c>
      <c r="I926" t="s">
        <v>85</v>
      </c>
      <c r="J926">
        <v>2</v>
      </c>
    </row>
    <row r="927" spans="1:10" x14ac:dyDescent="0.45">
      <c r="A927" s="2">
        <v>43939</v>
      </c>
      <c r="B927">
        <v>4</v>
      </c>
      <c r="C927">
        <v>2020</v>
      </c>
      <c r="D927" t="s">
        <v>93</v>
      </c>
      <c r="E927">
        <v>2</v>
      </c>
      <c r="H927" s="2">
        <v>45245</v>
      </c>
      <c r="I927" t="s">
        <v>129</v>
      </c>
      <c r="J927">
        <v>3</v>
      </c>
    </row>
    <row r="928" spans="1:10" x14ac:dyDescent="0.45">
      <c r="A928" s="2">
        <v>43939</v>
      </c>
      <c r="B928">
        <v>4</v>
      </c>
      <c r="C928">
        <v>2020</v>
      </c>
      <c r="D928" t="s">
        <v>93</v>
      </c>
      <c r="E928">
        <v>3</v>
      </c>
      <c r="H928" s="2">
        <v>45248</v>
      </c>
      <c r="I928" t="s">
        <v>93</v>
      </c>
      <c r="J928">
        <v>1</v>
      </c>
    </row>
    <row r="929" spans="1:10" x14ac:dyDescent="0.45">
      <c r="A929" s="2">
        <v>43937</v>
      </c>
      <c r="B929">
        <v>4</v>
      </c>
      <c r="C929">
        <v>2020</v>
      </c>
      <c r="D929" t="s">
        <v>35</v>
      </c>
      <c r="E929">
        <v>5</v>
      </c>
      <c r="H929" s="2">
        <v>45249</v>
      </c>
      <c r="I929" t="s">
        <v>85</v>
      </c>
      <c r="J929">
        <v>4</v>
      </c>
    </row>
    <row r="930" spans="1:10" x14ac:dyDescent="0.45">
      <c r="A930" s="2">
        <v>43936</v>
      </c>
      <c r="B930">
        <v>4</v>
      </c>
      <c r="C930">
        <v>2020</v>
      </c>
      <c r="D930" t="s">
        <v>85</v>
      </c>
      <c r="E930">
        <v>4</v>
      </c>
      <c r="H930" s="2">
        <v>45249</v>
      </c>
      <c r="I930" t="s">
        <v>172</v>
      </c>
      <c r="J930">
        <v>5</v>
      </c>
    </row>
    <row r="931" spans="1:10" x14ac:dyDescent="0.45">
      <c r="A931" s="2">
        <v>43935</v>
      </c>
      <c r="B931">
        <v>4</v>
      </c>
      <c r="C931">
        <v>2020</v>
      </c>
      <c r="D931" t="s">
        <v>172</v>
      </c>
      <c r="E931">
        <v>5</v>
      </c>
      <c r="H931" s="2">
        <v>45254</v>
      </c>
      <c r="I931" t="s">
        <v>85</v>
      </c>
      <c r="J931">
        <v>2</v>
      </c>
    </row>
    <row r="932" spans="1:10" x14ac:dyDescent="0.45">
      <c r="A932" s="2">
        <v>43932</v>
      </c>
      <c r="B932">
        <v>4</v>
      </c>
      <c r="C932">
        <v>2020</v>
      </c>
      <c r="D932" t="s">
        <v>85</v>
      </c>
      <c r="E932">
        <v>2</v>
      </c>
      <c r="H932" s="2">
        <v>45255</v>
      </c>
      <c r="I932" t="s">
        <v>73</v>
      </c>
      <c r="J932">
        <v>1</v>
      </c>
    </row>
    <row r="933" spans="1:10" x14ac:dyDescent="0.45">
      <c r="A933" s="2">
        <v>43932</v>
      </c>
      <c r="B933">
        <v>4</v>
      </c>
      <c r="C933">
        <v>2020</v>
      </c>
      <c r="D933" t="s">
        <v>73</v>
      </c>
      <c r="E933">
        <v>3</v>
      </c>
      <c r="H933" s="2">
        <v>45257</v>
      </c>
      <c r="I933" t="s">
        <v>73</v>
      </c>
      <c r="J933">
        <v>3</v>
      </c>
    </row>
    <row r="934" spans="1:10" x14ac:dyDescent="0.45">
      <c r="A934" s="2">
        <v>43931</v>
      </c>
      <c r="B934">
        <v>4</v>
      </c>
      <c r="C934">
        <v>2020</v>
      </c>
      <c r="D934" t="s">
        <v>172</v>
      </c>
      <c r="E934">
        <v>2</v>
      </c>
      <c r="H934" s="2">
        <v>45257</v>
      </c>
      <c r="I934" t="s">
        <v>85</v>
      </c>
      <c r="J934">
        <v>5</v>
      </c>
    </row>
    <row r="935" spans="1:10" x14ac:dyDescent="0.45">
      <c r="A935" s="2">
        <v>43931</v>
      </c>
      <c r="B935">
        <v>4</v>
      </c>
      <c r="C935">
        <v>2020</v>
      </c>
      <c r="D935" t="s">
        <v>172</v>
      </c>
      <c r="E935">
        <v>4</v>
      </c>
      <c r="H935" s="2">
        <v>45257</v>
      </c>
      <c r="I935" t="s">
        <v>63</v>
      </c>
      <c r="J935">
        <v>3</v>
      </c>
    </row>
    <row r="936" spans="1:10" x14ac:dyDescent="0.45">
      <c r="A936" s="2">
        <v>43930</v>
      </c>
      <c r="B936">
        <v>4</v>
      </c>
      <c r="C936">
        <v>2020</v>
      </c>
      <c r="D936" t="s">
        <v>52</v>
      </c>
      <c r="E936">
        <v>1</v>
      </c>
      <c r="H936" s="2">
        <v>45261</v>
      </c>
      <c r="I936" t="s">
        <v>35</v>
      </c>
      <c r="J936">
        <v>3</v>
      </c>
    </row>
    <row r="937" spans="1:10" x14ac:dyDescent="0.45">
      <c r="A937" s="2">
        <v>43926</v>
      </c>
      <c r="B937">
        <v>4</v>
      </c>
      <c r="C937">
        <v>2020</v>
      </c>
      <c r="D937" t="s">
        <v>63</v>
      </c>
      <c r="E937">
        <v>4</v>
      </c>
      <c r="H937" s="2">
        <v>45263</v>
      </c>
      <c r="I937" t="s">
        <v>35</v>
      </c>
      <c r="J937">
        <v>2</v>
      </c>
    </row>
    <row r="938" spans="1:10" x14ac:dyDescent="0.45">
      <c r="A938" s="2">
        <v>43925</v>
      </c>
      <c r="B938">
        <v>4</v>
      </c>
      <c r="C938">
        <v>2020</v>
      </c>
      <c r="D938" t="s">
        <v>129</v>
      </c>
      <c r="E938">
        <v>2</v>
      </c>
      <c r="H938" s="2">
        <v>45263</v>
      </c>
      <c r="I938" t="s">
        <v>24</v>
      </c>
      <c r="J938">
        <v>5</v>
      </c>
    </row>
    <row r="939" spans="1:10" x14ac:dyDescent="0.45">
      <c r="A939" s="2">
        <v>43921</v>
      </c>
      <c r="B939">
        <v>3</v>
      </c>
      <c r="C939">
        <v>2020</v>
      </c>
      <c r="D939" t="s">
        <v>73</v>
      </c>
      <c r="E939">
        <v>5</v>
      </c>
      <c r="H939" s="2">
        <v>45264</v>
      </c>
      <c r="I939" t="s">
        <v>93</v>
      </c>
      <c r="J939">
        <v>1</v>
      </c>
    </row>
    <row r="940" spans="1:10" x14ac:dyDescent="0.45">
      <c r="A940" s="2">
        <v>43920</v>
      </c>
      <c r="B940">
        <v>3</v>
      </c>
      <c r="C940">
        <v>2020</v>
      </c>
      <c r="D940" t="s">
        <v>85</v>
      </c>
      <c r="E940">
        <v>1</v>
      </c>
      <c r="H940" s="2">
        <v>45264</v>
      </c>
      <c r="I940" t="s">
        <v>24</v>
      </c>
      <c r="J940">
        <v>4</v>
      </c>
    </row>
    <row r="941" spans="1:10" x14ac:dyDescent="0.45">
      <c r="A941" s="2">
        <v>43918</v>
      </c>
      <c r="B941">
        <v>3</v>
      </c>
      <c r="C941">
        <v>2020</v>
      </c>
      <c r="D941" t="s">
        <v>93</v>
      </c>
      <c r="E941">
        <v>1</v>
      </c>
      <c r="H941" s="2">
        <v>45266</v>
      </c>
      <c r="I941" t="s">
        <v>24</v>
      </c>
      <c r="J941">
        <v>4</v>
      </c>
    </row>
    <row r="942" spans="1:10" x14ac:dyDescent="0.45">
      <c r="A942" s="2">
        <v>43917</v>
      </c>
      <c r="B942">
        <v>3</v>
      </c>
      <c r="C942">
        <v>2020</v>
      </c>
      <c r="D942" t="s">
        <v>73</v>
      </c>
      <c r="E942">
        <v>3</v>
      </c>
      <c r="H942" s="2">
        <v>45268</v>
      </c>
      <c r="I942" t="s">
        <v>93</v>
      </c>
      <c r="J942">
        <v>4</v>
      </c>
    </row>
    <row r="943" spans="1:10" x14ac:dyDescent="0.45">
      <c r="A943" s="2">
        <v>43916</v>
      </c>
      <c r="B943">
        <v>3</v>
      </c>
      <c r="C943">
        <v>2020</v>
      </c>
      <c r="D943" t="s">
        <v>93</v>
      </c>
      <c r="E943">
        <v>5</v>
      </c>
      <c r="H943" s="2">
        <v>45268</v>
      </c>
      <c r="I943" t="s">
        <v>63</v>
      </c>
      <c r="J943">
        <v>4</v>
      </c>
    </row>
    <row r="944" spans="1:10" x14ac:dyDescent="0.45">
      <c r="A944" s="2">
        <v>43916</v>
      </c>
      <c r="B944">
        <v>3</v>
      </c>
      <c r="C944">
        <v>2020</v>
      </c>
      <c r="D944" t="s">
        <v>172</v>
      </c>
      <c r="E944">
        <v>4</v>
      </c>
      <c r="H944" s="2">
        <v>45269</v>
      </c>
      <c r="I944" t="s">
        <v>52</v>
      </c>
      <c r="J944">
        <v>2</v>
      </c>
    </row>
    <row r="945" spans="1:10" x14ac:dyDescent="0.45">
      <c r="A945" s="2">
        <v>43916</v>
      </c>
      <c r="B945">
        <v>3</v>
      </c>
      <c r="C945">
        <v>2020</v>
      </c>
      <c r="D945" t="s">
        <v>63</v>
      </c>
      <c r="E945">
        <v>1</v>
      </c>
      <c r="H945" s="2">
        <v>45269</v>
      </c>
      <c r="I945" t="s">
        <v>35</v>
      </c>
      <c r="J945">
        <v>4</v>
      </c>
    </row>
    <row r="946" spans="1:10" x14ac:dyDescent="0.45">
      <c r="A946" s="2">
        <v>43915</v>
      </c>
      <c r="B946">
        <v>3</v>
      </c>
      <c r="C946">
        <v>2020</v>
      </c>
      <c r="D946" t="s">
        <v>73</v>
      </c>
      <c r="E946">
        <v>1</v>
      </c>
      <c r="H946" s="2">
        <v>45270</v>
      </c>
      <c r="I946" t="s">
        <v>63</v>
      </c>
      <c r="J946">
        <v>1</v>
      </c>
    </row>
    <row r="947" spans="1:10" x14ac:dyDescent="0.45">
      <c r="A947" s="2">
        <v>43913</v>
      </c>
      <c r="B947">
        <v>3</v>
      </c>
      <c r="C947">
        <v>2020</v>
      </c>
      <c r="D947" t="s">
        <v>35</v>
      </c>
      <c r="E947">
        <v>3</v>
      </c>
      <c r="H947" s="2">
        <v>45275</v>
      </c>
      <c r="I947" t="s">
        <v>52</v>
      </c>
      <c r="J947">
        <v>4</v>
      </c>
    </row>
    <row r="948" spans="1:10" x14ac:dyDescent="0.45">
      <c r="A948" s="2">
        <v>43913</v>
      </c>
      <c r="B948">
        <v>3</v>
      </c>
      <c r="C948">
        <v>2020</v>
      </c>
      <c r="D948" t="s">
        <v>24</v>
      </c>
      <c r="E948">
        <v>4</v>
      </c>
      <c r="H948" s="2">
        <v>45277</v>
      </c>
      <c r="I948" t="s">
        <v>93</v>
      </c>
      <c r="J948">
        <v>2</v>
      </c>
    </row>
    <row r="949" spans="1:10" x14ac:dyDescent="0.45">
      <c r="A949" s="2">
        <v>43910</v>
      </c>
      <c r="B949">
        <v>3</v>
      </c>
      <c r="C949">
        <v>2020</v>
      </c>
      <c r="D949" t="s">
        <v>129</v>
      </c>
      <c r="E949">
        <v>4</v>
      </c>
      <c r="H949" s="2">
        <v>45278</v>
      </c>
      <c r="I949" t="s">
        <v>93</v>
      </c>
      <c r="J949">
        <v>4</v>
      </c>
    </row>
    <row r="950" spans="1:10" x14ac:dyDescent="0.45">
      <c r="A950" s="2">
        <v>43905</v>
      </c>
      <c r="B950">
        <v>3</v>
      </c>
      <c r="C950">
        <v>2020</v>
      </c>
      <c r="D950" t="s">
        <v>172</v>
      </c>
      <c r="E950">
        <v>3</v>
      </c>
      <c r="H950" s="2">
        <v>45279</v>
      </c>
      <c r="I950" t="s">
        <v>52</v>
      </c>
      <c r="J950">
        <v>2</v>
      </c>
    </row>
    <row r="951" spans="1:10" x14ac:dyDescent="0.45">
      <c r="A951" s="2">
        <v>43904</v>
      </c>
      <c r="B951">
        <v>3</v>
      </c>
      <c r="C951">
        <v>2020</v>
      </c>
      <c r="D951" t="s">
        <v>93</v>
      </c>
      <c r="E951">
        <v>3</v>
      </c>
      <c r="H951" s="2">
        <v>45279</v>
      </c>
      <c r="I951" t="s">
        <v>24</v>
      </c>
      <c r="J951">
        <v>4</v>
      </c>
    </row>
    <row r="952" spans="1:10" x14ac:dyDescent="0.45">
      <c r="A952" s="2">
        <v>43904</v>
      </c>
      <c r="B952">
        <v>3</v>
      </c>
      <c r="C952">
        <v>2020</v>
      </c>
      <c r="D952" t="s">
        <v>63</v>
      </c>
      <c r="E952">
        <v>2</v>
      </c>
      <c r="H952" s="2">
        <v>45280</v>
      </c>
      <c r="I952" t="s">
        <v>73</v>
      </c>
      <c r="J952">
        <v>3</v>
      </c>
    </row>
    <row r="953" spans="1:10" x14ac:dyDescent="0.45">
      <c r="A953" s="2">
        <v>43904</v>
      </c>
      <c r="B953">
        <v>3</v>
      </c>
      <c r="C953">
        <v>2020</v>
      </c>
      <c r="D953" t="s">
        <v>52</v>
      </c>
      <c r="E953">
        <v>5</v>
      </c>
      <c r="H953" s="2">
        <v>45280</v>
      </c>
      <c r="I953" t="s">
        <v>129</v>
      </c>
      <c r="J953">
        <v>1</v>
      </c>
    </row>
    <row r="954" spans="1:10" x14ac:dyDescent="0.45">
      <c r="A954" s="2">
        <v>43903</v>
      </c>
      <c r="B954">
        <v>3</v>
      </c>
      <c r="C954">
        <v>2020</v>
      </c>
      <c r="D954" t="s">
        <v>63</v>
      </c>
      <c r="E954">
        <v>5</v>
      </c>
      <c r="H954" s="2">
        <v>45282</v>
      </c>
      <c r="I954" t="s">
        <v>24</v>
      </c>
      <c r="J954">
        <v>4</v>
      </c>
    </row>
    <row r="955" spans="1:10" x14ac:dyDescent="0.45">
      <c r="A955" s="2">
        <v>43898</v>
      </c>
      <c r="B955">
        <v>3</v>
      </c>
      <c r="C955">
        <v>2020</v>
      </c>
      <c r="D955" t="s">
        <v>63</v>
      </c>
      <c r="E955">
        <v>2</v>
      </c>
      <c r="H955" s="2">
        <v>45285</v>
      </c>
      <c r="I955" t="s">
        <v>63</v>
      </c>
      <c r="J955">
        <v>5</v>
      </c>
    </row>
    <row r="956" spans="1:10" x14ac:dyDescent="0.45">
      <c r="A956" s="2">
        <v>43897</v>
      </c>
      <c r="B956">
        <v>3</v>
      </c>
      <c r="C956">
        <v>2020</v>
      </c>
      <c r="D956" t="s">
        <v>85</v>
      </c>
      <c r="E956">
        <v>2</v>
      </c>
      <c r="H956" s="2">
        <v>45287</v>
      </c>
      <c r="I956" t="s">
        <v>73</v>
      </c>
      <c r="J956">
        <v>5</v>
      </c>
    </row>
    <row r="957" spans="1:10" x14ac:dyDescent="0.45">
      <c r="A957" s="2">
        <v>43895</v>
      </c>
      <c r="B957">
        <v>3</v>
      </c>
      <c r="C957">
        <v>2020</v>
      </c>
      <c r="D957" t="s">
        <v>63</v>
      </c>
      <c r="E957">
        <v>5</v>
      </c>
      <c r="H957" s="2">
        <v>45287</v>
      </c>
      <c r="I957" t="s">
        <v>93</v>
      </c>
      <c r="J957">
        <v>3</v>
      </c>
    </row>
    <row r="958" spans="1:10" x14ac:dyDescent="0.45">
      <c r="A958" s="2">
        <v>43894</v>
      </c>
      <c r="B958">
        <v>3</v>
      </c>
      <c r="C958">
        <v>2020</v>
      </c>
      <c r="D958" t="s">
        <v>93</v>
      </c>
      <c r="E958">
        <v>4</v>
      </c>
      <c r="H958" s="2">
        <v>45290</v>
      </c>
      <c r="I958" t="s">
        <v>24</v>
      </c>
      <c r="J958">
        <v>5</v>
      </c>
    </row>
    <row r="959" spans="1:10" x14ac:dyDescent="0.45">
      <c r="A959" s="2">
        <v>43894</v>
      </c>
      <c r="B959">
        <v>3</v>
      </c>
      <c r="C959">
        <v>2020</v>
      </c>
      <c r="D959" t="s">
        <v>172</v>
      </c>
      <c r="E959">
        <v>3</v>
      </c>
      <c r="H959" s="2">
        <v>45291</v>
      </c>
      <c r="I959" t="s">
        <v>52</v>
      </c>
      <c r="J959">
        <v>4</v>
      </c>
    </row>
    <row r="960" spans="1:10" x14ac:dyDescent="0.45">
      <c r="A960" s="2">
        <v>43891</v>
      </c>
      <c r="B960">
        <v>3</v>
      </c>
      <c r="C960">
        <v>2020</v>
      </c>
      <c r="D960" t="s">
        <v>63</v>
      </c>
      <c r="E960">
        <v>4</v>
      </c>
      <c r="H960" s="2" t="s">
        <v>714</v>
      </c>
      <c r="J960">
        <v>3052</v>
      </c>
    </row>
    <row r="961" spans="1:5" x14ac:dyDescent="0.45">
      <c r="A961" s="2">
        <v>43889</v>
      </c>
      <c r="B961">
        <v>2</v>
      </c>
      <c r="C961">
        <v>2020</v>
      </c>
      <c r="D961" t="s">
        <v>52</v>
      </c>
      <c r="E961">
        <v>2</v>
      </c>
    </row>
    <row r="962" spans="1:5" x14ac:dyDescent="0.45">
      <c r="A962" s="2">
        <v>43889</v>
      </c>
      <c r="B962">
        <v>2</v>
      </c>
      <c r="C962">
        <v>2020</v>
      </c>
      <c r="D962" t="s">
        <v>35</v>
      </c>
      <c r="E962">
        <v>3</v>
      </c>
    </row>
    <row r="963" spans="1:5" x14ac:dyDescent="0.45">
      <c r="A963" s="2">
        <v>43889</v>
      </c>
      <c r="B963">
        <v>2</v>
      </c>
      <c r="C963">
        <v>2020</v>
      </c>
      <c r="D963" t="s">
        <v>85</v>
      </c>
      <c r="E963">
        <v>2</v>
      </c>
    </row>
    <row r="964" spans="1:5" x14ac:dyDescent="0.45">
      <c r="A964" s="2">
        <v>43886</v>
      </c>
      <c r="B964">
        <v>2</v>
      </c>
      <c r="C964">
        <v>2020</v>
      </c>
      <c r="D964" t="s">
        <v>85</v>
      </c>
      <c r="E964">
        <v>5</v>
      </c>
    </row>
    <row r="965" spans="1:5" x14ac:dyDescent="0.45">
      <c r="A965" s="2">
        <v>43885</v>
      </c>
      <c r="B965">
        <v>2</v>
      </c>
      <c r="C965">
        <v>2020</v>
      </c>
      <c r="D965" t="s">
        <v>172</v>
      </c>
      <c r="E965">
        <v>5</v>
      </c>
    </row>
    <row r="966" spans="1:5" x14ac:dyDescent="0.45">
      <c r="A966" s="2">
        <v>43882</v>
      </c>
      <c r="B966">
        <v>2</v>
      </c>
      <c r="C966">
        <v>2020</v>
      </c>
      <c r="D966" t="s">
        <v>52</v>
      </c>
      <c r="E966">
        <v>3</v>
      </c>
    </row>
    <row r="967" spans="1:5" x14ac:dyDescent="0.45">
      <c r="A967" s="2">
        <v>43882</v>
      </c>
      <c r="B967">
        <v>2</v>
      </c>
      <c r="C967">
        <v>2020</v>
      </c>
      <c r="D967" t="s">
        <v>52</v>
      </c>
      <c r="E967">
        <v>1</v>
      </c>
    </row>
    <row r="968" spans="1:5" x14ac:dyDescent="0.45">
      <c r="A968" s="2">
        <v>43880</v>
      </c>
      <c r="B968">
        <v>2</v>
      </c>
      <c r="C968">
        <v>2020</v>
      </c>
      <c r="D968" t="s">
        <v>52</v>
      </c>
      <c r="E968">
        <v>5</v>
      </c>
    </row>
    <row r="969" spans="1:5" x14ac:dyDescent="0.45">
      <c r="A969" s="2">
        <v>43880</v>
      </c>
      <c r="B969">
        <v>2</v>
      </c>
      <c r="C969">
        <v>2020</v>
      </c>
      <c r="D969" t="s">
        <v>172</v>
      </c>
      <c r="E969">
        <v>5</v>
      </c>
    </row>
    <row r="970" spans="1:5" x14ac:dyDescent="0.45">
      <c r="A970" s="2">
        <v>43878</v>
      </c>
      <c r="B970">
        <v>2</v>
      </c>
      <c r="C970">
        <v>2020</v>
      </c>
      <c r="D970" t="s">
        <v>93</v>
      </c>
      <c r="E970">
        <v>3</v>
      </c>
    </row>
    <row r="971" spans="1:5" x14ac:dyDescent="0.45">
      <c r="A971" s="2">
        <v>43878</v>
      </c>
      <c r="B971">
        <v>2</v>
      </c>
      <c r="C971">
        <v>2020</v>
      </c>
      <c r="D971" t="s">
        <v>35</v>
      </c>
      <c r="E971">
        <v>2</v>
      </c>
    </row>
    <row r="972" spans="1:5" x14ac:dyDescent="0.45">
      <c r="A972" s="2">
        <v>43874</v>
      </c>
      <c r="B972">
        <v>2</v>
      </c>
      <c r="C972">
        <v>2020</v>
      </c>
      <c r="D972" t="s">
        <v>63</v>
      </c>
      <c r="E972">
        <v>1</v>
      </c>
    </row>
    <row r="973" spans="1:5" x14ac:dyDescent="0.45">
      <c r="A973" s="2">
        <v>43873</v>
      </c>
      <c r="B973">
        <v>2</v>
      </c>
      <c r="C973">
        <v>2020</v>
      </c>
      <c r="D973" t="s">
        <v>85</v>
      </c>
      <c r="E973">
        <v>2</v>
      </c>
    </row>
    <row r="974" spans="1:5" x14ac:dyDescent="0.45">
      <c r="A974" s="2">
        <v>43873</v>
      </c>
      <c r="B974">
        <v>2</v>
      </c>
      <c r="C974">
        <v>2020</v>
      </c>
      <c r="D974" t="s">
        <v>63</v>
      </c>
      <c r="E974">
        <v>2</v>
      </c>
    </row>
    <row r="975" spans="1:5" x14ac:dyDescent="0.45">
      <c r="A975" s="2">
        <v>43872</v>
      </c>
      <c r="B975">
        <v>2</v>
      </c>
      <c r="C975">
        <v>2020</v>
      </c>
      <c r="D975" t="s">
        <v>63</v>
      </c>
      <c r="E975">
        <v>4</v>
      </c>
    </row>
    <row r="976" spans="1:5" x14ac:dyDescent="0.45">
      <c r="A976" s="2">
        <v>43871</v>
      </c>
      <c r="B976">
        <v>2</v>
      </c>
      <c r="C976">
        <v>2020</v>
      </c>
      <c r="D976" t="s">
        <v>85</v>
      </c>
      <c r="E976">
        <v>5</v>
      </c>
    </row>
    <row r="977" spans="1:5" x14ac:dyDescent="0.45">
      <c r="A977" s="2">
        <v>43871</v>
      </c>
      <c r="B977">
        <v>2</v>
      </c>
      <c r="C977">
        <v>2020</v>
      </c>
      <c r="D977" t="s">
        <v>63</v>
      </c>
      <c r="E977">
        <v>5</v>
      </c>
    </row>
    <row r="978" spans="1:5" x14ac:dyDescent="0.45">
      <c r="A978" s="2">
        <v>43870</v>
      </c>
      <c r="B978">
        <v>2</v>
      </c>
      <c r="C978">
        <v>2020</v>
      </c>
      <c r="D978" t="s">
        <v>52</v>
      </c>
      <c r="E978">
        <v>5</v>
      </c>
    </row>
    <row r="979" spans="1:5" x14ac:dyDescent="0.45">
      <c r="A979" s="2">
        <v>43868</v>
      </c>
      <c r="B979">
        <v>2</v>
      </c>
      <c r="C979">
        <v>2020</v>
      </c>
      <c r="D979" t="s">
        <v>93</v>
      </c>
      <c r="E979">
        <v>1</v>
      </c>
    </row>
    <row r="980" spans="1:5" x14ac:dyDescent="0.45">
      <c r="A980" s="2">
        <v>43867</v>
      </c>
      <c r="B980">
        <v>2</v>
      </c>
      <c r="C980">
        <v>2020</v>
      </c>
      <c r="D980" t="s">
        <v>73</v>
      </c>
      <c r="E980">
        <v>2</v>
      </c>
    </row>
    <row r="981" spans="1:5" x14ac:dyDescent="0.45">
      <c r="A981" s="2">
        <v>43867</v>
      </c>
      <c r="B981">
        <v>2</v>
      </c>
      <c r="C981">
        <v>2020</v>
      </c>
      <c r="D981" t="s">
        <v>172</v>
      </c>
      <c r="E981">
        <v>1</v>
      </c>
    </row>
    <row r="982" spans="1:5" x14ac:dyDescent="0.45">
      <c r="A982" s="2">
        <v>43867</v>
      </c>
      <c r="B982">
        <v>2</v>
      </c>
      <c r="C982">
        <v>2020</v>
      </c>
      <c r="D982" t="s">
        <v>73</v>
      </c>
      <c r="E982">
        <v>1</v>
      </c>
    </row>
    <row r="983" spans="1:5" x14ac:dyDescent="0.45">
      <c r="A983" s="2">
        <v>43863</v>
      </c>
      <c r="B983">
        <v>2</v>
      </c>
      <c r="C983">
        <v>2020</v>
      </c>
      <c r="D983" t="s">
        <v>35</v>
      </c>
      <c r="E983">
        <v>3</v>
      </c>
    </row>
    <row r="984" spans="1:5" x14ac:dyDescent="0.45">
      <c r="A984" s="2">
        <v>43862</v>
      </c>
      <c r="B984">
        <v>2</v>
      </c>
      <c r="C984">
        <v>2020</v>
      </c>
      <c r="D984" t="s">
        <v>129</v>
      </c>
      <c r="E984">
        <v>4</v>
      </c>
    </row>
    <row r="985" spans="1:5" x14ac:dyDescent="0.45">
      <c r="A985" s="2">
        <v>43861</v>
      </c>
      <c r="B985">
        <v>1</v>
      </c>
      <c r="C985">
        <v>2020</v>
      </c>
      <c r="D985" t="s">
        <v>129</v>
      </c>
      <c r="E985">
        <v>4</v>
      </c>
    </row>
    <row r="986" spans="1:5" x14ac:dyDescent="0.45">
      <c r="A986" s="2">
        <v>43861</v>
      </c>
      <c r="B986">
        <v>1</v>
      </c>
      <c r="C986">
        <v>2020</v>
      </c>
      <c r="D986" t="s">
        <v>52</v>
      </c>
      <c r="E986">
        <v>2</v>
      </c>
    </row>
    <row r="987" spans="1:5" x14ac:dyDescent="0.45">
      <c r="A987" s="2">
        <v>43860</v>
      </c>
      <c r="B987">
        <v>1</v>
      </c>
      <c r="C987">
        <v>2020</v>
      </c>
      <c r="D987" t="s">
        <v>73</v>
      </c>
      <c r="E987">
        <v>5</v>
      </c>
    </row>
    <row r="988" spans="1:5" x14ac:dyDescent="0.45">
      <c r="A988" s="2">
        <v>43860</v>
      </c>
      <c r="B988">
        <v>1</v>
      </c>
      <c r="C988">
        <v>2020</v>
      </c>
      <c r="D988" t="s">
        <v>52</v>
      </c>
      <c r="E988">
        <v>5</v>
      </c>
    </row>
    <row r="989" spans="1:5" x14ac:dyDescent="0.45">
      <c r="A989" s="2">
        <v>43860</v>
      </c>
      <c r="B989">
        <v>1</v>
      </c>
      <c r="C989">
        <v>2020</v>
      </c>
      <c r="D989" t="s">
        <v>172</v>
      </c>
      <c r="E989">
        <v>1</v>
      </c>
    </row>
    <row r="990" spans="1:5" x14ac:dyDescent="0.45">
      <c r="A990" s="2">
        <v>43860</v>
      </c>
      <c r="B990">
        <v>1</v>
      </c>
      <c r="C990">
        <v>2020</v>
      </c>
      <c r="D990" t="s">
        <v>93</v>
      </c>
      <c r="E990">
        <v>5</v>
      </c>
    </row>
    <row r="991" spans="1:5" x14ac:dyDescent="0.45">
      <c r="A991" s="2">
        <v>43853</v>
      </c>
      <c r="B991">
        <v>1</v>
      </c>
      <c r="C991">
        <v>2020</v>
      </c>
      <c r="D991" t="s">
        <v>172</v>
      </c>
      <c r="E991">
        <v>1</v>
      </c>
    </row>
    <row r="992" spans="1:5" x14ac:dyDescent="0.45">
      <c r="A992" s="2">
        <v>43853</v>
      </c>
      <c r="B992">
        <v>1</v>
      </c>
      <c r="C992">
        <v>2020</v>
      </c>
      <c r="D992" t="s">
        <v>85</v>
      </c>
      <c r="E992">
        <v>1</v>
      </c>
    </row>
    <row r="993" spans="1:5" x14ac:dyDescent="0.45">
      <c r="A993" s="2">
        <v>43845</v>
      </c>
      <c r="B993">
        <v>1</v>
      </c>
      <c r="C993">
        <v>2020</v>
      </c>
      <c r="D993" t="s">
        <v>93</v>
      </c>
      <c r="E993">
        <v>4</v>
      </c>
    </row>
    <row r="994" spans="1:5" x14ac:dyDescent="0.45">
      <c r="A994" s="2">
        <v>43844</v>
      </c>
      <c r="B994">
        <v>1</v>
      </c>
      <c r="C994">
        <v>2020</v>
      </c>
      <c r="D994" t="s">
        <v>129</v>
      </c>
      <c r="E994">
        <v>5</v>
      </c>
    </row>
    <row r="995" spans="1:5" x14ac:dyDescent="0.45">
      <c r="A995" s="2">
        <v>43841</v>
      </c>
      <c r="B995">
        <v>1</v>
      </c>
      <c r="C995">
        <v>2020</v>
      </c>
      <c r="D995" t="s">
        <v>85</v>
      </c>
      <c r="E995">
        <v>4</v>
      </c>
    </row>
    <row r="996" spans="1:5" x14ac:dyDescent="0.45">
      <c r="A996" s="2">
        <v>43838</v>
      </c>
      <c r="B996">
        <v>1</v>
      </c>
      <c r="C996">
        <v>2020</v>
      </c>
      <c r="D996" t="s">
        <v>129</v>
      </c>
      <c r="E996">
        <v>5</v>
      </c>
    </row>
    <row r="997" spans="1:5" x14ac:dyDescent="0.45">
      <c r="A997" s="2">
        <v>43838</v>
      </c>
      <c r="B997">
        <v>1</v>
      </c>
      <c r="C997">
        <v>2020</v>
      </c>
      <c r="D997" t="s">
        <v>129</v>
      </c>
      <c r="E997">
        <v>5</v>
      </c>
    </row>
    <row r="998" spans="1:5" x14ac:dyDescent="0.45">
      <c r="A998" s="2">
        <v>43837</v>
      </c>
      <c r="B998">
        <v>1</v>
      </c>
      <c r="C998">
        <v>2020</v>
      </c>
      <c r="D998" t="s">
        <v>24</v>
      </c>
      <c r="E998">
        <v>1</v>
      </c>
    </row>
    <row r="999" spans="1:5" x14ac:dyDescent="0.45">
      <c r="A999" s="2">
        <v>43834</v>
      </c>
      <c r="B999">
        <v>1</v>
      </c>
      <c r="C999">
        <v>2020</v>
      </c>
      <c r="D999" t="s">
        <v>172</v>
      </c>
      <c r="E999">
        <v>2</v>
      </c>
    </row>
    <row r="1000" spans="1:5" x14ac:dyDescent="0.45">
      <c r="A1000" s="2">
        <v>43832</v>
      </c>
      <c r="B1000">
        <v>1</v>
      </c>
      <c r="C1000">
        <v>2020</v>
      </c>
      <c r="D1000" t="s">
        <v>172</v>
      </c>
      <c r="E1000">
        <v>5</v>
      </c>
    </row>
    <row r="1001" spans="1:5" x14ac:dyDescent="0.45">
      <c r="A1001" s="2">
        <v>43832</v>
      </c>
      <c r="B1001">
        <v>1</v>
      </c>
      <c r="C1001">
        <v>2020</v>
      </c>
      <c r="D1001" t="s">
        <v>24</v>
      </c>
      <c r="E1001">
        <v>4</v>
      </c>
    </row>
  </sheetData>
  <autoFilter ref="A1:E1001" xr:uid="{00000000-0009-0000-0000-000001000000}">
    <sortState xmlns:xlrd2="http://schemas.microsoft.com/office/spreadsheetml/2017/richdata2" ref="A2:E1001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959"/>
  <sheetViews>
    <sheetView workbookViewId="0">
      <selection activeCell="F30" sqref="F30"/>
    </sheetView>
  </sheetViews>
  <sheetFormatPr defaultRowHeight="14.25" x14ac:dyDescent="0.45"/>
  <cols>
    <col min="1" max="1" width="9.9296875" style="6" bestFit="1" customWidth="1"/>
    <col min="2" max="3" width="9.9296875" style="7" customWidth="1"/>
    <col min="4" max="4" width="9.33203125" style="7" bestFit="1" customWidth="1"/>
    <col min="5" max="5" width="13.19921875" style="7" bestFit="1" customWidth="1"/>
    <col min="7" max="7" width="12.3984375" customWidth="1"/>
    <col min="8" max="12" width="8.59765625" customWidth="1"/>
    <col min="13" max="13" width="6.33203125" bestFit="1" customWidth="1"/>
    <col min="14" max="14" width="9.86328125" bestFit="1" customWidth="1"/>
  </cols>
  <sheetData>
    <row r="1" spans="1:23" x14ac:dyDescent="0.45">
      <c r="A1" s="18" t="s">
        <v>709</v>
      </c>
      <c r="B1" s="19" t="s">
        <v>710</v>
      </c>
      <c r="C1" s="19" t="s">
        <v>711</v>
      </c>
      <c r="D1" s="19" t="s">
        <v>717</v>
      </c>
      <c r="E1" s="19" t="s">
        <v>713</v>
      </c>
      <c r="F1" s="16"/>
      <c r="G1" s="19" t="s">
        <v>730</v>
      </c>
    </row>
    <row r="2" spans="1:23" x14ac:dyDescent="0.45">
      <c r="A2" s="6">
        <v>43832</v>
      </c>
      <c r="B2" s="7" t="str">
        <f>TEXT(A2,"MMMM")</f>
        <v>January</v>
      </c>
      <c r="C2" s="7">
        <v>2020</v>
      </c>
      <c r="D2" s="7" t="s">
        <v>726</v>
      </c>
      <c r="E2" s="7">
        <v>4</v>
      </c>
      <c r="N2" s="24" t="s">
        <v>742</v>
      </c>
    </row>
    <row r="3" spans="1:23" x14ac:dyDescent="0.45">
      <c r="A3" s="6">
        <v>43832</v>
      </c>
      <c r="B3" s="7" t="str">
        <f t="shared" ref="B3:B66" si="0">TEXT(A3,"MMMM")</f>
        <v>January</v>
      </c>
      <c r="C3" s="7">
        <v>2020</v>
      </c>
      <c r="D3" s="7" t="s">
        <v>726</v>
      </c>
      <c r="E3" s="7">
        <v>5</v>
      </c>
      <c r="G3" s="16" t="s">
        <v>710</v>
      </c>
      <c r="H3" s="16" t="s">
        <v>726</v>
      </c>
      <c r="I3" s="16" t="s">
        <v>727</v>
      </c>
      <c r="J3" s="16" t="s">
        <v>728</v>
      </c>
      <c r="K3" s="16" t="s">
        <v>729</v>
      </c>
      <c r="L3" s="16"/>
      <c r="N3" s="16" t="s">
        <v>710</v>
      </c>
      <c r="O3" s="16" t="s">
        <v>726</v>
      </c>
      <c r="P3" s="16" t="s">
        <v>727</v>
      </c>
      <c r="Q3" s="16" t="s">
        <v>728</v>
      </c>
      <c r="R3" s="16" t="s">
        <v>729</v>
      </c>
    </row>
    <row r="4" spans="1:23" x14ac:dyDescent="0.45">
      <c r="A4" s="6">
        <v>43834</v>
      </c>
      <c r="B4" s="7" t="str">
        <f t="shared" si="0"/>
        <v>January</v>
      </c>
      <c r="C4" s="7">
        <v>2020</v>
      </c>
      <c r="D4" s="7" t="s">
        <v>726</v>
      </c>
      <c r="E4" s="7">
        <v>2</v>
      </c>
      <c r="G4" s="16" t="s">
        <v>731</v>
      </c>
      <c r="H4">
        <v>144</v>
      </c>
      <c r="I4">
        <v>68</v>
      </c>
      <c r="J4">
        <v>11</v>
      </c>
      <c r="K4">
        <v>12</v>
      </c>
      <c r="L4">
        <f>SUM(H4:K4)</f>
        <v>235</v>
      </c>
      <c r="N4" s="16" t="s">
        <v>731</v>
      </c>
      <c r="O4" s="17">
        <f>H4/SUM($H4:$K4)</f>
        <v>0.61276595744680851</v>
      </c>
      <c r="P4" s="17">
        <f t="shared" ref="P4:R4" si="1">I4/SUM($H4:$K4)</f>
        <v>0.28936170212765955</v>
      </c>
      <c r="Q4" s="17">
        <f t="shared" ref="Q4" si="2">J4/SUM($H4:$K4)</f>
        <v>4.6808510638297871E-2</v>
      </c>
      <c r="R4" s="17">
        <f t="shared" ref="R4" si="3">K4/SUM($H4:$K4)</f>
        <v>5.106382978723404E-2</v>
      </c>
      <c r="S4" s="22">
        <f>SUM(O4:R4)</f>
        <v>0.99999999999999989</v>
      </c>
      <c r="V4" s="17"/>
      <c r="W4" s="17"/>
    </row>
    <row r="5" spans="1:23" x14ac:dyDescent="0.45">
      <c r="A5" s="6">
        <v>43837</v>
      </c>
      <c r="B5" s="7" t="str">
        <f t="shared" si="0"/>
        <v>January</v>
      </c>
      <c r="C5" s="7">
        <v>2020</v>
      </c>
      <c r="D5" s="7" t="s">
        <v>726</v>
      </c>
      <c r="E5" s="7">
        <v>1</v>
      </c>
      <c r="G5" s="16" t="s">
        <v>732</v>
      </c>
      <c r="H5">
        <v>125</v>
      </c>
      <c r="I5">
        <v>43</v>
      </c>
      <c r="J5">
        <v>42</v>
      </c>
      <c r="K5">
        <v>28</v>
      </c>
      <c r="L5">
        <f t="shared" ref="L5:L15" si="4">SUM(H5:K5)</f>
        <v>238</v>
      </c>
      <c r="N5" s="16" t="s">
        <v>732</v>
      </c>
      <c r="O5" s="17">
        <f t="shared" ref="O5:O15" si="5">H5/SUM($H5:$K5)</f>
        <v>0.52521008403361347</v>
      </c>
      <c r="P5" s="17">
        <f t="shared" ref="P5:P15" si="6">I5/SUM($H5:$K5)</f>
        <v>0.18067226890756302</v>
      </c>
      <c r="Q5" s="17">
        <f t="shared" ref="Q5:Q15" si="7">J5/SUM($H5:$K5)</f>
        <v>0.17647058823529413</v>
      </c>
      <c r="R5" s="17">
        <f t="shared" ref="R5:R15" si="8">K5/SUM($H5:$K5)</f>
        <v>0.11764705882352941</v>
      </c>
      <c r="S5" s="22">
        <f t="shared" ref="S5:S15" si="9">SUM(O5:R5)</f>
        <v>1</v>
      </c>
    </row>
    <row r="6" spans="1:23" x14ac:dyDescent="0.45">
      <c r="A6" s="6">
        <v>43838</v>
      </c>
      <c r="B6" s="7" t="str">
        <f t="shared" si="0"/>
        <v>January</v>
      </c>
      <c r="C6" s="7">
        <v>2020</v>
      </c>
      <c r="D6" s="7" t="s">
        <v>726</v>
      </c>
      <c r="E6" s="7">
        <v>10</v>
      </c>
      <c r="G6" s="16" t="s">
        <v>733</v>
      </c>
      <c r="H6">
        <v>156</v>
      </c>
      <c r="I6">
        <v>46</v>
      </c>
      <c r="J6">
        <v>21</v>
      </c>
      <c r="K6">
        <v>21</v>
      </c>
      <c r="L6">
        <f t="shared" si="4"/>
        <v>244</v>
      </c>
      <c r="N6" s="16" t="s">
        <v>733</v>
      </c>
      <c r="O6" s="17">
        <f t="shared" si="5"/>
        <v>0.63934426229508201</v>
      </c>
      <c r="P6" s="17">
        <f t="shared" si="6"/>
        <v>0.18852459016393441</v>
      </c>
      <c r="Q6" s="17">
        <f t="shared" si="7"/>
        <v>8.6065573770491802E-2</v>
      </c>
      <c r="R6" s="17">
        <f t="shared" si="8"/>
        <v>8.6065573770491802E-2</v>
      </c>
      <c r="S6" s="22">
        <f t="shared" si="9"/>
        <v>1</v>
      </c>
    </row>
    <row r="7" spans="1:23" x14ac:dyDescent="0.45">
      <c r="A7" s="6">
        <v>43841</v>
      </c>
      <c r="B7" s="7" t="str">
        <f t="shared" si="0"/>
        <v>January</v>
      </c>
      <c r="C7" s="7">
        <v>2020</v>
      </c>
      <c r="D7" s="7" t="s">
        <v>726</v>
      </c>
      <c r="E7" s="7">
        <v>4</v>
      </c>
      <c r="G7" s="16" t="s">
        <v>734</v>
      </c>
      <c r="H7">
        <v>149</v>
      </c>
      <c r="I7">
        <v>58</v>
      </c>
      <c r="J7">
        <v>24</v>
      </c>
      <c r="K7">
        <v>29</v>
      </c>
      <c r="L7">
        <f t="shared" si="4"/>
        <v>260</v>
      </c>
      <c r="N7" s="16" t="s">
        <v>734</v>
      </c>
      <c r="O7" s="17">
        <f t="shared" si="5"/>
        <v>0.57307692307692304</v>
      </c>
      <c r="P7" s="17">
        <f t="shared" si="6"/>
        <v>0.22307692307692309</v>
      </c>
      <c r="Q7" s="17">
        <f t="shared" si="7"/>
        <v>9.2307692307692313E-2</v>
      </c>
      <c r="R7" s="17">
        <f t="shared" si="8"/>
        <v>0.11153846153846154</v>
      </c>
      <c r="S7" s="22">
        <f t="shared" si="9"/>
        <v>1</v>
      </c>
    </row>
    <row r="8" spans="1:23" x14ac:dyDescent="0.45">
      <c r="A8" s="6">
        <v>43844</v>
      </c>
      <c r="B8" s="7" t="str">
        <f t="shared" si="0"/>
        <v>January</v>
      </c>
      <c r="C8" s="7">
        <v>2020</v>
      </c>
      <c r="D8" s="7" t="s">
        <v>726</v>
      </c>
      <c r="E8" s="7">
        <v>5</v>
      </c>
      <c r="G8" s="16" t="s">
        <v>715</v>
      </c>
      <c r="H8">
        <v>89</v>
      </c>
      <c r="I8">
        <v>74</v>
      </c>
      <c r="J8">
        <v>14</v>
      </c>
      <c r="K8">
        <v>24</v>
      </c>
      <c r="L8">
        <f t="shared" si="4"/>
        <v>201</v>
      </c>
      <c r="N8" s="16" t="s">
        <v>715</v>
      </c>
      <c r="O8" s="17">
        <f t="shared" si="5"/>
        <v>0.44278606965174128</v>
      </c>
      <c r="P8" s="17">
        <f t="shared" si="6"/>
        <v>0.36815920398009949</v>
      </c>
      <c r="Q8" s="17">
        <f t="shared" si="7"/>
        <v>6.965174129353234E-2</v>
      </c>
      <c r="R8" s="17">
        <f t="shared" si="8"/>
        <v>0.11940298507462686</v>
      </c>
      <c r="S8" s="22">
        <f t="shared" si="9"/>
        <v>1</v>
      </c>
    </row>
    <row r="9" spans="1:23" x14ac:dyDescent="0.45">
      <c r="A9" s="6">
        <v>43845</v>
      </c>
      <c r="B9" s="7" t="str">
        <f t="shared" si="0"/>
        <v>January</v>
      </c>
      <c r="C9" s="7">
        <v>2020</v>
      </c>
      <c r="D9" s="7" t="s">
        <v>727</v>
      </c>
      <c r="E9" s="7">
        <v>4</v>
      </c>
      <c r="G9" s="16" t="s">
        <v>735</v>
      </c>
      <c r="H9">
        <v>180</v>
      </c>
      <c r="I9">
        <v>44</v>
      </c>
      <c r="J9">
        <v>29</v>
      </c>
      <c r="K9">
        <v>49</v>
      </c>
      <c r="L9">
        <f t="shared" si="4"/>
        <v>302</v>
      </c>
      <c r="N9" s="16" t="s">
        <v>735</v>
      </c>
      <c r="O9" s="17">
        <f t="shared" si="5"/>
        <v>0.59602649006622521</v>
      </c>
      <c r="P9" s="17">
        <f t="shared" si="6"/>
        <v>0.14569536423841059</v>
      </c>
      <c r="Q9" s="17">
        <f t="shared" si="7"/>
        <v>9.602649006622517E-2</v>
      </c>
      <c r="R9" s="17">
        <f t="shared" si="8"/>
        <v>0.16225165562913907</v>
      </c>
      <c r="S9" s="22">
        <f t="shared" si="9"/>
        <v>1</v>
      </c>
    </row>
    <row r="10" spans="1:23" x14ac:dyDescent="0.45">
      <c r="A10" s="6">
        <v>43853</v>
      </c>
      <c r="B10" s="7" t="str">
        <f t="shared" si="0"/>
        <v>January</v>
      </c>
      <c r="C10" s="7">
        <v>2020</v>
      </c>
      <c r="D10" s="7" t="s">
        <v>726</v>
      </c>
      <c r="E10" s="7">
        <v>1</v>
      </c>
      <c r="G10" s="16" t="s">
        <v>736</v>
      </c>
      <c r="H10">
        <v>114</v>
      </c>
      <c r="I10">
        <v>67</v>
      </c>
      <c r="J10">
        <v>30</v>
      </c>
      <c r="K10">
        <v>48</v>
      </c>
      <c r="L10">
        <f t="shared" si="4"/>
        <v>259</v>
      </c>
      <c r="N10" s="16" t="s">
        <v>736</v>
      </c>
      <c r="O10" s="17">
        <f t="shared" si="5"/>
        <v>0.44015444015444016</v>
      </c>
      <c r="P10" s="17">
        <f t="shared" si="6"/>
        <v>0.25868725868725867</v>
      </c>
      <c r="Q10" s="17">
        <f t="shared" si="7"/>
        <v>0.11583011583011583</v>
      </c>
      <c r="R10" s="17">
        <f t="shared" si="8"/>
        <v>0.18532818532818532</v>
      </c>
      <c r="S10" s="22">
        <f t="shared" si="9"/>
        <v>0.99999999999999989</v>
      </c>
    </row>
    <row r="11" spans="1:23" x14ac:dyDescent="0.45">
      <c r="A11" s="6">
        <v>43853</v>
      </c>
      <c r="B11" s="7" t="str">
        <f t="shared" si="0"/>
        <v>January</v>
      </c>
      <c r="C11" s="7">
        <v>2020</v>
      </c>
      <c r="D11" s="7" t="s">
        <v>726</v>
      </c>
      <c r="E11" s="7">
        <v>1</v>
      </c>
      <c r="G11" s="16" t="s">
        <v>737</v>
      </c>
      <c r="H11">
        <v>145</v>
      </c>
      <c r="I11">
        <v>57</v>
      </c>
      <c r="J11">
        <v>43</v>
      </c>
      <c r="K11">
        <v>20</v>
      </c>
      <c r="L11">
        <f t="shared" si="4"/>
        <v>265</v>
      </c>
      <c r="N11" s="16" t="s">
        <v>737</v>
      </c>
      <c r="O11" s="17">
        <f t="shared" si="5"/>
        <v>0.54716981132075471</v>
      </c>
      <c r="P11" s="17">
        <f t="shared" si="6"/>
        <v>0.21509433962264152</v>
      </c>
      <c r="Q11" s="17">
        <f t="shared" si="7"/>
        <v>0.16226415094339622</v>
      </c>
      <c r="R11" s="17">
        <f t="shared" si="8"/>
        <v>7.5471698113207544E-2</v>
      </c>
      <c r="S11" s="22">
        <f t="shared" si="9"/>
        <v>1</v>
      </c>
    </row>
    <row r="12" spans="1:23" x14ac:dyDescent="0.45">
      <c r="A12" s="6">
        <v>43860</v>
      </c>
      <c r="B12" s="7" t="str">
        <f t="shared" si="0"/>
        <v>January</v>
      </c>
      <c r="C12" s="7">
        <v>2020</v>
      </c>
      <c r="D12" s="7" t="s">
        <v>727</v>
      </c>
      <c r="E12" s="7">
        <v>5</v>
      </c>
      <c r="G12" s="16" t="s">
        <v>738</v>
      </c>
      <c r="H12">
        <v>180</v>
      </c>
      <c r="I12">
        <v>76</v>
      </c>
      <c r="J12">
        <v>20</v>
      </c>
      <c r="K12">
        <v>39</v>
      </c>
      <c r="L12">
        <f t="shared" si="4"/>
        <v>315</v>
      </c>
      <c r="N12" s="16" t="s">
        <v>738</v>
      </c>
      <c r="O12" s="17">
        <f t="shared" si="5"/>
        <v>0.5714285714285714</v>
      </c>
      <c r="P12" s="17">
        <f t="shared" si="6"/>
        <v>0.24126984126984127</v>
      </c>
      <c r="Q12" s="17">
        <f t="shared" si="7"/>
        <v>6.3492063492063489E-2</v>
      </c>
      <c r="R12" s="17">
        <f t="shared" si="8"/>
        <v>0.12380952380952381</v>
      </c>
      <c r="S12" s="22">
        <f t="shared" si="9"/>
        <v>1</v>
      </c>
    </row>
    <row r="13" spans="1:23" x14ac:dyDescent="0.45">
      <c r="A13" s="6">
        <v>43860</v>
      </c>
      <c r="B13" s="7" t="str">
        <f t="shared" si="0"/>
        <v>January</v>
      </c>
      <c r="C13" s="7">
        <v>2020</v>
      </c>
      <c r="D13" s="7" t="s">
        <v>727</v>
      </c>
      <c r="E13" s="7">
        <v>5</v>
      </c>
      <c r="G13" s="16" t="s">
        <v>739</v>
      </c>
      <c r="H13">
        <v>138</v>
      </c>
      <c r="I13">
        <v>48</v>
      </c>
      <c r="J13">
        <v>24</v>
      </c>
      <c r="K13">
        <v>39</v>
      </c>
      <c r="L13">
        <f t="shared" si="4"/>
        <v>249</v>
      </c>
      <c r="N13" s="16" t="s">
        <v>739</v>
      </c>
      <c r="O13" s="17">
        <f t="shared" si="5"/>
        <v>0.55421686746987953</v>
      </c>
      <c r="P13" s="17">
        <f t="shared" si="6"/>
        <v>0.19277108433734941</v>
      </c>
      <c r="Q13" s="17">
        <f t="shared" si="7"/>
        <v>9.6385542168674704E-2</v>
      </c>
      <c r="R13" s="17">
        <f t="shared" si="8"/>
        <v>0.15662650602409639</v>
      </c>
      <c r="S13" s="22">
        <f t="shared" si="9"/>
        <v>1</v>
      </c>
    </row>
    <row r="14" spans="1:23" x14ac:dyDescent="0.45">
      <c r="A14" s="6">
        <v>43860</v>
      </c>
      <c r="B14" s="7" t="str">
        <f t="shared" si="0"/>
        <v>January</v>
      </c>
      <c r="C14" s="7">
        <v>2020</v>
      </c>
      <c r="D14" s="7" t="s">
        <v>728</v>
      </c>
      <c r="E14" s="7">
        <v>5</v>
      </c>
      <c r="G14" s="16" t="s">
        <v>740</v>
      </c>
      <c r="H14">
        <v>141</v>
      </c>
      <c r="I14">
        <v>33</v>
      </c>
      <c r="J14">
        <v>40</v>
      </c>
      <c r="K14">
        <v>16</v>
      </c>
      <c r="L14">
        <f t="shared" si="4"/>
        <v>230</v>
      </c>
      <c r="N14" s="16" t="s">
        <v>740</v>
      </c>
      <c r="O14" s="17">
        <f t="shared" si="5"/>
        <v>0.61304347826086958</v>
      </c>
      <c r="P14" s="17">
        <f t="shared" si="6"/>
        <v>0.14347826086956522</v>
      </c>
      <c r="Q14" s="17">
        <f t="shared" si="7"/>
        <v>0.17391304347826086</v>
      </c>
      <c r="R14" s="17">
        <f t="shared" si="8"/>
        <v>6.9565217391304349E-2</v>
      </c>
      <c r="S14" s="22">
        <f t="shared" si="9"/>
        <v>1</v>
      </c>
    </row>
    <row r="15" spans="1:23" x14ac:dyDescent="0.45">
      <c r="A15" s="6">
        <v>43860</v>
      </c>
      <c r="B15" s="7" t="str">
        <f t="shared" si="0"/>
        <v>January</v>
      </c>
      <c r="C15" s="7">
        <v>2020</v>
      </c>
      <c r="D15" s="7" t="s">
        <v>726</v>
      </c>
      <c r="E15" s="7">
        <v>1</v>
      </c>
      <c r="G15" s="16" t="s">
        <v>741</v>
      </c>
      <c r="H15">
        <v>134</v>
      </c>
      <c r="I15">
        <v>75</v>
      </c>
      <c r="J15">
        <v>20</v>
      </c>
      <c r="K15">
        <v>25</v>
      </c>
      <c r="L15">
        <f t="shared" si="4"/>
        <v>254</v>
      </c>
      <c r="N15" s="16" t="s">
        <v>741</v>
      </c>
      <c r="O15" s="17">
        <f t="shared" si="5"/>
        <v>0.52755905511811019</v>
      </c>
      <c r="P15" s="17">
        <f t="shared" si="6"/>
        <v>0.29527559055118108</v>
      </c>
      <c r="Q15" s="17">
        <f t="shared" si="7"/>
        <v>7.874015748031496E-2</v>
      </c>
      <c r="R15" s="17">
        <f t="shared" si="8"/>
        <v>9.8425196850393706E-2</v>
      </c>
      <c r="S15" s="22">
        <f t="shared" si="9"/>
        <v>0.99999999999999989</v>
      </c>
    </row>
    <row r="16" spans="1:23" x14ac:dyDescent="0.45">
      <c r="A16" s="6">
        <v>43861</v>
      </c>
      <c r="B16" s="7" t="str">
        <f t="shared" si="0"/>
        <v>January</v>
      </c>
      <c r="C16" s="7">
        <v>2020</v>
      </c>
      <c r="D16" s="7" t="s">
        <v>726</v>
      </c>
      <c r="E16" s="7">
        <v>4</v>
      </c>
    </row>
    <row r="17" spans="1:19" x14ac:dyDescent="0.45">
      <c r="A17" s="6">
        <v>43861</v>
      </c>
      <c r="B17" s="7" t="str">
        <f t="shared" si="0"/>
        <v>January</v>
      </c>
      <c r="C17" s="7">
        <v>2020</v>
      </c>
      <c r="D17" s="7" t="s">
        <v>728</v>
      </c>
      <c r="E17" s="7">
        <v>2</v>
      </c>
      <c r="N17" s="21" t="s">
        <v>743</v>
      </c>
      <c r="O17" s="4"/>
      <c r="P17" s="20" t="str">
        <f>Waffle!B8</f>
        <v>February</v>
      </c>
    </row>
    <row r="18" spans="1:19" x14ac:dyDescent="0.45">
      <c r="A18" s="6">
        <v>43862</v>
      </c>
      <c r="B18" s="7" t="str">
        <f t="shared" si="0"/>
        <v>February</v>
      </c>
      <c r="C18" s="7">
        <v>2020</v>
      </c>
      <c r="D18" s="7" t="s">
        <v>726</v>
      </c>
      <c r="E18" s="7">
        <v>4</v>
      </c>
      <c r="G18" s="14" t="s">
        <v>721</v>
      </c>
    </row>
    <row r="19" spans="1:19" x14ac:dyDescent="0.45">
      <c r="A19" s="6">
        <v>43863</v>
      </c>
      <c r="B19" s="7" t="str">
        <f t="shared" si="0"/>
        <v>February</v>
      </c>
      <c r="C19" s="7">
        <v>2020</v>
      </c>
      <c r="D19" s="7" t="s">
        <v>729</v>
      </c>
      <c r="E19" s="7">
        <v>3</v>
      </c>
      <c r="G19" s="8" t="s">
        <v>722</v>
      </c>
      <c r="N19" s="16" t="str" cm="1">
        <f t="array" ref="N19:R19">_xlfn._xlws.FILTER(N4:R15,N4:N15=P17)</f>
        <v>February</v>
      </c>
      <c r="O19" s="17">
        <v>0.52521008403361347</v>
      </c>
      <c r="P19" s="17">
        <v>0.18067226890756302</v>
      </c>
      <c r="Q19" s="17">
        <v>0.17647058823529413</v>
      </c>
      <c r="R19" s="17">
        <v>0.11764705882352941</v>
      </c>
    </row>
    <row r="20" spans="1:19" x14ac:dyDescent="0.45">
      <c r="A20" s="6">
        <v>43867</v>
      </c>
      <c r="B20" s="7" t="str">
        <f t="shared" si="0"/>
        <v>February</v>
      </c>
      <c r="C20" s="7">
        <v>2020</v>
      </c>
      <c r="D20" s="7" t="s">
        <v>727</v>
      </c>
      <c r="E20" s="7">
        <v>3</v>
      </c>
      <c r="G20" s="9" t="s">
        <v>723</v>
      </c>
      <c r="O20" s="22">
        <f>O19+N20</f>
        <v>0.52521008403361347</v>
      </c>
      <c r="P20" s="22">
        <f t="shared" ref="P20:R20" si="10">P19+O20</f>
        <v>0.70588235294117652</v>
      </c>
      <c r="Q20" s="22">
        <f t="shared" si="10"/>
        <v>0.88235294117647067</v>
      </c>
      <c r="R20" s="22">
        <f t="shared" si="10"/>
        <v>1</v>
      </c>
      <c r="S20" s="23" t="s">
        <v>744</v>
      </c>
    </row>
    <row r="21" spans="1:19" x14ac:dyDescent="0.45">
      <c r="A21" s="6">
        <v>43867</v>
      </c>
      <c r="B21" s="7" t="str">
        <f t="shared" si="0"/>
        <v>February</v>
      </c>
      <c r="C21" s="7">
        <v>2020</v>
      </c>
      <c r="D21" s="7" t="s">
        <v>726</v>
      </c>
      <c r="E21" s="7">
        <v>1</v>
      </c>
      <c r="G21" s="10" t="s">
        <v>724</v>
      </c>
    </row>
    <row r="22" spans="1:19" x14ac:dyDescent="0.45">
      <c r="A22" s="6">
        <v>43868</v>
      </c>
      <c r="B22" s="7" t="str">
        <f t="shared" si="0"/>
        <v>February</v>
      </c>
      <c r="C22" s="7">
        <v>2020</v>
      </c>
      <c r="D22" s="7" t="s">
        <v>727</v>
      </c>
      <c r="E22" s="7">
        <v>1</v>
      </c>
      <c r="G22" s="11" t="s">
        <v>725</v>
      </c>
      <c r="N22" s="23" t="s">
        <v>745</v>
      </c>
    </row>
    <row r="23" spans="1:19" x14ac:dyDescent="0.45">
      <c r="A23" s="6">
        <v>43870</v>
      </c>
      <c r="B23" s="7" t="str">
        <f t="shared" si="0"/>
        <v>February</v>
      </c>
      <c r="C23" s="7">
        <v>2020</v>
      </c>
      <c r="D23" s="7" t="s">
        <v>728</v>
      </c>
      <c r="E23" s="7">
        <v>5</v>
      </c>
    </row>
    <row r="24" spans="1:19" x14ac:dyDescent="0.45">
      <c r="A24" s="6">
        <v>43871</v>
      </c>
      <c r="B24" s="7" t="str">
        <f t="shared" si="0"/>
        <v>February</v>
      </c>
      <c r="C24" s="7">
        <v>2020</v>
      </c>
      <c r="D24" s="7" t="s">
        <v>726</v>
      </c>
      <c r="E24" s="7">
        <v>5</v>
      </c>
    </row>
    <row r="25" spans="1:19" x14ac:dyDescent="0.45">
      <c r="A25" s="6">
        <v>43871</v>
      </c>
      <c r="B25" s="7" t="str">
        <f t="shared" si="0"/>
        <v>February</v>
      </c>
      <c r="C25" s="7">
        <v>2020</v>
      </c>
      <c r="D25" s="7" t="s">
        <v>726</v>
      </c>
      <c r="E25" s="7">
        <v>5</v>
      </c>
    </row>
    <row r="26" spans="1:19" x14ac:dyDescent="0.45">
      <c r="A26" s="6">
        <v>43872</v>
      </c>
      <c r="B26" s="7" t="str">
        <f t="shared" si="0"/>
        <v>February</v>
      </c>
      <c r="C26" s="7">
        <v>2020</v>
      </c>
      <c r="D26" s="7" t="s">
        <v>726</v>
      </c>
      <c r="E26" s="7">
        <v>4</v>
      </c>
    </row>
    <row r="27" spans="1:19" x14ac:dyDescent="0.45">
      <c r="A27" s="6">
        <v>43873</v>
      </c>
      <c r="B27" s="7" t="str">
        <f t="shared" si="0"/>
        <v>February</v>
      </c>
      <c r="C27" s="7">
        <v>2020</v>
      </c>
      <c r="D27" s="7" t="s">
        <v>726</v>
      </c>
      <c r="E27" s="7">
        <v>2</v>
      </c>
    </row>
    <row r="28" spans="1:19" x14ac:dyDescent="0.45">
      <c r="A28" s="6">
        <v>43873</v>
      </c>
      <c r="B28" s="7" t="str">
        <f t="shared" si="0"/>
        <v>February</v>
      </c>
      <c r="C28" s="7">
        <v>2020</v>
      </c>
      <c r="D28" s="7" t="s">
        <v>726</v>
      </c>
      <c r="E28" s="7">
        <v>2</v>
      </c>
    </row>
    <row r="29" spans="1:19" x14ac:dyDescent="0.45">
      <c r="A29" s="6">
        <v>43874</v>
      </c>
      <c r="B29" s="7" t="str">
        <f t="shared" si="0"/>
        <v>February</v>
      </c>
      <c r="C29" s="7">
        <v>2020</v>
      </c>
      <c r="D29" s="7" t="s">
        <v>726</v>
      </c>
      <c r="E29" s="7">
        <v>1</v>
      </c>
    </row>
    <row r="30" spans="1:19" x14ac:dyDescent="0.45">
      <c r="A30" s="6">
        <v>43878</v>
      </c>
      <c r="B30" s="7" t="str">
        <f t="shared" si="0"/>
        <v>February</v>
      </c>
      <c r="C30" s="7">
        <v>2020</v>
      </c>
      <c r="D30" s="7" t="s">
        <v>727</v>
      </c>
      <c r="E30" s="7">
        <v>3</v>
      </c>
    </row>
    <row r="31" spans="1:19" x14ac:dyDescent="0.45">
      <c r="A31" s="6">
        <v>43878</v>
      </c>
      <c r="B31" s="7" t="str">
        <f t="shared" si="0"/>
        <v>February</v>
      </c>
      <c r="C31" s="7">
        <v>2020</v>
      </c>
      <c r="D31" s="7" t="s">
        <v>729</v>
      </c>
      <c r="E31" s="7">
        <v>2</v>
      </c>
    </row>
    <row r="32" spans="1:19" x14ac:dyDescent="0.45">
      <c r="A32" s="6">
        <v>43880</v>
      </c>
      <c r="B32" s="7" t="str">
        <f t="shared" si="0"/>
        <v>February</v>
      </c>
      <c r="C32" s="7">
        <v>2020</v>
      </c>
      <c r="D32" s="7" t="s">
        <v>728</v>
      </c>
      <c r="E32" s="7">
        <v>5</v>
      </c>
    </row>
    <row r="33" spans="1:5" x14ac:dyDescent="0.45">
      <c r="A33" s="6">
        <v>43880</v>
      </c>
      <c r="B33" s="7" t="str">
        <f t="shared" si="0"/>
        <v>February</v>
      </c>
      <c r="C33" s="7">
        <v>2020</v>
      </c>
      <c r="D33" s="7" t="s">
        <v>726</v>
      </c>
      <c r="E33" s="7">
        <v>5</v>
      </c>
    </row>
    <row r="34" spans="1:5" x14ac:dyDescent="0.45">
      <c r="A34" s="6">
        <v>43882</v>
      </c>
      <c r="B34" s="7" t="str">
        <f t="shared" si="0"/>
        <v>February</v>
      </c>
      <c r="C34" s="7">
        <v>2020</v>
      </c>
      <c r="D34" s="7" t="s">
        <v>728</v>
      </c>
      <c r="E34" s="7">
        <v>4</v>
      </c>
    </row>
    <row r="35" spans="1:5" x14ac:dyDescent="0.45">
      <c r="A35" s="6">
        <v>43885</v>
      </c>
      <c r="B35" s="7" t="str">
        <f t="shared" si="0"/>
        <v>February</v>
      </c>
      <c r="C35" s="7">
        <v>2020</v>
      </c>
      <c r="D35" s="7" t="s">
        <v>726</v>
      </c>
      <c r="E35" s="7">
        <v>5</v>
      </c>
    </row>
    <row r="36" spans="1:5" x14ac:dyDescent="0.45">
      <c r="A36" s="6">
        <v>43886</v>
      </c>
      <c r="B36" s="7" t="str">
        <f t="shared" si="0"/>
        <v>February</v>
      </c>
      <c r="C36" s="7">
        <v>2020</v>
      </c>
      <c r="D36" s="7" t="s">
        <v>726</v>
      </c>
      <c r="E36" s="7">
        <v>5</v>
      </c>
    </row>
    <row r="37" spans="1:5" x14ac:dyDescent="0.45">
      <c r="A37" s="6">
        <v>43889</v>
      </c>
      <c r="B37" s="7" t="str">
        <f t="shared" si="0"/>
        <v>February</v>
      </c>
      <c r="C37" s="7">
        <v>2020</v>
      </c>
      <c r="D37" s="7" t="s">
        <v>726</v>
      </c>
      <c r="E37" s="7">
        <v>2</v>
      </c>
    </row>
    <row r="38" spans="1:5" x14ac:dyDescent="0.45">
      <c r="A38" s="6">
        <v>43889</v>
      </c>
      <c r="B38" s="7" t="str">
        <f t="shared" si="0"/>
        <v>February</v>
      </c>
      <c r="C38" s="7">
        <v>2020</v>
      </c>
      <c r="D38" s="7" t="s">
        <v>728</v>
      </c>
      <c r="E38" s="7">
        <v>2</v>
      </c>
    </row>
    <row r="39" spans="1:5" x14ac:dyDescent="0.45">
      <c r="A39" s="6">
        <v>43889</v>
      </c>
      <c r="B39" s="7" t="str">
        <f t="shared" si="0"/>
        <v>February</v>
      </c>
      <c r="C39" s="7">
        <v>2020</v>
      </c>
      <c r="D39" s="7" t="s">
        <v>729</v>
      </c>
      <c r="E39" s="7">
        <v>3</v>
      </c>
    </row>
    <row r="40" spans="1:5" x14ac:dyDescent="0.45">
      <c r="A40" s="6">
        <v>43891</v>
      </c>
      <c r="B40" s="7" t="str">
        <f t="shared" si="0"/>
        <v>March</v>
      </c>
      <c r="C40" s="7">
        <v>2020</v>
      </c>
      <c r="D40" s="7" t="s">
        <v>726</v>
      </c>
      <c r="E40" s="7">
        <v>4</v>
      </c>
    </row>
    <row r="41" spans="1:5" x14ac:dyDescent="0.45">
      <c r="A41" s="6">
        <v>43894</v>
      </c>
      <c r="B41" s="7" t="str">
        <f t="shared" si="0"/>
        <v>March</v>
      </c>
      <c r="C41" s="7">
        <v>2020</v>
      </c>
      <c r="D41" s="7" t="s">
        <v>727</v>
      </c>
      <c r="E41" s="7">
        <v>4</v>
      </c>
    </row>
    <row r="42" spans="1:5" x14ac:dyDescent="0.45">
      <c r="A42" s="6">
        <v>43894</v>
      </c>
      <c r="B42" s="7" t="str">
        <f t="shared" si="0"/>
        <v>March</v>
      </c>
      <c r="C42" s="7">
        <v>2020</v>
      </c>
      <c r="D42" s="7" t="s">
        <v>726</v>
      </c>
      <c r="E42" s="7">
        <v>3</v>
      </c>
    </row>
    <row r="43" spans="1:5" x14ac:dyDescent="0.45">
      <c r="A43" s="6">
        <v>43895</v>
      </c>
      <c r="B43" s="7" t="str">
        <f t="shared" si="0"/>
        <v>March</v>
      </c>
      <c r="C43" s="7">
        <v>2020</v>
      </c>
      <c r="D43" s="7" t="s">
        <v>726</v>
      </c>
      <c r="E43" s="7">
        <v>5</v>
      </c>
    </row>
    <row r="44" spans="1:5" x14ac:dyDescent="0.45">
      <c r="A44" s="6">
        <v>43897</v>
      </c>
      <c r="B44" s="7" t="str">
        <f t="shared" si="0"/>
        <v>March</v>
      </c>
      <c r="C44" s="7">
        <v>2020</v>
      </c>
      <c r="D44" s="7" t="s">
        <v>726</v>
      </c>
      <c r="E44" s="7">
        <v>2</v>
      </c>
    </row>
    <row r="45" spans="1:5" x14ac:dyDescent="0.45">
      <c r="A45" s="6">
        <v>43898</v>
      </c>
      <c r="B45" s="7" t="str">
        <f t="shared" si="0"/>
        <v>March</v>
      </c>
      <c r="C45" s="7">
        <v>2020</v>
      </c>
      <c r="D45" s="7" t="s">
        <v>726</v>
      </c>
      <c r="E45" s="7">
        <v>2</v>
      </c>
    </row>
    <row r="46" spans="1:5" x14ac:dyDescent="0.45">
      <c r="A46" s="6">
        <v>43903</v>
      </c>
      <c r="B46" s="7" t="str">
        <f t="shared" si="0"/>
        <v>March</v>
      </c>
      <c r="C46" s="7">
        <v>2020</v>
      </c>
      <c r="D46" s="7" t="s">
        <v>726</v>
      </c>
      <c r="E46" s="7">
        <v>5</v>
      </c>
    </row>
    <row r="47" spans="1:5" x14ac:dyDescent="0.45">
      <c r="A47" s="6">
        <v>43904</v>
      </c>
      <c r="B47" s="7" t="str">
        <f t="shared" si="0"/>
        <v>March</v>
      </c>
      <c r="C47" s="7">
        <v>2020</v>
      </c>
      <c r="D47" s="7" t="s">
        <v>727</v>
      </c>
      <c r="E47" s="7">
        <v>3</v>
      </c>
    </row>
    <row r="48" spans="1:5" x14ac:dyDescent="0.45">
      <c r="A48" s="6">
        <v>43904</v>
      </c>
      <c r="B48" s="7" t="str">
        <f t="shared" si="0"/>
        <v>March</v>
      </c>
      <c r="C48" s="7">
        <v>2020</v>
      </c>
      <c r="D48" s="7" t="s">
        <v>728</v>
      </c>
      <c r="E48" s="7">
        <v>5</v>
      </c>
    </row>
    <row r="49" spans="1:5" x14ac:dyDescent="0.45">
      <c r="A49" s="6">
        <v>43904</v>
      </c>
      <c r="B49" s="7" t="str">
        <f t="shared" si="0"/>
        <v>March</v>
      </c>
      <c r="C49" s="7">
        <v>2020</v>
      </c>
      <c r="D49" s="7" t="s">
        <v>726</v>
      </c>
      <c r="E49" s="7">
        <v>2</v>
      </c>
    </row>
    <row r="50" spans="1:5" x14ac:dyDescent="0.45">
      <c r="A50" s="6">
        <v>43905</v>
      </c>
      <c r="B50" s="7" t="str">
        <f t="shared" si="0"/>
        <v>March</v>
      </c>
      <c r="C50" s="7">
        <v>2020</v>
      </c>
      <c r="D50" s="7" t="s">
        <v>726</v>
      </c>
      <c r="E50" s="7">
        <v>3</v>
      </c>
    </row>
    <row r="51" spans="1:5" x14ac:dyDescent="0.45">
      <c r="A51" s="6">
        <v>43910</v>
      </c>
      <c r="B51" s="7" t="str">
        <f t="shared" si="0"/>
        <v>March</v>
      </c>
      <c r="C51" s="7">
        <v>2020</v>
      </c>
      <c r="D51" s="7" t="s">
        <v>726</v>
      </c>
      <c r="E51" s="7">
        <v>4</v>
      </c>
    </row>
    <row r="52" spans="1:5" x14ac:dyDescent="0.45">
      <c r="A52" s="6">
        <v>43913</v>
      </c>
      <c r="B52" s="7" t="str">
        <f t="shared" si="0"/>
        <v>March</v>
      </c>
      <c r="C52" s="7">
        <v>2020</v>
      </c>
      <c r="D52" s="7" t="s">
        <v>729</v>
      </c>
      <c r="E52" s="7">
        <v>3</v>
      </c>
    </row>
    <row r="53" spans="1:5" x14ac:dyDescent="0.45">
      <c r="A53" s="6">
        <v>43913</v>
      </c>
      <c r="B53" s="7" t="str">
        <f t="shared" si="0"/>
        <v>March</v>
      </c>
      <c r="C53" s="7">
        <v>2020</v>
      </c>
      <c r="D53" s="7" t="s">
        <v>726</v>
      </c>
      <c r="E53" s="7">
        <v>4</v>
      </c>
    </row>
    <row r="54" spans="1:5" x14ac:dyDescent="0.45">
      <c r="A54" s="6">
        <v>43915</v>
      </c>
      <c r="B54" s="7" t="str">
        <f t="shared" si="0"/>
        <v>March</v>
      </c>
      <c r="C54" s="7">
        <v>2020</v>
      </c>
      <c r="D54" s="7" t="s">
        <v>727</v>
      </c>
      <c r="E54" s="7">
        <v>1</v>
      </c>
    </row>
    <row r="55" spans="1:5" x14ac:dyDescent="0.45">
      <c r="A55" s="6">
        <v>43916</v>
      </c>
      <c r="B55" s="7" t="str">
        <f t="shared" si="0"/>
        <v>March</v>
      </c>
      <c r="C55" s="7">
        <v>2020</v>
      </c>
      <c r="D55" s="7" t="s">
        <v>727</v>
      </c>
      <c r="E55" s="7">
        <v>5</v>
      </c>
    </row>
    <row r="56" spans="1:5" x14ac:dyDescent="0.45">
      <c r="A56" s="6">
        <v>43916</v>
      </c>
      <c r="B56" s="7" t="str">
        <f t="shared" si="0"/>
        <v>March</v>
      </c>
      <c r="C56" s="7">
        <v>2020</v>
      </c>
      <c r="D56" s="7" t="s">
        <v>726</v>
      </c>
      <c r="E56" s="7">
        <v>1</v>
      </c>
    </row>
    <row r="57" spans="1:5" x14ac:dyDescent="0.45">
      <c r="A57" s="6">
        <v>43916</v>
      </c>
      <c r="B57" s="7" t="str">
        <f t="shared" si="0"/>
        <v>March</v>
      </c>
      <c r="C57" s="7">
        <v>2020</v>
      </c>
      <c r="D57" s="7" t="s">
        <v>726</v>
      </c>
      <c r="E57" s="7">
        <v>4</v>
      </c>
    </row>
    <row r="58" spans="1:5" x14ac:dyDescent="0.45">
      <c r="A58" s="6">
        <v>43917</v>
      </c>
      <c r="B58" s="7" t="str">
        <f t="shared" si="0"/>
        <v>March</v>
      </c>
      <c r="C58" s="7">
        <v>2020</v>
      </c>
      <c r="D58" s="7" t="s">
        <v>727</v>
      </c>
      <c r="E58" s="7">
        <v>3</v>
      </c>
    </row>
    <row r="59" spans="1:5" x14ac:dyDescent="0.45">
      <c r="A59" s="6">
        <v>43918</v>
      </c>
      <c r="B59" s="7" t="str">
        <f t="shared" si="0"/>
        <v>March</v>
      </c>
      <c r="C59" s="7">
        <v>2020</v>
      </c>
      <c r="D59" s="7" t="s">
        <v>727</v>
      </c>
      <c r="E59" s="7">
        <v>1</v>
      </c>
    </row>
    <row r="60" spans="1:5" x14ac:dyDescent="0.45">
      <c r="A60" s="6">
        <v>43920</v>
      </c>
      <c r="B60" s="7" t="str">
        <f t="shared" si="0"/>
        <v>March</v>
      </c>
      <c r="C60" s="7">
        <v>2020</v>
      </c>
      <c r="D60" s="7" t="s">
        <v>726</v>
      </c>
      <c r="E60" s="7">
        <v>1</v>
      </c>
    </row>
    <row r="61" spans="1:5" x14ac:dyDescent="0.45">
      <c r="A61" s="6">
        <v>43921</v>
      </c>
      <c r="B61" s="7" t="str">
        <f t="shared" si="0"/>
        <v>March</v>
      </c>
      <c r="C61" s="7">
        <v>2020</v>
      </c>
      <c r="D61" s="7" t="s">
        <v>727</v>
      </c>
      <c r="E61" s="7">
        <v>5</v>
      </c>
    </row>
    <row r="62" spans="1:5" x14ac:dyDescent="0.45">
      <c r="A62" s="6">
        <v>43925</v>
      </c>
      <c r="B62" s="7" t="str">
        <f t="shared" si="0"/>
        <v>April</v>
      </c>
      <c r="C62" s="7">
        <v>2020</v>
      </c>
      <c r="D62" s="7" t="s">
        <v>726</v>
      </c>
      <c r="E62" s="7">
        <v>2</v>
      </c>
    </row>
    <row r="63" spans="1:5" x14ac:dyDescent="0.45">
      <c r="A63" s="6">
        <v>43926</v>
      </c>
      <c r="B63" s="7" t="str">
        <f t="shared" si="0"/>
        <v>April</v>
      </c>
      <c r="C63" s="7">
        <v>2020</v>
      </c>
      <c r="D63" s="7" t="s">
        <v>726</v>
      </c>
      <c r="E63" s="7">
        <v>4</v>
      </c>
    </row>
    <row r="64" spans="1:5" x14ac:dyDescent="0.45">
      <c r="A64" s="6">
        <v>43930</v>
      </c>
      <c r="B64" s="7" t="str">
        <f t="shared" si="0"/>
        <v>April</v>
      </c>
      <c r="C64" s="7">
        <v>2020</v>
      </c>
      <c r="D64" s="7" t="s">
        <v>728</v>
      </c>
      <c r="E64" s="7">
        <v>1</v>
      </c>
    </row>
    <row r="65" spans="1:5" x14ac:dyDescent="0.45">
      <c r="A65" s="6">
        <v>43931</v>
      </c>
      <c r="B65" s="7" t="str">
        <f t="shared" si="0"/>
        <v>April</v>
      </c>
      <c r="C65" s="7">
        <v>2020</v>
      </c>
      <c r="D65" s="7" t="s">
        <v>726</v>
      </c>
      <c r="E65" s="7">
        <v>6</v>
      </c>
    </row>
    <row r="66" spans="1:5" x14ac:dyDescent="0.45">
      <c r="A66" s="6">
        <v>43932</v>
      </c>
      <c r="B66" s="7" t="str">
        <f t="shared" si="0"/>
        <v>April</v>
      </c>
      <c r="C66" s="7">
        <v>2020</v>
      </c>
      <c r="D66" s="7" t="s">
        <v>727</v>
      </c>
      <c r="E66" s="7">
        <v>3</v>
      </c>
    </row>
    <row r="67" spans="1:5" x14ac:dyDescent="0.45">
      <c r="A67" s="6">
        <v>43932</v>
      </c>
      <c r="B67" s="7" t="str">
        <f t="shared" ref="B67:B130" si="11">TEXT(A67,"MMMM")</f>
        <v>April</v>
      </c>
      <c r="C67" s="7">
        <v>2020</v>
      </c>
      <c r="D67" s="7" t="s">
        <v>726</v>
      </c>
      <c r="E67" s="7">
        <v>2</v>
      </c>
    </row>
    <row r="68" spans="1:5" x14ac:dyDescent="0.45">
      <c r="A68" s="6">
        <v>43935</v>
      </c>
      <c r="B68" s="7" t="str">
        <f t="shared" si="11"/>
        <v>April</v>
      </c>
      <c r="C68" s="7">
        <v>2020</v>
      </c>
      <c r="D68" s="7" t="s">
        <v>726</v>
      </c>
      <c r="E68" s="7">
        <v>5</v>
      </c>
    </row>
    <row r="69" spans="1:5" x14ac:dyDescent="0.45">
      <c r="A69" s="6">
        <v>43936</v>
      </c>
      <c r="B69" s="7" t="str">
        <f t="shared" si="11"/>
        <v>April</v>
      </c>
      <c r="C69" s="7">
        <v>2020</v>
      </c>
      <c r="D69" s="7" t="s">
        <v>726</v>
      </c>
      <c r="E69" s="7">
        <v>4</v>
      </c>
    </row>
    <row r="70" spans="1:5" x14ac:dyDescent="0.45">
      <c r="A70" s="6">
        <v>43937</v>
      </c>
      <c r="B70" s="7" t="str">
        <f t="shared" si="11"/>
        <v>April</v>
      </c>
      <c r="C70" s="7">
        <v>2020</v>
      </c>
      <c r="D70" s="7" t="s">
        <v>729</v>
      </c>
      <c r="E70" s="7">
        <v>5</v>
      </c>
    </row>
    <row r="71" spans="1:5" x14ac:dyDescent="0.45">
      <c r="A71" s="6">
        <v>43939</v>
      </c>
      <c r="B71" s="7" t="str">
        <f t="shared" si="11"/>
        <v>April</v>
      </c>
      <c r="C71" s="7">
        <v>2020</v>
      </c>
      <c r="D71" s="7" t="s">
        <v>727</v>
      </c>
      <c r="E71" s="7">
        <v>5</v>
      </c>
    </row>
    <row r="72" spans="1:5" x14ac:dyDescent="0.45">
      <c r="A72" s="6">
        <v>43941</v>
      </c>
      <c r="B72" s="7" t="str">
        <f t="shared" si="11"/>
        <v>April</v>
      </c>
      <c r="C72" s="7">
        <v>2020</v>
      </c>
      <c r="D72" s="7" t="s">
        <v>726</v>
      </c>
      <c r="E72" s="7">
        <v>5</v>
      </c>
    </row>
    <row r="73" spans="1:5" x14ac:dyDescent="0.45">
      <c r="A73" s="6">
        <v>43942</v>
      </c>
      <c r="B73" s="7" t="str">
        <f t="shared" si="11"/>
        <v>April</v>
      </c>
      <c r="C73" s="7">
        <v>2020</v>
      </c>
      <c r="D73" s="7" t="s">
        <v>727</v>
      </c>
      <c r="E73" s="7">
        <v>2</v>
      </c>
    </row>
    <row r="74" spans="1:5" x14ac:dyDescent="0.45">
      <c r="A74" s="6">
        <v>43942</v>
      </c>
      <c r="B74" s="7" t="str">
        <f t="shared" si="11"/>
        <v>April</v>
      </c>
      <c r="C74" s="7">
        <v>2020</v>
      </c>
      <c r="D74" s="7" t="s">
        <v>729</v>
      </c>
      <c r="E74" s="7">
        <v>4</v>
      </c>
    </row>
    <row r="75" spans="1:5" x14ac:dyDescent="0.45">
      <c r="A75" s="6">
        <v>43943</v>
      </c>
      <c r="B75" s="7" t="str">
        <f t="shared" si="11"/>
        <v>April</v>
      </c>
      <c r="C75" s="7">
        <v>2020</v>
      </c>
      <c r="D75" s="7" t="s">
        <v>726</v>
      </c>
      <c r="E75" s="7">
        <v>5</v>
      </c>
    </row>
    <row r="76" spans="1:5" x14ac:dyDescent="0.45">
      <c r="A76" s="6">
        <v>43944</v>
      </c>
      <c r="B76" s="7" t="str">
        <f t="shared" si="11"/>
        <v>April</v>
      </c>
      <c r="C76" s="7">
        <v>2020</v>
      </c>
      <c r="D76" s="7" t="s">
        <v>729</v>
      </c>
      <c r="E76" s="7">
        <v>2</v>
      </c>
    </row>
    <row r="77" spans="1:5" x14ac:dyDescent="0.45">
      <c r="A77" s="6">
        <v>43945</v>
      </c>
      <c r="B77" s="7" t="str">
        <f t="shared" si="11"/>
        <v>April</v>
      </c>
      <c r="C77" s="7">
        <v>2020</v>
      </c>
      <c r="D77" s="7" t="s">
        <v>728</v>
      </c>
      <c r="E77" s="7">
        <v>5</v>
      </c>
    </row>
    <row r="78" spans="1:5" x14ac:dyDescent="0.45">
      <c r="A78" s="6">
        <v>43946</v>
      </c>
      <c r="B78" s="7" t="str">
        <f t="shared" si="11"/>
        <v>April</v>
      </c>
      <c r="C78" s="7">
        <v>2020</v>
      </c>
      <c r="D78" s="7" t="s">
        <v>726</v>
      </c>
      <c r="E78" s="7">
        <v>4</v>
      </c>
    </row>
    <row r="79" spans="1:5" x14ac:dyDescent="0.45">
      <c r="A79" s="6">
        <v>43949</v>
      </c>
      <c r="B79" s="7" t="str">
        <f t="shared" si="11"/>
        <v>April</v>
      </c>
      <c r="C79" s="7">
        <v>2020</v>
      </c>
      <c r="D79" s="7" t="s">
        <v>726</v>
      </c>
      <c r="E79" s="7">
        <v>3</v>
      </c>
    </row>
    <row r="80" spans="1:5" x14ac:dyDescent="0.45">
      <c r="A80" s="6">
        <v>43952</v>
      </c>
      <c r="B80" s="7" t="str">
        <f t="shared" si="11"/>
        <v>May</v>
      </c>
      <c r="C80" s="7">
        <v>2020</v>
      </c>
      <c r="D80" s="7" t="s">
        <v>726</v>
      </c>
      <c r="E80" s="7">
        <v>1</v>
      </c>
    </row>
    <row r="81" spans="1:5" x14ac:dyDescent="0.45">
      <c r="A81" s="6">
        <v>43954</v>
      </c>
      <c r="B81" s="7" t="str">
        <f t="shared" si="11"/>
        <v>May</v>
      </c>
      <c r="C81" s="7">
        <v>2020</v>
      </c>
      <c r="D81" s="7" t="s">
        <v>727</v>
      </c>
      <c r="E81" s="7">
        <v>1</v>
      </c>
    </row>
    <row r="82" spans="1:5" x14ac:dyDescent="0.45">
      <c r="A82" s="6">
        <v>43954</v>
      </c>
      <c r="B82" s="7" t="str">
        <f t="shared" si="11"/>
        <v>May</v>
      </c>
      <c r="C82" s="7">
        <v>2020</v>
      </c>
      <c r="D82" s="7" t="s">
        <v>726</v>
      </c>
      <c r="E82" s="7">
        <v>4</v>
      </c>
    </row>
    <row r="83" spans="1:5" x14ac:dyDescent="0.45">
      <c r="A83" s="6">
        <v>43954</v>
      </c>
      <c r="B83" s="7" t="str">
        <f t="shared" si="11"/>
        <v>May</v>
      </c>
      <c r="C83" s="7">
        <v>2020</v>
      </c>
      <c r="D83" s="7" t="s">
        <v>726</v>
      </c>
      <c r="E83" s="7">
        <v>1</v>
      </c>
    </row>
    <row r="84" spans="1:5" x14ac:dyDescent="0.45">
      <c r="A84" s="6">
        <v>43955</v>
      </c>
      <c r="B84" s="7" t="str">
        <f t="shared" si="11"/>
        <v>May</v>
      </c>
      <c r="C84" s="7">
        <v>2020</v>
      </c>
      <c r="D84" s="7" t="s">
        <v>726</v>
      </c>
      <c r="E84" s="7">
        <v>4</v>
      </c>
    </row>
    <row r="85" spans="1:5" x14ac:dyDescent="0.45">
      <c r="A85" s="6">
        <v>43955</v>
      </c>
      <c r="B85" s="7" t="str">
        <f t="shared" si="11"/>
        <v>May</v>
      </c>
      <c r="C85" s="7">
        <v>2020</v>
      </c>
      <c r="D85" s="7" t="s">
        <v>726</v>
      </c>
      <c r="E85" s="7">
        <v>3</v>
      </c>
    </row>
    <row r="86" spans="1:5" x14ac:dyDescent="0.45">
      <c r="A86" s="6">
        <v>43961</v>
      </c>
      <c r="B86" s="7" t="str">
        <f t="shared" si="11"/>
        <v>May</v>
      </c>
      <c r="C86" s="7">
        <v>2020</v>
      </c>
      <c r="D86" s="7" t="s">
        <v>727</v>
      </c>
      <c r="E86" s="7">
        <v>5</v>
      </c>
    </row>
    <row r="87" spans="1:5" x14ac:dyDescent="0.45">
      <c r="A87" s="6">
        <v>43962</v>
      </c>
      <c r="B87" s="7" t="str">
        <f t="shared" si="11"/>
        <v>May</v>
      </c>
      <c r="C87" s="7">
        <v>2020</v>
      </c>
      <c r="D87" s="7" t="s">
        <v>727</v>
      </c>
      <c r="E87" s="7">
        <v>1</v>
      </c>
    </row>
    <row r="88" spans="1:5" x14ac:dyDescent="0.45">
      <c r="A88" s="6">
        <v>43962</v>
      </c>
      <c r="B88" s="7" t="str">
        <f t="shared" si="11"/>
        <v>May</v>
      </c>
      <c r="C88" s="7">
        <v>2020</v>
      </c>
      <c r="D88" s="7" t="s">
        <v>727</v>
      </c>
      <c r="E88" s="7">
        <v>4</v>
      </c>
    </row>
    <row r="89" spans="1:5" x14ac:dyDescent="0.45">
      <c r="A89" s="6">
        <v>43963</v>
      </c>
      <c r="B89" s="7" t="str">
        <f t="shared" si="11"/>
        <v>May</v>
      </c>
      <c r="C89" s="7">
        <v>2020</v>
      </c>
      <c r="D89" s="7" t="s">
        <v>728</v>
      </c>
      <c r="E89" s="7">
        <v>1</v>
      </c>
    </row>
    <row r="90" spans="1:5" x14ac:dyDescent="0.45">
      <c r="A90" s="6">
        <v>43964</v>
      </c>
      <c r="B90" s="7" t="str">
        <f t="shared" si="11"/>
        <v>May</v>
      </c>
      <c r="C90" s="7">
        <v>2020</v>
      </c>
      <c r="D90" s="7" t="s">
        <v>727</v>
      </c>
      <c r="E90" s="7">
        <v>1</v>
      </c>
    </row>
    <row r="91" spans="1:5" x14ac:dyDescent="0.45">
      <c r="A91" s="6">
        <v>43964</v>
      </c>
      <c r="B91" s="7" t="str">
        <f t="shared" si="11"/>
        <v>May</v>
      </c>
      <c r="C91" s="7">
        <v>2020</v>
      </c>
      <c r="D91" s="7" t="s">
        <v>729</v>
      </c>
      <c r="E91" s="7">
        <v>5</v>
      </c>
    </row>
    <row r="92" spans="1:5" x14ac:dyDescent="0.45">
      <c r="A92" s="6">
        <v>43966</v>
      </c>
      <c r="B92" s="7" t="str">
        <f t="shared" si="11"/>
        <v>May</v>
      </c>
      <c r="C92" s="7">
        <v>2020</v>
      </c>
      <c r="D92" s="7" t="s">
        <v>727</v>
      </c>
      <c r="E92" s="7">
        <v>5</v>
      </c>
    </row>
    <row r="93" spans="1:5" x14ac:dyDescent="0.45">
      <c r="A93" s="6">
        <v>43970</v>
      </c>
      <c r="B93" s="7" t="str">
        <f t="shared" si="11"/>
        <v>May</v>
      </c>
      <c r="C93" s="7">
        <v>2020</v>
      </c>
      <c r="D93" s="7" t="s">
        <v>727</v>
      </c>
      <c r="E93" s="7">
        <v>4</v>
      </c>
    </row>
    <row r="94" spans="1:5" x14ac:dyDescent="0.45">
      <c r="A94" s="6">
        <v>43971</v>
      </c>
      <c r="B94" s="7" t="str">
        <f t="shared" si="11"/>
        <v>May</v>
      </c>
      <c r="C94" s="7">
        <v>2020</v>
      </c>
      <c r="D94" s="7" t="s">
        <v>727</v>
      </c>
      <c r="E94" s="7">
        <v>5</v>
      </c>
    </row>
    <row r="95" spans="1:5" x14ac:dyDescent="0.45">
      <c r="A95" s="6">
        <v>43978</v>
      </c>
      <c r="B95" s="7" t="str">
        <f t="shared" si="11"/>
        <v>May</v>
      </c>
      <c r="C95" s="7">
        <v>2020</v>
      </c>
      <c r="D95" s="7" t="s">
        <v>726</v>
      </c>
      <c r="E95" s="7">
        <v>2</v>
      </c>
    </row>
    <row r="96" spans="1:5" x14ac:dyDescent="0.45">
      <c r="A96" s="6">
        <v>43983</v>
      </c>
      <c r="B96" s="7" t="str">
        <f t="shared" si="11"/>
        <v>June</v>
      </c>
      <c r="C96" s="7">
        <v>2020</v>
      </c>
      <c r="D96" s="7" t="s">
        <v>728</v>
      </c>
      <c r="E96" s="7">
        <v>1</v>
      </c>
    </row>
    <row r="97" spans="1:5" x14ac:dyDescent="0.45">
      <c r="A97" s="6">
        <v>43984</v>
      </c>
      <c r="B97" s="7" t="str">
        <f t="shared" si="11"/>
        <v>June</v>
      </c>
      <c r="C97" s="7">
        <v>2020</v>
      </c>
      <c r="D97" s="7" t="s">
        <v>726</v>
      </c>
      <c r="E97" s="7">
        <v>5</v>
      </c>
    </row>
    <row r="98" spans="1:5" x14ac:dyDescent="0.45">
      <c r="A98" s="6">
        <v>43984</v>
      </c>
      <c r="B98" s="7" t="str">
        <f t="shared" si="11"/>
        <v>June</v>
      </c>
      <c r="C98" s="7">
        <v>2020</v>
      </c>
      <c r="D98" s="7" t="s">
        <v>726</v>
      </c>
      <c r="E98" s="7">
        <v>3</v>
      </c>
    </row>
    <row r="99" spans="1:5" x14ac:dyDescent="0.45">
      <c r="A99" s="6">
        <v>43985</v>
      </c>
      <c r="B99" s="7" t="str">
        <f t="shared" si="11"/>
        <v>June</v>
      </c>
      <c r="C99" s="7">
        <v>2020</v>
      </c>
      <c r="D99" s="7" t="s">
        <v>726</v>
      </c>
      <c r="E99" s="7">
        <v>1</v>
      </c>
    </row>
    <row r="100" spans="1:5" x14ac:dyDescent="0.45">
      <c r="A100" s="6">
        <v>43985</v>
      </c>
      <c r="B100" s="7" t="str">
        <f t="shared" si="11"/>
        <v>June</v>
      </c>
      <c r="C100" s="7">
        <v>2020</v>
      </c>
      <c r="D100" s="7" t="s">
        <v>729</v>
      </c>
      <c r="E100" s="7">
        <v>2</v>
      </c>
    </row>
    <row r="101" spans="1:5" x14ac:dyDescent="0.45">
      <c r="A101" s="6">
        <v>43987</v>
      </c>
      <c r="B101" s="7" t="str">
        <f t="shared" si="11"/>
        <v>June</v>
      </c>
      <c r="C101" s="7">
        <v>2020</v>
      </c>
      <c r="D101" s="7" t="s">
        <v>726</v>
      </c>
      <c r="E101" s="7">
        <v>2</v>
      </c>
    </row>
    <row r="102" spans="1:5" x14ac:dyDescent="0.45">
      <c r="A102" s="6">
        <v>43988</v>
      </c>
      <c r="B102" s="7" t="str">
        <f t="shared" si="11"/>
        <v>June</v>
      </c>
      <c r="C102" s="7">
        <v>2020</v>
      </c>
      <c r="D102" s="7" t="s">
        <v>728</v>
      </c>
      <c r="E102" s="7">
        <v>3</v>
      </c>
    </row>
    <row r="103" spans="1:5" x14ac:dyDescent="0.45">
      <c r="A103" s="6">
        <v>43988</v>
      </c>
      <c r="B103" s="7" t="str">
        <f t="shared" si="11"/>
        <v>June</v>
      </c>
      <c r="C103" s="7">
        <v>2020</v>
      </c>
      <c r="D103" s="7" t="s">
        <v>726</v>
      </c>
      <c r="E103" s="7">
        <v>5</v>
      </c>
    </row>
    <row r="104" spans="1:5" x14ac:dyDescent="0.45">
      <c r="A104" s="6">
        <v>43988</v>
      </c>
      <c r="B104" s="7" t="str">
        <f t="shared" si="11"/>
        <v>June</v>
      </c>
      <c r="C104" s="7">
        <v>2020</v>
      </c>
      <c r="D104" s="7" t="s">
        <v>726</v>
      </c>
      <c r="E104" s="7">
        <v>9</v>
      </c>
    </row>
    <row r="105" spans="1:5" x14ac:dyDescent="0.45">
      <c r="A105" s="6">
        <v>43989</v>
      </c>
      <c r="B105" s="7" t="str">
        <f t="shared" si="11"/>
        <v>June</v>
      </c>
      <c r="C105" s="7">
        <v>2020</v>
      </c>
      <c r="D105" s="7" t="s">
        <v>727</v>
      </c>
      <c r="E105" s="7">
        <v>1</v>
      </c>
    </row>
    <row r="106" spans="1:5" x14ac:dyDescent="0.45">
      <c r="A106" s="6">
        <v>43989</v>
      </c>
      <c r="B106" s="7" t="str">
        <f t="shared" si="11"/>
        <v>June</v>
      </c>
      <c r="C106" s="7">
        <v>2020</v>
      </c>
      <c r="D106" s="7" t="s">
        <v>728</v>
      </c>
      <c r="E106" s="7">
        <v>5</v>
      </c>
    </row>
    <row r="107" spans="1:5" x14ac:dyDescent="0.45">
      <c r="A107" s="6">
        <v>43990</v>
      </c>
      <c r="B107" s="7" t="str">
        <f t="shared" si="11"/>
        <v>June</v>
      </c>
      <c r="C107" s="7">
        <v>2020</v>
      </c>
      <c r="D107" s="7" t="s">
        <v>726</v>
      </c>
      <c r="E107" s="7">
        <v>1</v>
      </c>
    </row>
    <row r="108" spans="1:5" x14ac:dyDescent="0.45">
      <c r="A108" s="6">
        <v>43990</v>
      </c>
      <c r="B108" s="7" t="str">
        <f t="shared" si="11"/>
        <v>June</v>
      </c>
      <c r="C108" s="7">
        <v>2020</v>
      </c>
      <c r="D108" s="7" t="s">
        <v>726</v>
      </c>
      <c r="E108" s="7">
        <v>2</v>
      </c>
    </row>
    <row r="109" spans="1:5" x14ac:dyDescent="0.45">
      <c r="A109" s="6">
        <v>43991</v>
      </c>
      <c r="B109" s="7" t="str">
        <f t="shared" si="11"/>
        <v>June</v>
      </c>
      <c r="C109" s="7">
        <v>2020</v>
      </c>
      <c r="D109" s="7" t="s">
        <v>726</v>
      </c>
      <c r="E109" s="7">
        <v>3</v>
      </c>
    </row>
    <row r="110" spans="1:5" x14ac:dyDescent="0.45">
      <c r="A110" s="6">
        <v>43992</v>
      </c>
      <c r="B110" s="7" t="str">
        <f t="shared" si="11"/>
        <v>June</v>
      </c>
      <c r="C110" s="7">
        <v>2020</v>
      </c>
      <c r="D110" s="7" t="s">
        <v>729</v>
      </c>
      <c r="E110" s="7">
        <v>4</v>
      </c>
    </row>
    <row r="111" spans="1:5" x14ac:dyDescent="0.45">
      <c r="A111" s="6">
        <v>43994</v>
      </c>
      <c r="B111" s="7" t="str">
        <f t="shared" si="11"/>
        <v>June</v>
      </c>
      <c r="C111" s="7">
        <v>2020</v>
      </c>
      <c r="D111" s="7" t="s">
        <v>729</v>
      </c>
      <c r="E111" s="7">
        <v>4</v>
      </c>
    </row>
    <row r="112" spans="1:5" x14ac:dyDescent="0.45">
      <c r="A112" s="6">
        <v>43996</v>
      </c>
      <c r="B112" s="7" t="str">
        <f t="shared" si="11"/>
        <v>June</v>
      </c>
      <c r="C112" s="7">
        <v>2020</v>
      </c>
      <c r="D112" s="7" t="s">
        <v>726</v>
      </c>
      <c r="E112" s="7">
        <v>5</v>
      </c>
    </row>
    <row r="113" spans="1:5" x14ac:dyDescent="0.45">
      <c r="A113" s="6">
        <v>43997</v>
      </c>
      <c r="B113" s="7" t="str">
        <f t="shared" si="11"/>
        <v>June</v>
      </c>
      <c r="C113" s="7">
        <v>2020</v>
      </c>
      <c r="D113" s="7" t="s">
        <v>726</v>
      </c>
      <c r="E113" s="7">
        <v>4</v>
      </c>
    </row>
    <row r="114" spans="1:5" x14ac:dyDescent="0.45">
      <c r="A114" s="6">
        <v>43999</v>
      </c>
      <c r="B114" s="7" t="str">
        <f t="shared" si="11"/>
        <v>June</v>
      </c>
      <c r="C114" s="7">
        <v>2020</v>
      </c>
      <c r="D114" s="7" t="s">
        <v>727</v>
      </c>
      <c r="E114" s="7">
        <v>2</v>
      </c>
    </row>
    <row r="115" spans="1:5" x14ac:dyDescent="0.45">
      <c r="A115" s="6">
        <v>44000</v>
      </c>
      <c r="B115" s="7" t="str">
        <f t="shared" si="11"/>
        <v>June</v>
      </c>
      <c r="C115" s="7">
        <v>2020</v>
      </c>
      <c r="D115" s="7" t="s">
        <v>727</v>
      </c>
      <c r="E115" s="7">
        <v>1</v>
      </c>
    </row>
    <row r="116" spans="1:5" x14ac:dyDescent="0.45">
      <c r="A116" s="6">
        <v>44002</v>
      </c>
      <c r="B116" s="7" t="str">
        <f t="shared" si="11"/>
        <v>June</v>
      </c>
      <c r="C116" s="7">
        <v>2020</v>
      </c>
      <c r="D116" s="7" t="s">
        <v>726</v>
      </c>
      <c r="E116" s="7">
        <v>5</v>
      </c>
    </row>
    <row r="117" spans="1:5" x14ac:dyDescent="0.45">
      <c r="A117" s="6">
        <v>44003</v>
      </c>
      <c r="B117" s="7" t="str">
        <f t="shared" si="11"/>
        <v>June</v>
      </c>
      <c r="C117" s="7">
        <v>2020</v>
      </c>
      <c r="D117" s="7" t="s">
        <v>726</v>
      </c>
      <c r="E117" s="7">
        <v>3</v>
      </c>
    </row>
    <row r="118" spans="1:5" x14ac:dyDescent="0.45">
      <c r="A118" s="6">
        <v>44005</v>
      </c>
      <c r="B118" s="7" t="str">
        <f t="shared" si="11"/>
        <v>June</v>
      </c>
      <c r="C118" s="7">
        <v>2020</v>
      </c>
      <c r="D118" s="7" t="s">
        <v>726</v>
      </c>
      <c r="E118" s="7">
        <v>5</v>
      </c>
    </row>
    <row r="119" spans="1:5" x14ac:dyDescent="0.45">
      <c r="A119" s="6">
        <v>44005</v>
      </c>
      <c r="B119" s="7" t="str">
        <f t="shared" si="11"/>
        <v>June</v>
      </c>
      <c r="C119" s="7">
        <v>2020</v>
      </c>
      <c r="D119" s="7" t="s">
        <v>729</v>
      </c>
      <c r="E119" s="7">
        <v>1</v>
      </c>
    </row>
    <row r="120" spans="1:5" x14ac:dyDescent="0.45">
      <c r="A120" s="6">
        <v>44006</v>
      </c>
      <c r="B120" s="7" t="str">
        <f t="shared" si="11"/>
        <v>June</v>
      </c>
      <c r="C120" s="7">
        <v>2020</v>
      </c>
      <c r="D120" s="7" t="s">
        <v>726</v>
      </c>
      <c r="E120" s="7">
        <v>5</v>
      </c>
    </row>
    <row r="121" spans="1:5" x14ac:dyDescent="0.45">
      <c r="A121" s="6">
        <v>44007</v>
      </c>
      <c r="B121" s="7" t="str">
        <f t="shared" si="11"/>
        <v>June</v>
      </c>
      <c r="C121" s="7">
        <v>2020</v>
      </c>
      <c r="D121" s="7" t="s">
        <v>726</v>
      </c>
      <c r="E121" s="7">
        <v>4</v>
      </c>
    </row>
    <row r="122" spans="1:5" x14ac:dyDescent="0.45">
      <c r="A122" s="6">
        <v>44009</v>
      </c>
      <c r="B122" s="7" t="str">
        <f t="shared" si="11"/>
        <v>June</v>
      </c>
      <c r="C122" s="7">
        <v>2020</v>
      </c>
      <c r="D122" s="7" t="s">
        <v>726</v>
      </c>
      <c r="E122" s="7">
        <v>5</v>
      </c>
    </row>
    <row r="123" spans="1:5" x14ac:dyDescent="0.45">
      <c r="A123" s="6">
        <v>44010</v>
      </c>
      <c r="B123" s="7" t="str">
        <f t="shared" si="11"/>
        <v>June</v>
      </c>
      <c r="C123" s="7">
        <v>2020</v>
      </c>
      <c r="D123" s="7" t="s">
        <v>726</v>
      </c>
      <c r="E123" s="7">
        <v>7</v>
      </c>
    </row>
    <row r="124" spans="1:5" x14ac:dyDescent="0.45">
      <c r="A124" s="6">
        <v>44010</v>
      </c>
      <c r="B124" s="7" t="str">
        <f t="shared" si="11"/>
        <v>June</v>
      </c>
      <c r="C124" s="7">
        <v>2020</v>
      </c>
      <c r="D124" s="7" t="s">
        <v>726</v>
      </c>
      <c r="E124" s="7">
        <v>4</v>
      </c>
    </row>
    <row r="125" spans="1:5" x14ac:dyDescent="0.45">
      <c r="A125" s="6">
        <v>44012</v>
      </c>
      <c r="B125" s="7" t="str">
        <f t="shared" si="11"/>
        <v>June</v>
      </c>
      <c r="C125" s="7">
        <v>2020</v>
      </c>
      <c r="D125" s="7" t="s">
        <v>726</v>
      </c>
      <c r="E125" s="7">
        <v>1</v>
      </c>
    </row>
    <row r="126" spans="1:5" x14ac:dyDescent="0.45">
      <c r="A126" s="6">
        <v>44012</v>
      </c>
      <c r="B126" s="7" t="str">
        <f t="shared" si="11"/>
        <v>June</v>
      </c>
      <c r="C126" s="7">
        <v>2020</v>
      </c>
      <c r="D126" s="7" t="s">
        <v>726</v>
      </c>
      <c r="E126" s="7">
        <v>5</v>
      </c>
    </row>
    <row r="127" spans="1:5" x14ac:dyDescent="0.45">
      <c r="A127" s="6">
        <v>44012</v>
      </c>
      <c r="B127" s="7" t="str">
        <f t="shared" si="11"/>
        <v>June</v>
      </c>
      <c r="C127" s="7">
        <v>2020</v>
      </c>
      <c r="D127" s="7" t="s">
        <v>726</v>
      </c>
      <c r="E127" s="7">
        <v>3</v>
      </c>
    </row>
    <row r="128" spans="1:5" x14ac:dyDescent="0.45">
      <c r="A128" s="6">
        <v>44017</v>
      </c>
      <c r="B128" s="7" t="str">
        <f t="shared" si="11"/>
        <v>July</v>
      </c>
      <c r="C128" s="7">
        <v>2020</v>
      </c>
      <c r="D128" s="7" t="s">
        <v>726</v>
      </c>
      <c r="E128" s="7">
        <v>3</v>
      </c>
    </row>
    <row r="129" spans="1:5" x14ac:dyDescent="0.45">
      <c r="A129" s="6">
        <v>44018</v>
      </c>
      <c r="B129" s="7" t="str">
        <f t="shared" si="11"/>
        <v>July</v>
      </c>
      <c r="C129" s="7">
        <v>2020</v>
      </c>
      <c r="D129" s="7" t="s">
        <v>727</v>
      </c>
      <c r="E129" s="7">
        <v>3</v>
      </c>
    </row>
    <row r="130" spans="1:5" x14ac:dyDescent="0.45">
      <c r="A130" s="6">
        <v>44018</v>
      </c>
      <c r="B130" s="7" t="str">
        <f t="shared" si="11"/>
        <v>July</v>
      </c>
      <c r="C130" s="7">
        <v>2020</v>
      </c>
      <c r="D130" s="7" t="s">
        <v>726</v>
      </c>
      <c r="E130" s="7">
        <v>2</v>
      </c>
    </row>
    <row r="131" spans="1:5" x14ac:dyDescent="0.45">
      <c r="A131" s="6">
        <v>44019</v>
      </c>
      <c r="B131" s="7" t="str">
        <f t="shared" ref="B131:B194" si="12">TEXT(A131,"MMMM")</f>
        <v>July</v>
      </c>
      <c r="C131" s="7">
        <v>2020</v>
      </c>
      <c r="D131" s="7" t="s">
        <v>727</v>
      </c>
      <c r="E131" s="7">
        <v>2</v>
      </c>
    </row>
    <row r="132" spans="1:5" x14ac:dyDescent="0.45">
      <c r="A132" s="6">
        <v>44021</v>
      </c>
      <c r="B132" s="7" t="str">
        <f t="shared" si="12"/>
        <v>July</v>
      </c>
      <c r="C132" s="7">
        <v>2020</v>
      </c>
      <c r="D132" s="7" t="s">
        <v>726</v>
      </c>
      <c r="E132" s="7">
        <v>1</v>
      </c>
    </row>
    <row r="133" spans="1:5" x14ac:dyDescent="0.45">
      <c r="A133" s="6">
        <v>44021</v>
      </c>
      <c r="B133" s="7" t="str">
        <f t="shared" si="12"/>
        <v>July</v>
      </c>
      <c r="C133" s="7">
        <v>2020</v>
      </c>
      <c r="D133" s="7" t="s">
        <v>726</v>
      </c>
      <c r="E133" s="7">
        <v>4</v>
      </c>
    </row>
    <row r="134" spans="1:5" x14ac:dyDescent="0.45">
      <c r="A134" s="6">
        <v>44028</v>
      </c>
      <c r="B134" s="7" t="str">
        <f t="shared" si="12"/>
        <v>July</v>
      </c>
      <c r="C134" s="7">
        <v>2020</v>
      </c>
      <c r="D134" s="7" t="s">
        <v>729</v>
      </c>
      <c r="E134" s="7">
        <v>4</v>
      </c>
    </row>
    <row r="135" spans="1:5" x14ac:dyDescent="0.45">
      <c r="A135" s="6">
        <v>44030</v>
      </c>
      <c r="B135" s="7" t="str">
        <f t="shared" si="12"/>
        <v>July</v>
      </c>
      <c r="C135" s="7">
        <v>2020</v>
      </c>
      <c r="D135" s="7" t="s">
        <v>728</v>
      </c>
      <c r="E135" s="7">
        <v>2</v>
      </c>
    </row>
    <row r="136" spans="1:5" x14ac:dyDescent="0.45">
      <c r="A136" s="6">
        <v>44031</v>
      </c>
      <c r="B136" s="7" t="str">
        <f t="shared" si="12"/>
        <v>July</v>
      </c>
      <c r="C136" s="7">
        <v>2020</v>
      </c>
      <c r="D136" s="7" t="s">
        <v>727</v>
      </c>
      <c r="E136" s="7">
        <v>3</v>
      </c>
    </row>
    <row r="137" spans="1:5" x14ac:dyDescent="0.45">
      <c r="A137" s="6">
        <v>44032</v>
      </c>
      <c r="B137" s="7" t="str">
        <f t="shared" si="12"/>
        <v>July</v>
      </c>
      <c r="C137" s="7">
        <v>2020</v>
      </c>
      <c r="D137" s="7" t="s">
        <v>726</v>
      </c>
      <c r="E137" s="7">
        <v>4</v>
      </c>
    </row>
    <row r="138" spans="1:5" x14ac:dyDescent="0.45">
      <c r="A138" s="6">
        <v>44033</v>
      </c>
      <c r="B138" s="7" t="str">
        <f t="shared" si="12"/>
        <v>July</v>
      </c>
      <c r="C138" s="7">
        <v>2020</v>
      </c>
      <c r="D138" s="7" t="s">
        <v>726</v>
      </c>
      <c r="E138" s="7">
        <v>3</v>
      </c>
    </row>
    <row r="139" spans="1:5" x14ac:dyDescent="0.45">
      <c r="A139" s="6">
        <v>44036</v>
      </c>
      <c r="B139" s="7" t="str">
        <f t="shared" si="12"/>
        <v>July</v>
      </c>
      <c r="C139" s="7">
        <v>2020</v>
      </c>
      <c r="D139" s="7" t="s">
        <v>727</v>
      </c>
      <c r="E139" s="7">
        <v>3</v>
      </c>
    </row>
    <row r="140" spans="1:5" x14ac:dyDescent="0.45">
      <c r="A140" s="6">
        <v>44037</v>
      </c>
      <c r="B140" s="7" t="str">
        <f t="shared" si="12"/>
        <v>July</v>
      </c>
      <c r="C140" s="7">
        <v>2020</v>
      </c>
      <c r="D140" s="7" t="s">
        <v>729</v>
      </c>
      <c r="E140" s="7">
        <v>4</v>
      </c>
    </row>
    <row r="141" spans="1:5" x14ac:dyDescent="0.45">
      <c r="A141" s="6">
        <v>44039</v>
      </c>
      <c r="B141" s="7" t="str">
        <f t="shared" si="12"/>
        <v>July</v>
      </c>
      <c r="C141" s="7">
        <v>2020</v>
      </c>
      <c r="D141" s="7" t="s">
        <v>726</v>
      </c>
      <c r="E141" s="7">
        <v>5</v>
      </c>
    </row>
    <row r="142" spans="1:5" x14ac:dyDescent="0.45">
      <c r="A142" s="6">
        <v>44039</v>
      </c>
      <c r="B142" s="7" t="str">
        <f t="shared" si="12"/>
        <v>July</v>
      </c>
      <c r="C142" s="7">
        <v>2020</v>
      </c>
      <c r="D142" s="7" t="s">
        <v>726</v>
      </c>
      <c r="E142" s="7">
        <v>4</v>
      </c>
    </row>
    <row r="143" spans="1:5" x14ac:dyDescent="0.45">
      <c r="A143" s="6">
        <v>44040</v>
      </c>
      <c r="B143" s="7" t="str">
        <f t="shared" si="12"/>
        <v>July</v>
      </c>
      <c r="C143" s="7">
        <v>2020</v>
      </c>
      <c r="D143" s="7" t="s">
        <v>726</v>
      </c>
      <c r="E143" s="7">
        <v>5</v>
      </c>
    </row>
    <row r="144" spans="1:5" x14ac:dyDescent="0.45">
      <c r="A144" s="6">
        <v>44041</v>
      </c>
      <c r="B144" s="7" t="str">
        <f t="shared" si="12"/>
        <v>July</v>
      </c>
      <c r="C144" s="7">
        <v>2020</v>
      </c>
      <c r="D144" s="7" t="s">
        <v>727</v>
      </c>
      <c r="E144" s="7">
        <v>5</v>
      </c>
    </row>
    <row r="145" spans="1:5" x14ac:dyDescent="0.45">
      <c r="A145" s="6">
        <v>44042</v>
      </c>
      <c r="B145" s="7" t="str">
        <f t="shared" si="12"/>
        <v>July</v>
      </c>
      <c r="C145" s="7">
        <v>2020</v>
      </c>
      <c r="D145" s="7" t="s">
        <v>729</v>
      </c>
      <c r="E145" s="7">
        <v>3</v>
      </c>
    </row>
    <row r="146" spans="1:5" x14ac:dyDescent="0.45">
      <c r="A146" s="6">
        <v>44042</v>
      </c>
      <c r="B146" s="7" t="str">
        <f t="shared" si="12"/>
        <v>July</v>
      </c>
      <c r="C146" s="7">
        <v>2020</v>
      </c>
      <c r="D146" s="7" t="s">
        <v>726</v>
      </c>
      <c r="E146" s="7">
        <v>3</v>
      </c>
    </row>
    <row r="147" spans="1:5" x14ac:dyDescent="0.45">
      <c r="A147" s="6">
        <v>44047</v>
      </c>
      <c r="B147" s="7" t="str">
        <f t="shared" si="12"/>
        <v>August</v>
      </c>
      <c r="C147" s="7">
        <v>2020</v>
      </c>
      <c r="D147" s="7" t="s">
        <v>726</v>
      </c>
      <c r="E147" s="7">
        <v>1</v>
      </c>
    </row>
    <row r="148" spans="1:5" x14ac:dyDescent="0.45">
      <c r="A148" s="6">
        <v>44047</v>
      </c>
      <c r="B148" s="7" t="str">
        <f t="shared" si="12"/>
        <v>August</v>
      </c>
      <c r="C148" s="7">
        <v>2020</v>
      </c>
      <c r="D148" s="7" t="s">
        <v>728</v>
      </c>
      <c r="E148" s="7">
        <v>4</v>
      </c>
    </row>
    <row r="149" spans="1:5" x14ac:dyDescent="0.45">
      <c r="A149" s="6">
        <v>44048</v>
      </c>
      <c r="B149" s="7" t="str">
        <f t="shared" si="12"/>
        <v>August</v>
      </c>
      <c r="C149" s="7">
        <v>2020</v>
      </c>
      <c r="D149" s="7" t="s">
        <v>726</v>
      </c>
      <c r="E149" s="7">
        <v>2</v>
      </c>
    </row>
    <row r="150" spans="1:5" x14ac:dyDescent="0.45">
      <c r="A150" s="6">
        <v>44049</v>
      </c>
      <c r="B150" s="7" t="str">
        <f t="shared" si="12"/>
        <v>August</v>
      </c>
      <c r="C150" s="7">
        <v>2020</v>
      </c>
      <c r="D150" s="7" t="s">
        <v>726</v>
      </c>
      <c r="E150" s="7">
        <v>4</v>
      </c>
    </row>
    <row r="151" spans="1:5" x14ac:dyDescent="0.45">
      <c r="A151" s="6">
        <v>44049</v>
      </c>
      <c r="B151" s="7" t="str">
        <f t="shared" si="12"/>
        <v>August</v>
      </c>
      <c r="C151" s="7">
        <v>2020</v>
      </c>
      <c r="D151" s="7" t="s">
        <v>729</v>
      </c>
      <c r="E151" s="7">
        <v>4</v>
      </c>
    </row>
    <row r="152" spans="1:5" x14ac:dyDescent="0.45">
      <c r="A152" s="6">
        <v>44051</v>
      </c>
      <c r="B152" s="7" t="str">
        <f t="shared" si="12"/>
        <v>August</v>
      </c>
      <c r="C152" s="7">
        <v>2020</v>
      </c>
      <c r="D152" s="7" t="s">
        <v>726</v>
      </c>
      <c r="E152" s="7">
        <v>4</v>
      </c>
    </row>
    <row r="153" spans="1:5" x14ac:dyDescent="0.45">
      <c r="A153" s="6">
        <v>44052</v>
      </c>
      <c r="B153" s="7" t="str">
        <f t="shared" si="12"/>
        <v>August</v>
      </c>
      <c r="C153" s="7">
        <v>2020</v>
      </c>
      <c r="D153" s="7" t="s">
        <v>728</v>
      </c>
      <c r="E153" s="7">
        <v>2</v>
      </c>
    </row>
    <row r="154" spans="1:5" x14ac:dyDescent="0.45">
      <c r="A154" s="6">
        <v>44053</v>
      </c>
      <c r="B154" s="7" t="str">
        <f t="shared" si="12"/>
        <v>August</v>
      </c>
      <c r="C154" s="7">
        <v>2020</v>
      </c>
      <c r="D154" s="7" t="s">
        <v>729</v>
      </c>
      <c r="E154" s="7">
        <v>3</v>
      </c>
    </row>
    <row r="155" spans="1:5" x14ac:dyDescent="0.45">
      <c r="A155" s="6">
        <v>44053</v>
      </c>
      <c r="B155" s="7" t="str">
        <f t="shared" si="12"/>
        <v>August</v>
      </c>
      <c r="C155" s="7">
        <v>2020</v>
      </c>
      <c r="D155" s="7" t="s">
        <v>726</v>
      </c>
      <c r="E155" s="7">
        <v>4</v>
      </c>
    </row>
    <row r="156" spans="1:5" x14ac:dyDescent="0.45">
      <c r="A156" s="6">
        <v>44054</v>
      </c>
      <c r="B156" s="7" t="str">
        <f t="shared" si="12"/>
        <v>August</v>
      </c>
      <c r="C156" s="7">
        <v>2020</v>
      </c>
      <c r="D156" s="7" t="s">
        <v>726</v>
      </c>
      <c r="E156" s="7">
        <v>1</v>
      </c>
    </row>
    <row r="157" spans="1:5" x14ac:dyDescent="0.45">
      <c r="A157" s="6">
        <v>44055</v>
      </c>
      <c r="B157" s="7" t="str">
        <f t="shared" si="12"/>
        <v>August</v>
      </c>
      <c r="C157" s="7">
        <v>2020</v>
      </c>
      <c r="D157" s="7" t="s">
        <v>728</v>
      </c>
      <c r="E157" s="7">
        <v>1</v>
      </c>
    </row>
    <row r="158" spans="1:5" x14ac:dyDescent="0.45">
      <c r="A158" s="6">
        <v>44056</v>
      </c>
      <c r="B158" s="7" t="str">
        <f t="shared" si="12"/>
        <v>August</v>
      </c>
      <c r="C158" s="7">
        <v>2020</v>
      </c>
      <c r="D158" s="7" t="s">
        <v>726</v>
      </c>
      <c r="E158" s="7">
        <v>1</v>
      </c>
    </row>
    <row r="159" spans="1:5" x14ac:dyDescent="0.45">
      <c r="A159" s="6">
        <v>44057</v>
      </c>
      <c r="B159" s="7" t="str">
        <f t="shared" si="12"/>
        <v>August</v>
      </c>
      <c r="C159" s="7">
        <v>2020</v>
      </c>
      <c r="D159" s="7" t="s">
        <v>726</v>
      </c>
      <c r="E159" s="7">
        <v>5</v>
      </c>
    </row>
    <row r="160" spans="1:5" x14ac:dyDescent="0.45">
      <c r="A160" s="6">
        <v>44059</v>
      </c>
      <c r="B160" s="7" t="str">
        <f t="shared" si="12"/>
        <v>August</v>
      </c>
      <c r="C160" s="7">
        <v>2020</v>
      </c>
      <c r="D160" s="7" t="s">
        <v>726</v>
      </c>
      <c r="E160" s="7">
        <v>4</v>
      </c>
    </row>
    <row r="161" spans="1:5" x14ac:dyDescent="0.45">
      <c r="A161" s="6">
        <v>44064</v>
      </c>
      <c r="B161" s="7" t="str">
        <f t="shared" si="12"/>
        <v>August</v>
      </c>
      <c r="C161" s="7">
        <v>2020</v>
      </c>
      <c r="D161" s="7" t="s">
        <v>726</v>
      </c>
      <c r="E161" s="7">
        <v>1</v>
      </c>
    </row>
    <row r="162" spans="1:5" x14ac:dyDescent="0.45">
      <c r="A162" s="6">
        <v>44067</v>
      </c>
      <c r="B162" s="7" t="str">
        <f t="shared" si="12"/>
        <v>August</v>
      </c>
      <c r="C162" s="7">
        <v>2020</v>
      </c>
      <c r="D162" s="7" t="s">
        <v>729</v>
      </c>
      <c r="E162" s="7">
        <v>3</v>
      </c>
    </row>
    <row r="163" spans="1:5" x14ac:dyDescent="0.45">
      <c r="A163" s="6">
        <v>44067</v>
      </c>
      <c r="B163" s="7" t="str">
        <f t="shared" si="12"/>
        <v>August</v>
      </c>
      <c r="C163" s="7">
        <v>2020</v>
      </c>
      <c r="D163" s="7" t="s">
        <v>726</v>
      </c>
      <c r="E163" s="7">
        <v>1</v>
      </c>
    </row>
    <row r="164" spans="1:5" x14ac:dyDescent="0.45">
      <c r="A164" s="6">
        <v>44070</v>
      </c>
      <c r="B164" s="7" t="str">
        <f t="shared" si="12"/>
        <v>August</v>
      </c>
      <c r="C164" s="7">
        <v>2020</v>
      </c>
      <c r="D164" s="7" t="s">
        <v>727</v>
      </c>
      <c r="E164" s="7">
        <v>1</v>
      </c>
    </row>
    <row r="165" spans="1:5" x14ac:dyDescent="0.45">
      <c r="A165" s="6">
        <v>44075</v>
      </c>
      <c r="B165" s="7" t="str">
        <f t="shared" si="12"/>
        <v>September</v>
      </c>
      <c r="C165" s="7">
        <v>2020</v>
      </c>
      <c r="D165" s="7" t="s">
        <v>729</v>
      </c>
      <c r="E165" s="7">
        <v>2</v>
      </c>
    </row>
    <row r="166" spans="1:5" x14ac:dyDescent="0.45">
      <c r="A166" s="6">
        <v>44075</v>
      </c>
      <c r="B166" s="7" t="str">
        <f t="shared" si="12"/>
        <v>September</v>
      </c>
      <c r="C166" s="7">
        <v>2020</v>
      </c>
      <c r="D166" s="7" t="s">
        <v>726</v>
      </c>
      <c r="E166" s="7">
        <v>3</v>
      </c>
    </row>
    <row r="167" spans="1:5" x14ac:dyDescent="0.45">
      <c r="A167" s="6">
        <v>44076</v>
      </c>
      <c r="B167" s="7" t="str">
        <f t="shared" si="12"/>
        <v>September</v>
      </c>
      <c r="C167" s="7">
        <v>2020</v>
      </c>
      <c r="D167" s="7" t="s">
        <v>727</v>
      </c>
      <c r="E167" s="7">
        <v>4</v>
      </c>
    </row>
    <row r="168" spans="1:5" x14ac:dyDescent="0.45">
      <c r="A168" s="6">
        <v>44078</v>
      </c>
      <c r="B168" s="7" t="str">
        <f t="shared" si="12"/>
        <v>September</v>
      </c>
      <c r="C168" s="7">
        <v>2020</v>
      </c>
      <c r="D168" s="7" t="s">
        <v>726</v>
      </c>
      <c r="E168" s="7">
        <v>3</v>
      </c>
    </row>
    <row r="169" spans="1:5" x14ac:dyDescent="0.45">
      <c r="A169" s="6">
        <v>44079</v>
      </c>
      <c r="B169" s="7" t="str">
        <f t="shared" si="12"/>
        <v>September</v>
      </c>
      <c r="C169" s="7">
        <v>2020</v>
      </c>
      <c r="D169" s="7" t="s">
        <v>727</v>
      </c>
      <c r="E169" s="7">
        <v>1</v>
      </c>
    </row>
    <row r="170" spans="1:5" x14ac:dyDescent="0.45">
      <c r="A170" s="6">
        <v>44079</v>
      </c>
      <c r="B170" s="7" t="str">
        <f t="shared" si="12"/>
        <v>September</v>
      </c>
      <c r="C170" s="7">
        <v>2020</v>
      </c>
      <c r="D170" s="7" t="s">
        <v>727</v>
      </c>
      <c r="E170" s="7">
        <v>3</v>
      </c>
    </row>
    <row r="171" spans="1:5" x14ac:dyDescent="0.45">
      <c r="A171" s="6">
        <v>44079</v>
      </c>
      <c r="B171" s="7" t="str">
        <f t="shared" si="12"/>
        <v>September</v>
      </c>
      <c r="C171" s="7">
        <v>2020</v>
      </c>
      <c r="D171" s="7" t="s">
        <v>726</v>
      </c>
      <c r="E171" s="7">
        <v>2</v>
      </c>
    </row>
    <row r="172" spans="1:5" x14ac:dyDescent="0.45">
      <c r="A172" s="6">
        <v>44082</v>
      </c>
      <c r="B172" s="7" t="str">
        <f t="shared" si="12"/>
        <v>September</v>
      </c>
      <c r="C172" s="7">
        <v>2020</v>
      </c>
      <c r="D172" s="7" t="s">
        <v>726</v>
      </c>
      <c r="E172" s="7">
        <v>5</v>
      </c>
    </row>
    <row r="173" spans="1:5" x14ac:dyDescent="0.45">
      <c r="A173" s="6">
        <v>44083</v>
      </c>
      <c r="B173" s="7" t="str">
        <f t="shared" si="12"/>
        <v>September</v>
      </c>
      <c r="C173" s="7">
        <v>2020</v>
      </c>
      <c r="D173" s="7" t="s">
        <v>729</v>
      </c>
      <c r="E173" s="7">
        <v>4</v>
      </c>
    </row>
    <row r="174" spans="1:5" x14ac:dyDescent="0.45">
      <c r="A174" s="6">
        <v>44084</v>
      </c>
      <c r="B174" s="7" t="str">
        <f t="shared" si="12"/>
        <v>September</v>
      </c>
      <c r="C174" s="7">
        <v>2020</v>
      </c>
      <c r="D174" s="7" t="s">
        <v>727</v>
      </c>
      <c r="E174" s="7">
        <v>4</v>
      </c>
    </row>
    <row r="175" spans="1:5" x14ac:dyDescent="0.45">
      <c r="A175" s="6">
        <v>44084</v>
      </c>
      <c r="B175" s="7" t="str">
        <f t="shared" si="12"/>
        <v>September</v>
      </c>
      <c r="C175" s="7">
        <v>2020</v>
      </c>
      <c r="D175" s="7" t="s">
        <v>726</v>
      </c>
      <c r="E175" s="7">
        <v>2</v>
      </c>
    </row>
    <row r="176" spans="1:5" x14ac:dyDescent="0.45">
      <c r="A176" s="6">
        <v>44085</v>
      </c>
      <c r="B176" s="7" t="str">
        <f t="shared" si="12"/>
        <v>September</v>
      </c>
      <c r="C176" s="7">
        <v>2020</v>
      </c>
      <c r="D176" s="7" t="s">
        <v>726</v>
      </c>
      <c r="E176" s="7">
        <v>4</v>
      </c>
    </row>
    <row r="177" spans="1:5" x14ac:dyDescent="0.45">
      <c r="A177" s="6">
        <v>44087</v>
      </c>
      <c r="B177" s="7" t="str">
        <f t="shared" si="12"/>
        <v>September</v>
      </c>
      <c r="C177" s="7">
        <v>2020</v>
      </c>
      <c r="D177" s="7" t="s">
        <v>726</v>
      </c>
      <c r="E177" s="7">
        <v>3</v>
      </c>
    </row>
    <row r="178" spans="1:5" x14ac:dyDescent="0.45">
      <c r="A178" s="6">
        <v>44088</v>
      </c>
      <c r="B178" s="7" t="str">
        <f t="shared" si="12"/>
        <v>September</v>
      </c>
      <c r="C178" s="7">
        <v>2020</v>
      </c>
      <c r="D178" s="7" t="s">
        <v>726</v>
      </c>
      <c r="E178" s="7">
        <v>2</v>
      </c>
    </row>
    <row r="179" spans="1:5" x14ac:dyDescent="0.45">
      <c r="A179" s="6">
        <v>44088</v>
      </c>
      <c r="B179" s="7" t="str">
        <f t="shared" si="12"/>
        <v>September</v>
      </c>
      <c r="C179" s="7">
        <v>2020</v>
      </c>
      <c r="D179" s="7" t="s">
        <v>726</v>
      </c>
      <c r="E179" s="7">
        <v>4</v>
      </c>
    </row>
    <row r="180" spans="1:5" x14ac:dyDescent="0.45">
      <c r="A180" s="6">
        <v>44089</v>
      </c>
      <c r="B180" s="7" t="str">
        <f t="shared" si="12"/>
        <v>September</v>
      </c>
      <c r="C180" s="7">
        <v>2020</v>
      </c>
      <c r="D180" s="7" t="s">
        <v>729</v>
      </c>
      <c r="E180" s="7">
        <v>4</v>
      </c>
    </row>
    <row r="181" spans="1:5" x14ac:dyDescent="0.45">
      <c r="A181" s="6">
        <v>44089</v>
      </c>
      <c r="B181" s="7" t="str">
        <f t="shared" si="12"/>
        <v>September</v>
      </c>
      <c r="C181" s="7">
        <v>2020</v>
      </c>
      <c r="D181" s="7" t="s">
        <v>726</v>
      </c>
      <c r="E181" s="7">
        <v>4</v>
      </c>
    </row>
    <row r="182" spans="1:5" x14ac:dyDescent="0.45">
      <c r="A182" s="6">
        <v>44093</v>
      </c>
      <c r="B182" s="7" t="str">
        <f t="shared" si="12"/>
        <v>September</v>
      </c>
      <c r="C182" s="7">
        <v>2020</v>
      </c>
      <c r="D182" s="7" t="s">
        <v>726</v>
      </c>
      <c r="E182" s="7">
        <v>3</v>
      </c>
    </row>
    <row r="183" spans="1:5" x14ac:dyDescent="0.45">
      <c r="A183" s="6">
        <v>44095</v>
      </c>
      <c r="B183" s="7" t="str">
        <f t="shared" si="12"/>
        <v>September</v>
      </c>
      <c r="C183" s="7">
        <v>2020</v>
      </c>
      <c r="D183" s="7" t="s">
        <v>726</v>
      </c>
      <c r="E183" s="7">
        <v>4</v>
      </c>
    </row>
    <row r="184" spans="1:5" x14ac:dyDescent="0.45">
      <c r="A184" s="6">
        <v>44098</v>
      </c>
      <c r="B184" s="7" t="str">
        <f t="shared" si="12"/>
        <v>September</v>
      </c>
      <c r="C184" s="7">
        <v>2020</v>
      </c>
      <c r="D184" s="7" t="s">
        <v>727</v>
      </c>
      <c r="E184" s="7">
        <v>2</v>
      </c>
    </row>
    <row r="185" spans="1:5" x14ac:dyDescent="0.45">
      <c r="A185" s="6">
        <v>44098</v>
      </c>
      <c r="B185" s="7" t="str">
        <f t="shared" si="12"/>
        <v>September</v>
      </c>
      <c r="C185" s="7">
        <v>2020</v>
      </c>
      <c r="D185" s="7" t="s">
        <v>726</v>
      </c>
      <c r="E185" s="7">
        <v>5</v>
      </c>
    </row>
    <row r="186" spans="1:5" x14ac:dyDescent="0.45">
      <c r="A186" s="6">
        <v>44099</v>
      </c>
      <c r="B186" s="7" t="str">
        <f t="shared" si="12"/>
        <v>September</v>
      </c>
      <c r="C186" s="7">
        <v>2020</v>
      </c>
      <c r="D186" s="7" t="s">
        <v>726</v>
      </c>
      <c r="E186" s="7">
        <v>2</v>
      </c>
    </row>
    <row r="187" spans="1:5" x14ac:dyDescent="0.45">
      <c r="A187" s="6">
        <v>44102</v>
      </c>
      <c r="B187" s="7" t="str">
        <f t="shared" si="12"/>
        <v>September</v>
      </c>
      <c r="C187" s="7">
        <v>2020</v>
      </c>
      <c r="D187" s="7" t="s">
        <v>726</v>
      </c>
      <c r="E187" s="7">
        <v>5</v>
      </c>
    </row>
    <row r="188" spans="1:5" x14ac:dyDescent="0.45">
      <c r="A188" s="6">
        <v>44104</v>
      </c>
      <c r="B188" s="7" t="str">
        <f t="shared" si="12"/>
        <v>September</v>
      </c>
      <c r="C188" s="7">
        <v>2020</v>
      </c>
      <c r="D188" s="7" t="s">
        <v>727</v>
      </c>
      <c r="E188" s="7">
        <v>1</v>
      </c>
    </row>
    <row r="189" spans="1:5" x14ac:dyDescent="0.45">
      <c r="A189" s="6">
        <v>44106</v>
      </c>
      <c r="B189" s="7" t="str">
        <f t="shared" si="12"/>
        <v>October</v>
      </c>
      <c r="C189" s="7">
        <v>2020</v>
      </c>
      <c r="D189" s="7" t="s">
        <v>727</v>
      </c>
      <c r="E189" s="7">
        <v>1</v>
      </c>
    </row>
    <row r="190" spans="1:5" x14ac:dyDescent="0.45">
      <c r="A190" s="6">
        <v>44109</v>
      </c>
      <c r="B190" s="7" t="str">
        <f t="shared" si="12"/>
        <v>October</v>
      </c>
      <c r="C190" s="7">
        <v>2020</v>
      </c>
      <c r="D190" s="7" t="s">
        <v>726</v>
      </c>
      <c r="E190" s="7">
        <v>4</v>
      </c>
    </row>
    <row r="191" spans="1:5" x14ac:dyDescent="0.45">
      <c r="A191" s="6">
        <v>44110</v>
      </c>
      <c r="B191" s="7" t="str">
        <f t="shared" si="12"/>
        <v>October</v>
      </c>
      <c r="C191" s="7">
        <v>2020</v>
      </c>
      <c r="D191" s="7" t="s">
        <v>726</v>
      </c>
      <c r="E191" s="7">
        <v>4</v>
      </c>
    </row>
    <row r="192" spans="1:5" x14ac:dyDescent="0.45">
      <c r="A192" s="6">
        <v>44111</v>
      </c>
      <c r="B192" s="7" t="str">
        <f t="shared" si="12"/>
        <v>October</v>
      </c>
      <c r="C192" s="7">
        <v>2020</v>
      </c>
      <c r="D192" s="7" t="s">
        <v>726</v>
      </c>
      <c r="E192" s="7">
        <v>10</v>
      </c>
    </row>
    <row r="193" spans="1:5" x14ac:dyDescent="0.45">
      <c r="A193" s="6">
        <v>44111</v>
      </c>
      <c r="B193" s="7" t="str">
        <f t="shared" si="12"/>
        <v>October</v>
      </c>
      <c r="C193" s="7">
        <v>2020</v>
      </c>
      <c r="D193" s="7" t="s">
        <v>726</v>
      </c>
      <c r="E193" s="7">
        <v>2</v>
      </c>
    </row>
    <row r="194" spans="1:5" x14ac:dyDescent="0.45">
      <c r="A194" s="6">
        <v>44112</v>
      </c>
      <c r="B194" s="7" t="str">
        <f t="shared" si="12"/>
        <v>October</v>
      </c>
      <c r="C194" s="7">
        <v>2020</v>
      </c>
      <c r="D194" s="7" t="s">
        <v>726</v>
      </c>
      <c r="E194" s="7">
        <v>1</v>
      </c>
    </row>
    <row r="195" spans="1:5" x14ac:dyDescent="0.45">
      <c r="A195" s="6">
        <v>44114</v>
      </c>
      <c r="B195" s="7" t="str">
        <f t="shared" ref="B195:B258" si="13">TEXT(A195,"MMMM")</f>
        <v>October</v>
      </c>
      <c r="C195" s="7">
        <v>2020</v>
      </c>
      <c r="D195" s="7" t="s">
        <v>728</v>
      </c>
      <c r="E195" s="7">
        <v>2</v>
      </c>
    </row>
    <row r="196" spans="1:5" x14ac:dyDescent="0.45">
      <c r="A196" s="6">
        <v>44117</v>
      </c>
      <c r="B196" s="7" t="str">
        <f t="shared" si="13"/>
        <v>October</v>
      </c>
      <c r="C196" s="7">
        <v>2020</v>
      </c>
      <c r="D196" s="7" t="s">
        <v>726</v>
      </c>
      <c r="E196" s="7">
        <v>1</v>
      </c>
    </row>
    <row r="197" spans="1:5" x14ac:dyDescent="0.45">
      <c r="A197" s="6">
        <v>44118</v>
      </c>
      <c r="B197" s="7" t="str">
        <f t="shared" si="13"/>
        <v>October</v>
      </c>
      <c r="C197" s="7">
        <v>2020</v>
      </c>
      <c r="D197" s="7" t="s">
        <v>726</v>
      </c>
      <c r="E197" s="7">
        <v>1</v>
      </c>
    </row>
    <row r="198" spans="1:5" x14ac:dyDescent="0.45">
      <c r="A198" s="6">
        <v>44120</v>
      </c>
      <c r="B198" s="7" t="str">
        <f t="shared" si="13"/>
        <v>October</v>
      </c>
      <c r="C198" s="7">
        <v>2020</v>
      </c>
      <c r="D198" s="7" t="s">
        <v>726</v>
      </c>
      <c r="E198" s="7">
        <v>4</v>
      </c>
    </row>
    <row r="199" spans="1:5" x14ac:dyDescent="0.45">
      <c r="A199" s="6">
        <v>44122</v>
      </c>
      <c r="B199" s="7" t="str">
        <f t="shared" si="13"/>
        <v>October</v>
      </c>
      <c r="C199" s="7">
        <v>2020</v>
      </c>
      <c r="D199" s="7" t="s">
        <v>727</v>
      </c>
      <c r="E199" s="7">
        <v>1</v>
      </c>
    </row>
    <row r="200" spans="1:5" x14ac:dyDescent="0.45">
      <c r="A200" s="6">
        <v>44122</v>
      </c>
      <c r="B200" s="7" t="str">
        <f t="shared" si="13"/>
        <v>October</v>
      </c>
      <c r="C200" s="7">
        <v>2020</v>
      </c>
      <c r="D200" s="7" t="s">
        <v>726</v>
      </c>
      <c r="E200" s="7">
        <v>4</v>
      </c>
    </row>
    <row r="201" spans="1:5" x14ac:dyDescent="0.45">
      <c r="A201" s="6">
        <v>44122</v>
      </c>
      <c r="B201" s="7" t="str">
        <f t="shared" si="13"/>
        <v>October</v>
      </c>
      <c r="C201" s="7">
        <v>2020</v>
      </c>
      <c r="D201" s="7" t="s">
        <v>726</v>
      </c>
      <c r="E201" s="7">
        <v>4</v>
      </c>
    </row>
    <row r="202" spans="1:5" x14ac:dyDescent="0.45">
      <c r="A202" s="6">
        <v>44123</v>
      </c>
      <c r="B202" s="7" t="str">
        <f t="shared" si="13"/>
        <v>October</v>
      </c>
      <c r="C202" s="7">
        <v>2020</v>
      </c>
      <c r="D202" s="7" t="s">
        <v>726</v>
      </c>
      <c r="E202" s="7">
        <v>2</v>
      </c>
    </row>
    <row r="203" spans="1:5" x14ac:dyDescent="0.45">
      <c r="A203" s="6">
        <v>44124</v>
      </c>
      <c r="B203" s="7" t="str">
        <f t="shared" si="13"/>
        <v>October</v>
      </c>
      <c r="C203" s="7">
        <v>2020</v>
      </c>
      <c r="D203" s="7" t="s">
        <v>729</v>
      </c>
      <c r="E203" s="7">
        <v>3</v>
      </c>
    </row>
    <row r="204" spans="1:5" x14ac:dyDescent="0.45">
      <c r="A204" s="6">
        <v>44125</v>
      </c>
      <c r="B204" s="7" t="str">
        <f t="shared" si="13"/>
        <v>October</v>
      </c>
      <c r="C204" s="7">
        <v>2020</v>
      </c>
      <c r="D204" s="7" t="s">
        <v>727</v>
      </c>
      <c r="E204" s="7">
        <v>3</v>
      </c>
    </row>
    <row r="205" spans="1:5" x14ac:dyDescent="0.45">
      <c r="A205" s="6">
        <v>44125</v>
      </c>
      <c r="B205" s="7" t="str">
        <f t="shared" si="13"/>
        <v>October</v>
      </c>
      <c r="C205" s="7">
        <v>2020</v>
      </c>
      <c r="D205" s="7" t="s">
        <v>726</v>
      </c>
      <c r="E205" s="7">
        <v>5</v>
      </c>
    </row>
    <row r="206" spans="1:5" x14ac:dyDescent="0.45">
      <c r="A206" s="6">
        <v>44126</v>
      </c>
      <c r="B206" s="7" t="str">
        <f t="shared" si="13"/>
        <v>October</v>
      </c>
      <c r="C206" s="7">
        <v>2020</v>
      </c>
      <c r="D206" s="7" t="s">
        <v>726</v>
      </c>
      <c r="E206" s="7">
        <v>4</v>
      </c>
    </row>
    <row r="207" spans="1:5" x14ac:dyDescent="0.45">
      <c r="A207" s="6">
        <v>44128</v>
      </c>
      <c r="B207" s="7" t="str">
        <f t="shared" si="13"/>
        <v>October</v>
      </c>
      <c r="C207" s="7">
        <v>2020</v>
      </c>
      <c r="D207" s="7" t="s">
        <v>726</v>
      </c>
      <c r="E207" s="7">
        <v>4</v>
      </c>
    </row>
    <row r="208" spans="1:5" x14ac:dyDescent="0.45">
      <c r="A208" s="6">
        <v>44131</v>
      </c>
      <c r="B208" s="7" t="str">
        <f t="shared" si="13"/>
        <v>October</v>
      </c>
      <c r="C208" s="7">
        <v>2020</v>
      </c>
      <c r="D208" s="7" t="s">
        <v>726</v>
      </c>
      <c r="E208" s="7">
        <v>4</v>
      </c>
    </row>
    <row r="209" spans="1:5" x14ac:dyDescent="0.45">
      <c r="A209" s="6">
        <v>44133</v>
      </c>
      <c r="B209" s="7" t="str">
        <f t="shared" si="13"/>
        <v>October</v>
      </c>
      <c r="C209" s="7">
        <v>2020</v>
      </c>
      <c r="D209" s="7" t="s">
        <v>726</v>
      </c>
      <c r="E209" s="7">
        <v>1</v>
      </c>
    </row>
    <row r="210" spans="1:5" x14ac:dyDescent="0.45">
      <c r="A210" s="6">
        <v>44134</v>
      </c>
      <c r="B210" s="7" t="str">
        <f t="shared" si="13"/>
        <v>October</v>
      </c>
      <c r="C210" s="7">
        <v>2020</v>
      </c>
      <c r="D210" s="7" t="s">
        <v>726</v>
      </c>
      <c r="E210" s="7">
        <v>1</v>
      </c>
    </row>
    <row r="211" spans="1:5" x14ac:dyDescent="0.45">
      <c r="A211" s="6">
        <v>44137</v>
      </c>
      <c r="B211" s="7" t="str">
        <f t="shared" si="13"/>
        <v>November</v>
      </c>
      <c r="C211" s="7">
        <v>2020</v>
      </c>
      <c r="D211" s="7" t="s">
        <v>726</v>
      </c>
      <c r="E211" s="7">
        <v>5</v>
      </c>
    </row>
    <row r="212" spans="1:5" x14ac:dyDescent="0.45">
      <c r="A212" s="6">
        <v>44139</v>
      </c>
      <c r="B212" s="7" t="str">
        <f t="shared" si="13"/>
        <v>November</v>
      </c>
      <c r="C212" s="7">
        <v>2020</v>
      </c>
      <c r="D212" s="7" t="s">
        <v>726</v>
      </c>
      <c r="E212" s="7">
        <v>2</v>
      </c>
    </row>
    <row r="213" spans="1:5" x14ac:dyDescent="0.45">
      <c r="A213" s="6">
        <v>44139</v>
      </c>
      <c r="B213" s="7" t="str">
        <f t="shared" si="13"/>
        <v>November</v>
      </c>
      <c r="C213" s="7">
        <v>2020</v>
      </c>
      <c r="D213" s="7" t="s">
        <v>726</v>
      </c>
      <c r="E213" s="7">
        <v>4</v>
      </c>
    </row>
    <row r="214" spans="1:5" x14ac:dyDescent="0.45">
      <c r="A214" s="6">
        <v>44141</v>
      </c>
      <c r="B214" s="7" t="str">
        <f t="shared" si="13"/>
        <v>November</v>
      </c>
      <c r="C214" s="7">
        <v>2020</v>
      </c>
      <c r="D214" s="7" t="s">
        <v>726</v>
      </c>
      <c r="E214" s="7">
        <v>4</v>
      </c>
    </row>
    <row r="215" spans="1:5" x14ac:dyDescent="0.45">
      <c r="A215" s="6">
        <v>44143</v>
      </c>
      <c r="B215" s="7" t="str">
        <f t="shared" si="13"/>
        <v>November</v>
      </c>
      <c r="C215" s="7">
        <v>2020</v>
      </c>
      <c r="D215" s="7" t="s">
        <v>726</v>
      </c>
      <c r="E215" s="7">
        <v>2</v>
      </c>
    </row>
    <row r="216" spans="1:5" x14ac:dyDescent="0.45">
      <c r="A216" s="6">
        <v>44144</v>
      </c>
      <c r="B216" s="7" t="str">
        <f t="shared" si="13"/>
        <v>November</v>
      </c>
      <c r="C216" s="7">
        <v>2020</v>
      </c>
      <c r="D216" s="7" t="s">
        <v>727</v>
      </c>
      <c r="E216" s="7">
        <v>3</v>
      </c>
    </row>
    <row r="217" spans="1:5" x14ac:dyDescent="0.45">
      <c r="A217" s="6">
        <v>44144</v>
      </c>
      <c r="B217" s="7" t="str">
        <f t="shared" si="13"/>
        <v>November</v>
      </c>
      <c r="C217" s="7">
        <v>2020</v>
      </c>
      <c r="D217" s="7" t="s">
        <v>726</v>
      </c>
      <c r="E217" s="7">
        <v>2</v>
      </c>
    </row>
    <row r="218" spans="1:5" x14ac:dyDescent="0.45">
      <c r="A218" s="6">
        <v>44145</v>
      </c>
      <c r="B218" s="7" t="str">
        <f t="shared" si="13"/>
        <v>November</v>
      </c>
      <c r="C218" s="7">
        <v>2020</v>
      </c>
      <c r="D218" s="7" t="s">
        <v>729</v>
      </c>
      <c r="E218" s="7">
        <v>1</v>
      </c>
    </row>
    <row r="219" spans="1:5" x14ac:dyDescent="0.45">
      <c r="A219" s="6">
        <v>44147</v>
      </c>
      <c r="B219" s="7" t="str">
        <f t="shared" si="13"/>
        <v>November</v>
      </c>
      <c r="C219" s="7">
        <v>2020</v>
      </c>
      <c r="D219" s="7" t="s">
        <v>726</v>
      </c>
      <c r="E219" s="7">
        <v>1</v>
      </c>
    </row>
    <row r="220" spans="1:5" x14ac:dyDescent="0.45">
      <c r="A220" s="6">
        <v>44148</v>
      </c>
      <c r="B220" s="7" t="str">
        <f t="shared" si="13"/>
        <v>November</v>
      </c>
      <c r="C220" s="7">
        <v>2020</v>
      </c>
      <c r="D220" s="7" t="s">
        <v>727</v>
      </c>
      <c r="E220" s="7">
        <v>5</v>
      </c>
    </row>
    <row r="221" spans="1:5" x14ac:dyDescent="0.45">
      <c r="A221" s="6">
        <v>44148</v>
      </c>
      <c r="B221" s="7" t="str">
        <f t="shared" si="13"/>
        <v>November</v>
      </c>
      <c r="C221" s="7">
        <v>2020</v>
      </c>
      <c r="D221" s="7" t="s">
        <v>726</v>
      </c>
      <c r="E221" s="7">
        <v>1</v>
      </c>
    </row>
    <row r="222" spans="1:5" x14ac:dyDescent="0.45">
      <c r="A222" s="6">
        <v>44149</v>
      </c>
      <c r="B222" s="7" t="str">
        <f t="shared" si="13"/>
        <v>November</v>
      </c>
      <c r="C222" s="7">
        <v>2020</v>
      </c>
      <c r="D222" s="7" t="s">
        <v>727</v>
      </c>
      <c r="E222" s="7">
        <v>4</v>
      </c>
    </row>
    <row r="223" spans="1:5" x14ac:dyDescent="0.45">
      <c r="A223" s="6">
        <v>44150</v>
      </c>
      <c r="B223" s="7" t="str">
        <f t="shared" si="13"/>
        <v>November</v>
      </c>
      <c r="C223" s="7">
        <v>2020</v>
      </c>
      <c r="D223" s="7" t="s">
        <v>727</v>
      </c>
      <c r="E223" s="7">
        <v>2</v>
      </c>
    </row>
    <row r="224" spans="1:5" x14ac:dyDescent="0.45">
      <c r="A224" s="6">
        <v>44152</v>
      </c>
      <c r="B224" s="7" t="str">
        <f t="shared" si="13"/>
        <v>November</v>
      </c>
      <c r="C224" s="7">
        <v>2020</v>
      </c>
      <c r="D224" s="7" t="s">
        <v>726</v>
      </c>
      <c r="E224" s="7">
        <v>2</v>
      </c>
    </row>
    <row r="225" spans="1:5" x14ac:dyDescent="0.45">
      <c r="A225" s="6">
        <v>44153</v>
      </c>
      <c r="B225" s="7" t="str">
        <f t="shared" si="13"/>
        <v>November</v>
      </c>
      <c r="C225" s="7">
        <v>2020</v>
      </c>
      <c r="D225" s="7" t="s">
        <v>726</v>
      </c>
      <c r="E225" s="7">
        <v>1</v>
      </c>
    </row>
    <row r="226" spans="1:5" x14ac:dyDescent="0.45">
      <c r="A226" s="6">
        <v>44154</v>
      </c>
      <c r="B226" s="7" t="str">
        <f t="shared" si="13"/>
        <v>November</v>
      </c>
      <c r="C226" s="7">
        <v>2020</v>
      </c>
      <c r="D226" s="7" t="s">
        <v>726</v>
      </c>
      <c r="E226" s="7">
        <v>1</v>
      </c>
    </row>
    <row r="227" spans="1:5" x14ac:dyDescent="0.45">
      <c r="A227" s="6">
        <v>44161</v>
      </c>
      <c r="B227" s="7" t="str">
        <f t="shared" si="13"/>
        <v>November</v>
      </c>
      <c r="C227" s="7">
        <v>2020</v>
      </c>
      <c r="D227" s="7" t="s">
        <v>728</v>
      </c>
      <c r="E227" s="7">
        <v>5</v>
      </c>
    </row>
    <row r="228" spans="1:5" x14ac:dyDescent="0.45">
      <c r="A228" s="6">
        <v>44163</v>
      </c>
      <c r="B228" s="7" t="str">
        <f t="shared" si="13"/>
        <v>November</v>
      </c>
      <c r="C228" s="7">
        <v>2020</v>
      </c>
      <c r="D228" s="7" t="s">
        <v>726</v>
      </c>
      <c r="E228" s="7">
        <v>5</v>
      </c>
    </row>
    <row r="229" spans="1:5" x14ac:dyDescent="0.45">
      <c r="A229" s="6">
        <v>44163</v>
      </c>
      <c r="B229" s="7" t="str">
        <f t="shared" si="13"/>
        <v>November</v>
      </c>
      <c r="C229" s="7">
        <v>2020</v>
      </c>
      <c r="D229" s="7" t="s">
        <v>726</v>
      </c>
      <c r="E229" s="7">
        <v>1</v>
      </c>
    </row>
    <row r="230" spans="1:5" x14ac:dyDescent="0.45">
      <c r="A230" s="6">
        <v>44166</v>
      </c>
      <c r="B230" s="7" t="str">
        <f t="shared" si="13"/>
        <v>December</v>
      </c>
      <c r="C230" s="7">
        <v>2020</v>
      </c>
      <c r="D230" s="7" t="s">
        <v>726</v>
      </c>
      <c r="E230" s="7">
        <v>1</v>
      </c>
    </row>
    <row r="231" spans="1:5" x14ac:dyDescent="0.45">
      <c r="A231" s="6">
        <v>44166</v>
      </c>
      <c r="B231" s="7" t="str">
        <f t="shared" si="13"/>
        <v>December</v>
      </c>
      <c r="C231" s="7">
        <v>2020</v>
      </c>
      <c r="D231" s="7" t="s">
        <v>726</v>
      </c>
      <c r="E231" s="7">
        <v>1</v>
      </c>
    </row>
    <row r="232" spans="1:5" x14ac:dyDescent="0.45">
      <c r="A232" s="6">
        <v>44167</v>
      </c>
      <c r="B232" s="7" t="str">
        <f t="shared" si="13"/>
        <v>December</v>
      </c>
      <c r="C232" s="7">
        <v>2020</v>
      </c>
      <c r="D232" s="7" t="s">
        <v>729</v>
      </c>
      <c r="E232" s="7">
        <v>1</v>
      </c>
    </row>
    <row r="233" spans="1:5" x14ac:dyDescent="0.45">
      <c r="A233" s="6">
        <v>44167</v>
      </c>
      <c r="B233" s="7" t="str">
        <f t="shared" si="13"/>
        <v>December</v>
      </c>
      <c r="C233" s="7">
        <v>2020</v>
      </c>
      <c r="D233" s="7" t="s">
        <v>726</v>
      </c>
      <c r="E233" s="7">
        <v>4</v>
      </c>
    </row>
    <row r="234" spans="1:5" x14ac:dyDescent="0.45">
      <c r="A234" s="6">
        <v>44167</v>
      </c>
      <c r="B234" s="7" t="str">
        <f t="shared" si="13"/>
        <v>December</v>
      </c>
      <c r="C234" s="7">
        <v>2020</v>
      </c>
      <c r="D234" s="7" t="s">
        <v>726</v>
      </c>
      <c r="E234" s="7">
        <v>2</v>
      </c>
    </row>
    <row r="235" spans="1:5" x14ac:dyDescent="0.45">
      <c r="A235" s="6">
        <v>44168</v>
      </c>
      <c r="B235" s="7" t="str">
        <f t="shared" si="13"/>
        <v>December</v>
      </c>
      <c r="C235" s="7">
        <v>2020</v>
      </c>
      <c r="D235" s="7" t="s">
        <v>728</v>
      </c>
      <c r="E235" s="7">
        <v>4</v>
      </c>
    </row>
    <row r="236" spans="1:5" x14ac:dyDescent="0.45">
      <c r="A236" s="6">
        <v>44169</v>
      </c>
      <c r="B236" s="7" t="str">
        <f t="shared" si="13"/>
        <v>December</v>
      </c>
      <c r="C236" s="7">
        <v>2020</v>
      </c>
      <c r="D236" s="7" t="s">
        <v>727</v>
      </c>
      <c r="E236" s="7">
        <v>5</v>
      </c>
    </row>
    <row r="237" spans="1:5" x14ac:dyDescent="0.45">
      <c r="A237" s="6">
        <v>44170</v>
      </c>
      <c r="B237" s="7" t="str">
        <f t="shared" si="13"/>
        <v>December</v>
      </c>
      <c r="C237" s="7">
        <v>2020</v>
      </c>
      <c r="D237" s="7" t="s">
        <v>727</v>
      </c>
      <c r="E237" s="7">
        <v>3</v>
      </c>
    </row>
    <row r="238" spans="1:5" x14ac:dyDescent="0.45">
      <c r="A238" s="6">
        <v>44173</v>
      </c>
      <c r="B238" s="7" t="str">
        <f t="shared" si="13"/>
        <v>December</v>
      </c>
      <c r="C238" s="7">
        <v>2020</v>
      </c>
      <c r="D238" s="7" t="s">
        <v>727</v>
      </c>
      <c r="E238" s="7">
        <v>3</v>
      </c>
    </row>
    <row r="239" spans="1:5" x14ac:dyDescent="0.45">
      <c r="A239" s="6">
        <v>44176</v>
      </c>
      <c r="B239" s="7" t="str">
        <f t="shared" si="13"/>
        <v>December</v>
      </c>
      <c r="C239" s="7">
        <v>2020</v>
      </c>
      <c r="D239" s="7" t="s">
        <v>726</v>
      </c>
      <c r="E239" s="7">
        <v>3</v>
      </c>
    </row>
    <row r="240" spans="1:5" x14ac:dyDescent="0.45">
      <c r="A240" s="6">
        <v>44180</v>
      </c>
      <c r="B240" s="7" t="str">
        <f t="shared" si="13"/>
        <v>December</v>
      </c>
      <c r="C240" s="7">
        <v>2020</v>
      </c>
      <c r="D240" s="7" t="s">
        <v>726</v>
      </c>
      <c r="E240" s="7">
        <v>1</v>
      </c>
    </row>
    <row r="241" spans="1:5" x14ac:dyDescent="0.45">
      <c r="A241" s="6">
        <v>44180</v>
      </c>
      <c r="B241" s="7" t="str">
        <f t="shared" si="13"/>
        <v>December</v>
      </c>
      <c r="C241" s="7">
        <v>2020</v>
      </c>
      <c r="D241" s="7" t="s">
        <v>729</v>
      </c>
      <c r="E241" s="7">
        <v>1</v>
      </c>
    </row>
    <row r="242" spans="1:5" x14ac:dyDescent="0.45">
      <c r="A242" s="6">
        <v>44181</v>
      </c>
      <c r="B242" s="7" t="str">
        <f t="shared" si="13"/>
        <v>December</v>
      </c>
      <c r="C242" s="7">
        <v>2020</v>
      </c>
      <c r="D242" s="7" t="s">
        <v>726</v>
      </c>
      <c r="E242" s="7">
        <v>3</v>
      </c>
    </row>
    <row r="243" spans="1:5" x14ac:dyDescent="0.45">
      <c r="A243" s="6">
        <v>44183</v>
      </c>
      <c r="B243" s="7" t="str">
        <f t="shared" si="13"/>
        <v>December</v>
      </c>
      <c r="C243" s="7">
        <v>2020</v>
      </c>
      <c r="D243" s="7" t="s">
        <v>727</v>
      </c>
      <c r="E243" s="7">
        <v>9</v>
      </c>
    </row>
    <row r="244" spans="1:5" x14ac:dyDescent="0.45">
      <c r="A244" s="6">
        <v>44183</v>
      </c>
      <c r="B244" s="7" t="str">
        <f t="shared" si="13"/>
        <v>December</v>
      </c>
      <c r="C244" s="7">
        <v>2020</v>
      </c>
      <c r="D244" s="7" t="s">
        <v>726</v>
      </c>
      <c r="E244" s="7">
        <v>3</v>
      </c>
    </row>
    <row r="245" spans="1:5" x14ac:dyDescent="0.45">
      <c r="A245" s="6">
        <v>44185</v>
      </c>
      <c r="B245" s="7" t="str">
        <f t="shared" si="13"/>
        <v>December</v>
      </c>
      <c r="C245" s="7">
        <v>2020</v>
      </c>
      <c r="D245" s="7" t="s">
        <v>726</v>
      </c>
      <c r="E245" s="7">
        <v>1</v>
      </c>
    </row>
    <row r="246" spans="1:5" x14ac:dyDescent="0.45">
      <c r="A246" s="6">
        <v>44188</v>
      </c>
      <c r="B246" s="7" t="str">
        <f t="shared" si="13"/>
        <v>December</v>
      </c>
      <c r="C246" s="7">
        <v>2020</v>
      </c>
      <c r="D246" s="7" t="s">
        <v>726</v>
      </c>
      <c r="E246" s="7">
        <v>5</v>
      </c>
    </row>
    <row r="247" spans="1:5" x14ac:dyDescent="0.45">
      <c r="A247" s="6">
        <v>44195</v>
      </c>
      <c r="B247" s="7" t="str">
        <f t="shared" si="13"/>
        <v>December</v>
      </c>
      <c r="C247" s="7">
        <v>2020</v>
      </c>
      <c r="D247" s="7" t="s">
        <v>727</v>
      </c>
      <c r="E247" s="7">
        <v>2</v>
      </c>
    </row>
    <row r="248" spans="1:5" x14ac:dyDescent="0.45">
      <c r="A248" s="6">
        <v>44197</v>
      </c>
      <c r="B248" s="7" t="str">
        <f t="shared" si="13"/>
        <v>January</v>
      </c>
      <c r="C248" s="7">
        <v>2021</v>
      </c>
      <c r="D248" s="7" t="s">
        <v>726</v>
      </c>
      <c r="E248" s="7">
        <v>1</v>
      </c>
    </row>
    <row r="249" spans="1:5" x14ac:dyDescent="0.45">
      <c r="A249" s="6">
        <v>44198</v>
      </c>
      <c r="B249" s="7" t="str">
        <f t="shared" si="13"/>
        <v>January</v>
      </c>
      <c r="C249" s="7">
        <v>2021</v>
      </c>
      <c r="D249" s="7" t="s">
        <v>727</v>
      </c>
      <c r="E249" s="7">
        <v>1</v>
      </c>
    </row>
    <row r="250" spans="1:5" x14ac:dyDescent="0.45">
      <c r="A250" s="6">
        <v>44200</v>
      </c>
      <c r="B250" s="7" t="str">
        <f t="shared" si="13"/>
        <v>January</v>
      </c>
      <c r="C250" s="7">
        <v>2021</v>
      </c>
      <c r="D250" s="7" t="s">
        <v>727</v>
      </c>
      <c r="E250" s="7">
        <v>2</v>
      </c>
    </row>
    <row r="251" spans="1:5" x14ac:dyDescent="0.45">
      <c r="A251" s="6">
        <v>44202</v>
      </c>
      <c r="B251" s="7" t="str">
        <f t="shared" si="13"/>
        <v>January</v>
      </c>
      <c r="C251" s="7">
        <v>2021</v>
      </c>
      <c r="D251" s="7" t="s">
        <v>727</v>
      </c>
      <c r="E251" s="7">
        <v>1</v>
      </c>
    </row>
    <row r="252" spans="1:5" x14ac:dyDescent="0.45">
      <c r="A252" s="6">
        <v>44203</v>
      </c>
      <c r="B252" s="7" t="str">
        <f t="shared" si="13"/>
        <v>January</v>
      </c>
      <c r="C252" s="7">
        <v>2021</v>
      </c>
      <c r="D252" s="7" t="s">
        <v>726</v>
      </c>
      <c r="E252" s="7">
        <v>4</v>
      </c>
    </row>
    <row r="253" spans="1:5" x14ac:dyDescent="0.45">
      <c r="A253" s="6">
        <v>44207</v>
      </c>
      <c r="B253" s="7" t="str">
        <f t="shared" si="13"/>
        <v>January</v>
      </c>
      <c r="C253" s="7">
        <v>2021</v>
      </c>
      <c r="D253" s="7" t="s">
        <v>726</v>
      </c>
      <c r="E253" s="7">
        <v>5</v>
      </c>
    </row>
    <row r="254" spans="1:5" x14ac:dyDescent="0.45">
      <c r="A254" s="6">
        <v>44208</v>
      </c>
      <c r="B254" s="7" t="str">
        <f t="shared" si="13"/>
        <v>January</v>
      </c>
      <c r="C254" s="7">
        <v>2021</v>
      </c>
      <c r="D254" s="7" t="s">
        <v>727</v>
      </c>
      <c r="E254" s="7">
        <v>4</v>
      </c>
    </row>
    <row r="255" spans="1:5" x14ac:dyDescent="0.45">
      <c r="A255" s="6">
        <v>44214</v>
      </c>
      <c r="B255" s="7" t="str">
        <f t="shared" si="13"/>
        <v>January</v>
      </c>
      <c r="C255" s="7">
        <v>2021</v>
      </c>
      <c r="D255" s="7" t="s">
        <v>727</v>
      </c>
      <c r="E255" s="7">
        <v>4</v>
      </c>
    </row>
    <row r="256" spans="1:5" x14ac:dyDescent="0.45">
      <c r="A256" s="6">
        <v>44215</v>
      </c>
      <c r="B256" s="7" t="str">
        <f t="shared" si="13"/>
        <v>January</v>
      </c>
      <c r="C256" s="7">
        <v>2021</v>
      </c>
      <c r="D256" s="7" t="s">
        <v>727</v>
      </c>
      <c r="E256" s="7">
        <v>1</v>
      </c>
    </row>
    <row r="257" spans="1:5" x14ac:dyDescent="0.45">
      <c r="A257" s="6">
        <v>44216</v>
      </c>
      <c r="B257" s="7" t="str">
        <f t="shared" si="13"/>
        <v>January</v>
      </c>
      <c r="C257" s="7">
        <v>2021</v>
      </c>
      <c r="D257" s="7" t="s">
        <v>726</v>
      </c>
      <c r="E257" s="7">
        <v>2</v>
      </c>
    </row>
    <row r="258" spans="1:5" x14ac:dyDescent="0.45">
      <c r="A258" s="6">
        <v>44218</v>
      </c>
      <c r="B258" s="7" t="str">
        <f t="shared" si="13"/>
        <v>January</v>
      </c>
      <c r="C258" s="7">
        <v>2021</v>
      </c>
      <c r="D258" s="7" t="s">
        <v>726</v>
      </c>
      <c r="E258" s="7">
        <v>4</v>
      </c>
    </row>
    <row r="259" spans="1:5" x14ac:dyDescent="0.45">
      <c r="A259" s="6">
        <v>44219</v>
      </c>
      <c r="B259" s="7" t="str">
        <f t="shared" ref="B259:B322" si="14">TEXT(A259,"MMMM")</f>
        <v>January</v>
      </c>
      <c r="C259" s="7">
        <v>2021</v>
      </c>
      <c r="D259" s="7" t="s">
        <v>726</v>
      </c>
      <c r="E259" s="7">
        <v>5</v>
      </c>
    </row>
    <row r="260" spans="1:5" x14ac:dyDescent="0.45">
      <c r="A260" s="6">
        <v>44222</v>
      </c>
      <c r="B260" s="7" t="str">
        <f t="shared" si="14"/>
        <v>January</v>
      </c>
      <c r="C260" s="7">
        <v>2021</v>
      </c>
      <c r="D260" s="7" t="s">
        <v>726</v>
      </c>
      <c r="E260" s="7">
        <v>5</v>
      </c>
    </row>
    <row r="261" spans="1:5" x14ac:dyDescent="0.45">
      <c r="A261" s="6">
        <v>44224</v>
      </c>
      <c r="B261" s="7" t="str">
        <f t="shared" si="14"/>
        <v>January</v>
      </c>
      <c r="C261" s="7">
        <v>2021</v>
      </c>
      <c r="D261" s="7" t="s">
        <v>726</v>
      </c>
      <c r="E261" s="7">
        <v>4</v>
      </c>
    </row>
    <row r="262" spans="1:5" x14ac:dyDescent="0.45">
      <c r="A262" s="6">
        <v>44227</v>
      </c>
      <c r="B262" s="7" t="str">
        <f t="shared" si="14"/>
        <v>January</v>
      </c>
      <c r="C262" s="7">
        <v>2021</v>
      </c>
      <c r="D262" s="7" t="s">
        <v>729</v>
      </c>
      <c r="E262" s="7">
        <v>2</v>
      </c>
    </row>
    <row r="263" spans="1:5" x14ac:dyDescent="0.45">
      <c r="A263" s="6">
        <v>44227</v>
      </c>
      <c r="B263" s="7" t="str">
        <f t="shared" si="14"/>
        <v>January</v>
      </c>
      <c r="C263" s="7">
        <v>2021</v>
      </c>
      <c r="D263" s="7" t="s">
        <v>726</v>
      </c>
      <c r="E263" s="7">
        <v>1</v>
      </c>
    </row>
    <row r="264" spans="1:5" x14ac:dyDescent="0.45">
      <c r="A264" s="6">
        <v>44229</v>
      </c>
      <c r="B264" s="7" t="str">
        <f t="shared" si="14"/>
        <v>February</v>
      </c>
      <c r="C264" s="7">
        <v>2021</v>
      </c>
      <c r="D264" s="7" t="s">
        <v>728</v>
      </c>
      <c r="E264" s="7">
        <v>3</v>
      </c>
    </row>
    <row r="265" spans="1:5" x14ac:dyDescent="0.45">
      <c r="A265" s="6">
        <v>44229</v>
      </c>
      <c r="B265" s="7" t="str">
        <f t="shared" si="14"/>
        <v>February</v>
      </c>
      <c r="C265" s="7">
        <v>2021</v>
      </c>
      <c r="D265" s="7" t="s">
        <v>726</v>
      </c>
      <c r="E265" s="7">
        <v>3</v>
      </c>
    </row>
    <row r="266" spans="1:5" x14ac:dyDescent="0.45">
      <c r="A266" s="6">
        <v>44238</v>
      </c>
      <c r="B266" s="7" t="str">
        <f t="shared" si="14"/>
        <v>February</v>
      </c>
      <c r="C266" s="7">
        <v>2021</v>
      </c>
      <c r="D266" s="7" t="s">
        <v>726</v>
      </c>
      <c r="E266" s="7">
        <v>7</v>
      </c>
    </row>
    <row r="267" spans="1:5" x14ac:dyDescent="0.45">
      <c r="A267" s="6">
        <v>44243</v>
      </c>
      <c r="B267" s="7" t="str">
        <f t="shared" si="14"/>
        <v>February</v>
      </c>
      <c r="C267" s="7">
        <v>2021</v>
      </c>
      <c r="D267" s="7" t="s">
        <v>726</v>
      </c>
      <c r="E267" s="7">
        <v>1</v>
      </c>
    </row>
    <row r="268" spans="1:5" x14ac:dyDescent="0.45">
      <c r="A268" s="6">
        <v>44243</v>
      </c>
      <c r="B268" s="7" t="str">
        <f t="shared" si="14"/>
        <v>February</v>
      </c>
      <c r="C268" s="7">
        <v>2021</v>
      </c>
      <c r="D268" s="7" t="s">
        <v>728</v>
      </c>
      <c r="E268" s="7">
        <v>4</v>
      </c>
    </row>
    <row r="269" spans="1:5" x14ac:dyDescent="0.45">
      <c r="A269" s="6">
        <v>44244</v>
      </c>
      <c r="B269" s="7" t="str">
        <f t="shared" si="14"/>
        <v>February</v>
      </c>
      <c r="C269" s="7">
        <v>2021</v>
      </c>
      <c r="D269" s="7" t="s">
        <v>727</v>
      </c>
      <c r="E269" s="7">
        <v>5</v>
      </c>
    </row>
    <row r="270" spans="1:5" x14ac:dyDescent="0.45">
      <c r="A270" s="6">
        <v>44244</v>
      </c>
      <c r="B270" s="7" t="str">
        <f t="shared" si="14"/>
        <v>February</v>
      </c>
      <c r="C270" s="7">
        <v>2021</v>
      </c>
      <c r="D270" s="7" t="s">
        <v>726</v>
      </c>
      <c r="E270" s="7">
        <v>1</v>
      </c>
    </row>
    <row r="271" spans="1:5" x14ac:dyDescent="0.45">
      <c r="A271" s="6">
        <v>44247</v>
      </c>
      <c r="B271" s="7" t="str">
        <f t="shared" si="14"/>
        <v>February</v>
      </c>
      <c r="C271" s="7">
        <v>2021</v>
      </c>
      <c r="D271" s="7" t="s">
        <v>726</v>
      </c>
      <c r="E271" s="7">
        <v>2</v>
      </c>
    </row>
    <row r="272" spans="1:5" x14ac:dyDescent="0.45">
      <c r="A272" s="6">
        <v>44249</v>
      </c>
      <c r="B272" s="7" t="str">
        <f t="shared" si="14"/>
        <v>February</v>
      </c>
      <c r="C272" s="7">
        <v>2021</v>
      </c>
      <c r="D272" s="7" t="s">
        <v>727</v>
      </c>
      <c r="E272" s="7">
        <v>5</v>
      </c>
    </row>
    <row r="273" spans="1:5" x14ac:dyDescent="0.45">
      <c r="A273" s="6">
        <v>44249</v>
      </c>
      <c r="B273" s="7" t="str">
        <f t="shared" si="14"/>
        <v>February</v>
      </c>
      <c r="C273" s="7">
        <v>2021</v>
      </c>
      <c r="D273" s="7" t="s">
        <v>727</v>
      </c>
      <c r="E273" s="7">
        <v>3</v>
      </c>
    </row>
    <row r="274" spans="1:5" x14ac:dyDescent="0.45">
      <c r="A274" s="6">
        <v>44250</v>
      </c>
      <c r="B274" s="7" t="str">
        <f t="shared" si="14"/>
        <v>February</v>
      </c>
      <c r="C274" s="7">
        <v>2021</v>
      </c>
      <c r="D274" s="7" t="s">
        <v>727</v>
      </c>
      <c r="E274" s="7">
        <v>5</v>
      </c>
    </row>
    <row r="275" spans="1:5" x14ac:dyDescent="0.45">
      <c r="A275" s="6">
        <v>44250</v>
      </c>
      <c r="B275" s="7" t="str">
        <f t="shared" si="14"/>
        <v>February</v>
      </c>
      <c r="C275" s="7">
        <v>2021</v>
      </c>
      <c r="D275" s="7" t="s">
        <v>729</v>
      </c>
      <c r="E275" s="7">
        <v>5</v>
      </c>
    </row>
    <row r="276" spans="1:5" x14ac:dyDescent="0.45">
      <c r="A276" s="6">
        <v>44250</v>
      </c>
      <c r="B276" s="7" t="str">
        <f t="shared" si="14"/>
        <v>February</v>
      </c>
      <c r="C276" s="7">
        <v>2021</v>
      </c>
      <c r="D276" s="7" t="s">
        <v>726</v>
      </c>
      <c r="E276" s="7">
        <v>1</v>
      </c>
    </row>
    <row r="277" spans="1:5" x14ac:dyDescent="0.45">
      <c r="A277" s="6">
        <v>44251</v>
      </c>
      <c r="B277" s="7" t="str">
        <f t="shared" si="14"/>
        <v>February</v>
      </c>
      <c r="C277" s="7">
        <v>2021</v>
      </c>
      <c r="D277" s="7" t="s">
        <v>728</v>
      </c>
      <c r="E277" s="7">
        <v>3</v>
      </c>
    </row>
    <row r="278" spans="1:5" x14ac:dyDescent="0.45">
      <c r="A278" s="6">
        <v>44251</v>
      </c>
      <c r="B278" s="7" t="str">
        <f t="shared" si="14"/>
        <v>February</v>
      </c>
      <c r="C278" s="7">
        <v>2021</v>
      </c>
      <c r="D278" s="7" t="s">
        <v>726</v>
      </c>
      <c r="E278" s="7">
        <v>4</v>
      </c>
    </row>
    <row r="279" spans="1:5" x14ac:dyDescent="0.45">
      <c r="A279" s="6">
        <v>44254</v>
      </c>
      <c r="B279" s="7" t="str">
        <f t="shared" si="14"/>
        <v>February</v>
      </c>
      <c r="C279" s="7">
        <v>2021</v>
      </c>
      <c r="D279" s="7" t="s">
        <v>729</v>
      </c>
      <c r="E279" s="7">
        <v>2</v>
      </c>
    </row>
    <row r="280" spans="1:5" x14ac:dyDescent="0.45">
      <c r="A280" s="6">
        <v>44257</v>
      </c>
      <c r="B280" s="7" t="str">
        <f t="shared" si="14"/>
        <v>March</v>
      </c>
      <c r="C280" s="7">
        <v>2021</v>
      </c>
      <c r="D280" s="7" t="s">
        <v>726</v>
      </c>
      <c r="E280" s="7">
        <v>3</v>
      </c>
    </row>
    <row r="281" spans="1:5" x14ac:dyDescent="0.45">
      <c r="A281" s="6">
        <v>44262</v>
      </c>
      <c r="B281" s="7" t="str">
        <f t="shared" si="14"/>
        <v>March</v>
      </c>
      <c r="C281" s="7">
        <v>2021</v>
      </c>
      <c r="D281" s="7" t="s">
        <v>726</v>
      </c>
      <c r="E281" s="7">
        <v>4</v>
      </c>
    </row>
    <row r="282" spans="1:5" x14ac:dyDescent="0.45">
      <c r="A282" s="6">
        <v>44263</v>
      </c>
      <c r="B282" s="7" t="str">
        <f t="shared" si="14"/>
        <v>March</v>
      </c>
      <c r="C282" s="7">
        <v>2021</v>
      </c>
      <c r="D282" s="7" t="s">
        <v>727</v>
      </c>
      <c r="E282" s="7">
        <v>3</v>
      </c>
    </row>
    <row r="283" spans="1:5" x14ac:dyDescent="0.45">
      <c r="A283" s="6">
        <v>44264</v>
      </c>
      <c r="B283" s="7" t="str">
        <f t="shared" si="14"/>
        <v>March</v>
      </c>
      <c r="C283" s="7">
        <v>2021</v>
      </c>
      <c r="D283" s="7" t="s">
        <v>729</v>
      </c>
      <c r="E283" s="7">
        <v>4</v>
      </c>
    </row>
    <row r="284" spans="1:5" x14ac:dyDescent="0.45">
      <c r="A284" s="6">
        <v>44265</v>
      </c>
      <c r="B284" s="7" t="str">
        <f t="shared" si="14"/>
        <v>March</v>
      </c>
      <c r="C284" s="7">
        <v>2021</v>
      </c>
      <c r="D284" s="7" t="s">
        <v>727</v>
      </c>
      <c r="E284" s="7">
        <v>2</v>
      </c>
    </row>
    <row r="285" spans="1:5" x14ac:dyDescent="0.45">
      <c r="A285" s="6">
        <v>44269</v>
      </c>
      <c r="B285" s="7" t="str">
        <f t="shared" si="14"/>
        <v>March</v>
      </c>
      <c r="C285" s="7">
        <v>2021</v>
      </c>
      <c r="D285" s="7" t="s">
        <v>727</v>
      </c>
      <c r="E285" s="7">
        <v>5</v>
      </c>
    </row>
    <row r="286" spans="1:5" x14ac:dyDescent="0.45">
      <c r="A286" s="6">
        <v>44269</v>
      </c>
      <c r="B286" s="7" t="str">
        <f t="shared" si="14"/>
        <v>March</v>
      </c>
      <c r="C286" s="7">
        <v>2021</v>
      </c>
      <c r="D286" s="7" t="s">
        <v>727</v>
      </c>
      <c r="E286" s="7">
        <v>2</v>
      </c>
    </row>
    <row r="287" spans="1:5" x14ac:dyDescent="0.45">
      <c r="A287" s="6">
        <v>44269</v>
      </c>
      <c r="B287" s="7" t="str">
        <f t="shared" si="14"/>
        <v>March</v>
      </c>
      <c r="C287" s="7">
        <v>2021</v>
      </c>
      <c r="D287" s="7" t="s">
        <v>729</v>
      </c>
      <c r="E287" s="7">
        <v>4</v>
      </c>
    </row>
    <row r="288" spans="1:5" x14ac:dyDescent="0.45">
      <c r="A288" s="6">
        <v>44270</v>
      </c>
      <c r="B288" s="7" t="str">
        <f t="shared" si="14"/>
        <v>March</v>
      </c>
      <c r="C288" s="7">
        <v>2021</v>
      </c>
      <c r="D288" s="7" t="s">
        <v>726</v>
      </c>
      <c r="E288" s="7">
        <v>4</v>
      </c>
    </row>
    <row r="289" spans="1:5" x14ac:dyDescent="0.45">
      <c r="A289" s="6">
        <v>44271</v>
      </c>
      <c r="B289" s="7" t="str">
        <f t="shared" si="14"/>
        <v>March</v>
      </c>
      <c r="C289" s="7">
        <v>2021</v>
      </c>
      <c r="D289" s="7" t="s">
        <v>726</v>
      </c>
      <c r="E289" s="7">
        <v>2</v>
      </c>
    </row>
    <row r="290" spans="1:5" x14ac:dyDescent="0.45">
      <c r="A290" s="6">
        <v>44274</v>
      </c>
      <c r="B290" s="7" t="str">
        <f t="shared" si="14"/>
        <v>March</v>
      </c>
      <c r="C290" s="7">
        <v>2021</v>
      </c>
      <c r="D290" s="7" t="s">
        <v>728</v>
      </c>
      <c r="E290" s="7">
        <v>3</v>
      </c>
    </row>
    <row r="291" spans="1:5" x14ac:dyDescent="0.45">
      <c r="A291" s="6">
        <v>44276</v>
      </c>
      <c r="B291" s="7" t="str">
        <f t="shared" si="14"/>
        <v>March</v>
      </c>
      <c r="C291" s="7">
        <v>2021</v>
      </c>
      <c r="D291" s="7" t="s">
        <v>726</v>
      </c>
      <c r="E291" s="7">
        <v>1</v>
      </c>
    </row>
    <row r="292" spans="1:5" x14ac:dyDescent="0.45">
      <c r="A292" s="6">
        <v>44284</v>
      </c>
      <c r="B292" s="7" t="str">
        <f t="shared" si="14"/>
        <v>March</v>
      </c>
      <c r="C292" s="7">
        <v>2021</v>
      </c>
      <c r="D292" s="7" t="s">
        <v>726</v>
      </c>
      <c r="E292" s="7">
        <v>5</v>
      </c>
    </row>
    <row r="293" spans="1:5" x14ac:dyDescent="0.45">
      <c r="A293" s="6">
        <v>44286</v>
      </c>
      <c r="B293" s="7" t="str">
        <f t="shared" si="14"/>
        <v>March</v>
      </c>
      <c r="C293" s="7">
        <v>2021</v>
      </c>
      <c r="D293" s="7" t="s">
        <v>726</v>
      </c>
      <c r="E293" s="7">
        <v>5</v>
      </c>
    </row>
    <row r="294" spans="1:5" x14ac:dyDescent="0.45">
      <c r="A294" s="6">
        <v>44287</v>
      </c>
      <c r="B294" s="7" t="str">
        <f t="shared" si="14"/>
        <v>April</v>
      </c>
      <c r="C294" s="7">
        <v>2021</v>
      </c>
      <c r="D294" s="7" t="s">
        <v>726</v>
      </c>
      <c r="E294" s="7">
        <v>3</v>
      </c>
    </row>
    <row r="295" spans="1:5" x14ac:dyDescent="0.45">
      <c r="A295" s="6">
        <v>44288</v>
      </c>
      <c r="B295" s="7" t="str">
        <f t="shared" si="14"/>
        <v>April</v>
      </c>
      <c r="C295" s="7">
        <v>2021</v>
      </c>
      <c r="D295" s="7" t="s">
        <v>726</v>
      </c>
      <c r="E295" s="7">
        <v>1</v>
      </c>
    </row>
    <row r="296" spans="1:5" x14ac:dyDescent="0.45">
      <c r="A296" s="6">
        <v>44290</v>
      </c>
      <c r="B296" s="7" t="str">
        <f t="shared" si="14"/>
        <v>April</v>
      </c>
      <c r="C296" s="7">
        <v>2021</v>
      </c>
      <c r="D296" s="7" t="s">
        <v>728</v>
      </c>
      <c r="E296" s="7">
        <v>4</v>
      </c>
    </row>
    <row r="297" spans="1:5" x14ac:dyDescent="0.45">
      <c r="A297" s="6">
        <v>44295</v>
      </c>
      <c r="B297" s="7" t="str">
        <f t="shared" si="14"/>
        <v>April</v>
      </c>
      <c r="C297" s="7">
        <v>2021</v>
      </c>
      <c r="D297" s="7" t="s">
        <v>726</v>
      </c>
      <c r="E297" s="7">
        <v>2</v>
      </c>
    </row>
    <row r="298" spans="1:5" x14ac:dyDescent="0.45">
      <c r="A298" s="6">
        <v>44298</v>
      </c>
      <c r="B298" s="7" t="str">
        <f t="shared" si="14"/>
        <v>April</v>
      </c>
      <c r="C298" s="7">
        <v>2021</v>
      </c>
      <c r="D298" s="7" t="s">
        <v>726</v>
      </c>
      <c r="E298" s="7">
        <v>2</v>
      </c>
    </row>
    <row r="299" spans="1:5" x14ac:dyDescent="0.45">
      <c r="A299" s="6">
        <v>44299</v>
      </c>
      <c r="B299" s="7" t="str">
        <f t="shared" si="14"/>
        <v>April</v>
      </c>
      <c r="C299" s="7">
        <v>2021</v>
      </c>
      <c r="D299" s="7" t="s">
        <v>727</v>
      </c>
      <c r="E299" s="7">
        <v>4</v>
      </c>
    </row>
    <row r="300" spans="1:5" x14ac:dyDescent="0.45">
      <c r="A300" s="6">
        <v>44301</v>
      </c>
      <c r="B300" s="7" t="str">
        <f t="shared" si="14"/>
        <v>April</v>
      </c>
      <c r="C300" s="7">
        <v>2021</v>
      </c>
      <c r="D300" s="7" t="s">
        <v>726</v>
      </c>
      <c r="E300" s="7">
        <v>2</v>
      </c>
    </row>
    <row r="301" spans="1:5" x14ac:dyDescent="0.45">
      <c r="A301" s="6">
        <v>44303</v>
      </c>
      <c r="B301" s="7" t="str">
        <f t="shared" si="14"/>
        <v>April</v>
      </c>
      <c r="C301" s="7">
        <v>2021</v>
      </c>
      <c r="D301" s="7" t="s">
        <v>727</v>
      </c>
      <c r="E301" s="7">
        <v>3</v>
      </c>
    </row>
    <row r="302" spans="1:5" x14ac:dyDescent="0.45">
      <c r="A302" s="6">
        <v>44305</v>
      </c>
      <c r="B302" s="7" t="str">
        <f t="shared" si="14"/>
        <v>April</v>
      </c>
      <c r="C302" s="7">
        <v>2021</v>
      </c>
      <c r="D302" s="7" t="s">
        <v>728</v>
      </c>
      <c r="E302" s="7">
        <v>1</v>
      </c>
    </row>
    <row r="303" spans="1:5" x14ac:dyDescent="0.45">
      <c r="A303" s="6">
        <v>44307</v>
      </c>
      <c r="B303" s="7" t="str">
        <f t="shared" si="14"/>
        <v>April</v>
      </c>
      <c r="C303" s="7">
        <v>2021</v>
      </c>
      <c r="D303" s="7" t="s">
        <v>727</v>
      </c>
      <c r="E303" s="7">
        <v>1</v>
      </c>
    </row>
    <row r="304" spans="1:5" x14ac:dyDescent="0.45">
      <c r="A304" s="6">
        <v>44307</v>
      </c>
      <c r="B304" s="7" t="str">
        <f t="shared" si="14"/>
        <v>April</v>
      </c>
      <c r="C304" s="7">
        <v>2021</v>
      </c>
      <c r="D304" s="7" t="s">
        <v>726</v>
      </c>
      <c r="E304" s="7">
        <v>3</v>
      </c>
    </row>
    <row r="305" spans="1:5" x14ac:dyDescent="0.45">
      <c r="A305" s="6">
        <v>44309</v>
      </c>
      <c r="B305" s="7" t="str">
        <f t="shared" si="14"/>
        <v>April</v>
      </c>
      <c r="C305" s="7">
        <v>2021</v>
      </c>
      <c r="D305" s="7" t="s">
        <v>726</v>
      </c>
      <c r="E305" s="7">
        <v>4</v>
      </c>
    </row>
    <row r="306" spans="1:5" x14ac:dyDescent="0.45">
      <c r="A306" s="6">
        <v>44309</v>
      </c>
      <c r="B306" s="7" t="str">
        <f t="shared" si="14"/>
        <v>April</v>
      </c>
      <c r="C306" s="7">
        <v>2021</v>
      </c>
      <c r="D306" s="7" t="s">
        <v>726</v>
      </c>
      <c r="E306" s="7">
        <v>7</v>
      </c>
    </row>
    <row r="307" spans="1:5" x14ac:dyDescent="0.45">
      <c r="A307" s="6">
        <v>44310</v>
      </c>
      <c r="B307" s="7" t="str">
        <f t="shared" si="14"/>
        <v>April</v>
      </c>
      <c r="C307" s="7">
        <v>2021</v>
      </c>
      <c r="D307" s="7" t="s">
        <v>729</v>
      </c>
      <c r="E307" s="7">
        <v>4</v>
      </c>
    </row>
    <row r="308" spans="1:5" x14ac:dyDescent="0.45">
      <c r="A308" s="6">
        <v>44312</v>
      </c>
      <c r="B308" s="7" t="str">
        <f t="shared" si="14"/>
        <v>April</v>
      </c>
      <c r="C308" s="7">
        <v>2021</v>
      </c>
      <c r="D308" s="7" t="s">
        <v>727</v>
      </c>
      <c r="E308" s="7">
        <v>3</v>
      </c>
    </row>
    <row r="309" spans="1:5" x14ac:dyDescent="0.45">
      <c r="A309" s="6">
        <v>44312</v>
      </c>
      <c r="B309" s="7" t="str">
        <f t="shared" si="14"/>
        <v>April</v>
      </c>
      <c r="C309" s="7">
        <v>2021</v>
      </c>
      <c r="D309" s="7" t="s">
        <v>726</v>
      </c>
      <c r="E309" s="7">
        <v>3</v>
      </c>
    </row>
    <row r="310" spans="1:5" x14ac:dyDescent="0.45">
      <c r="A310" s="6">
        <v>44315</v>
      </c>
      <c r="B310" s="7" t="str">
        <f t="shared" si="14"/>
        <v>April</v>
      </c>
      <c r="C310" s="7">
        <v>2021</v>
      </c>
      <c r="D310" s="7" t="s">
        <v>727</v>
      </c>
      <c r="E310" s="7">
        <v>5</v>
      </c>
    </row>
    <row r="311" spans="1:5" x14ac:dyDescent="0.45">
      <c r="A311" s="6">
        <v>44315</v>
      </c>
      <c r="B311" s="7" t="str">
        <f t="shared" si="14"/>
        <v>April</v>
      </c>
      <c r="C311" s="7">
        <v>2021</v>
      </c>
      <c r="D311" s="7" t="s">
        <v>726</v>
      </c>
      <c r="E311" s="7">
        <v>3</v>
      </c>
    </row>
    <row r="312" spans="1:5" x14ac:dyDescent="0.45">
      <c r="A312" s="6">
        <v>44315</v>
      </c>
      <c r="B312" s="7" t="str">
        <f t="shared" si="14"/>
        <v>April</v>
      </c>
      <c r="C312" s="7">
        <v>2021</v>
      </c>
      <c r="D312" s="7" t="s">
        <v>726</v>
      </c>
      <c r="E312" s="7">
        <v>3</v>
      </c>
    </row>
    <row r="313" spans="1:5" x14ac:dyDescent="0.45">
      <c r="A313" s="6">
        <v>44317</v>
      </c>
      <c r="B313" s="7" t="str">
        <f t="shared" si="14"/>
        <v>May</v>
      </c>
      <c r="C313" s="7">
        <v>2021</v>
      </c>
      <c r="D313" s="7" t="s">
        <v>727</v>
      </c>
      <c r="E313" s="7">
        <v>1</v>
      </c>
    </row>
    <row r="314" spans="1:5" x14ac:dyDescent="0.45">
      <c r="A314" s="6">
        <v>44317</v>
      </c>
      <c r="B314" s="7" t="str">
        <f t="shared" si="14"/>
        <v>May</v>
      </c>
      <c r="C314" s="7">
        <v>2021</v>
      </c>
      <c r="D314" s="7" t="s">
        <v>729</v>
      </c>
      <c r="E314" s="7">
        <v>4</v>
      </c>
    </row>
    <row r="315" spans="1:5" x14ac:dyDescent="0.45">
      <c r="A315" s="6">
        <v>44321</v>
      </c>
      <c r="B315" s="7" t="str">
        <f t="shared" si="14"/>
        <v>May</v>
      </c>
      <c r="C315" s="7">
        <v>2021</v>
      </c>
      <c r="D315" s="7" t="s">
        <v>726</v>
      </c>
      <c r="E315" s="7">
        <v>3</v>
      </c>
    </row>
    <row r="316" spans="1:5" x14ac:dyDescent="0.45">
      <c r="A316" s="6">
        <v>44321</v>
      </c>
      <c r="B316" s="7" t="str">
        <f t="shared" si="14"/>
        <v>May</v>
      </c>
      <c r="C316" s="7">
        <v>2021</v>
      </c>
      <c r="D316" s="7" t="s">
        <v>729</v>
      </c>
      <c r="E316" s="7">
        <v>5</v>
      </c>
    </row>
    <row r="317" spans="1:5" x14ac:dyDescent="0.45">
      <c r="A317" s="6">
        <v>44322</v>
      </c>
      <c r="B317" s="7" t="str">
        <f t="shared" si="14"/>
        <v>May</v>
      </c>
      <c r="C317" s="7">
        <v>2021</v>
      </c>
      <c r="D317" s="7" t="s">
        <v>726</v>
      </c>
      <c r="E317" s="7">
        <v>2</v>
      </c>
    </row>
    <row r="318" spans="1:5" x14ac:dyDescent="0.45">
      <c r="A318" s="6">
        <v>44327</v>
      </c>
      <c r="B318" s="7" t="str">
        <f t="shared" si="14"/>
        <v>May</v>
      </c>
      <c r="C318" s="7">
        <v>2021</v>
      </c>
      <c r="D318" s="7" t="s">
        <v>727</v>
      </c>
      <c r="E318" s="7">
        <v>5</v>
      </c>
    </row>
    <row r="319" spans="1:5" x14ac:dyDescent="0.45">
      <c r="A319" s="6">
        <v>44328</v>
      </c>
      <c r="B319" s="7" t="str">
        <f t="shared" si="14"/>
        <v>May</v>
      </c>
      <c r="C319" s="7">
        <v>2021</v>
      </c>
      <c r="D319" s="7" t="s">
        <v>727</v>
      </c>
      <c r="E319" s="7">
        <v>1</v>
      </c>
    </row>
    <row r="320" spans="1:5" x14ac:dyDescent="0.45">
      <c r="A320" s="6">
        <v>44329</v>
      </c>
      <c r="B320" s="7" t="str">
        <f t="shared" si="14"/>
        <v>May</v>
      </c>
      <c r="C320" s="7">
        <v>2021</v>
      </c>
      <c r="D320" s="7" t="s">
        <v>726</v>
      </c>
      <c r="E320" s="7">
        <v>4</v>
      </c>
    </row>
    <row r="321" spans="1:5" x14ac:dyDescent="0.45">
      <c r="A321" s="6">
        <v>44330</v>
      </c>
      <c r="B321" s="7" t="str">
        <f t="shared" si="14"/>
        <v>May</v>
      </c>
      <c r="C321" s="7">
        <v>2021</v>
      </c>
      <c r="D321" s="7" t="s">
        <v>729</v>
      </c>
      <c r="E321" s="7">
        <v>4</v>
      </c>
    </row>
    <row r="322" spans="1:5" x14ac:dyDescent="0.45">
      <c r="A322" s="6">
        <v>44335</v>
      </c>
      <c r="B322" s="7" t="str">
        <f t="shared" si="14"/>
        <v>May</v>
      </c>
      <c r="C322" s="7">
        <v>2021</v>
      </c>
      <c r="D322" s="7" t="s">
        <v>726</v>
      </c>
      <c r="E322" s="7">
        <v>2</v>
      </c>
    </row>
    <row r="323" spans="1:5" x14ac:dyDescent="0.45">
      <c r="A323" s="6">
        <v>44337</v>
      </c>
      <c r="B323" s="7" t="str">
        <f t="shared" ref="B323:B386" si="15">TEXT(A323,"MMMM")</f>
        <v>May</v>
      </c>
      <c r="C323" s="7">
        <v>2021</v>
      </c>
      <c r="D323" s="7" t="s">
        <v>728</v>
      </c>
      <c r="E323" s="7">
        <v>5</v>
      </c>
    </row>
    <row r="324" spans="1:5" x14ac:dyDescent="0.45">
      <c r="A324" s="6">
        <v>44339</v>
      </c>
      <c r="B324" s="7" t="str">
        <f t="shared" si="15"/>
        <v>May</v>
      </c>
      <c r="C324" s="7">
        <v>2021</v>
      </c>
      <c r="D324" s="7" t="s">
        <v>729</v>
      </c>
      <c r="E324" s="7">
        <v>3</v>
      </c>
    </row>
    <row r="325" spans="1:5" x14ac:dyDescent="0.45">
      <c r="A325" s="6">
        <v>44341</v>
      </c>
      <c r="B325" s="7" t="str">
        <f t="shared" si="15"/>
        <v>May</v>
      </c>
      <c r="C325" s="7">
        <v>2021</v>
      </c>
      <c r="D325" s="7" t="s">
        <v>726</v>
      </c>
      <c r="E325" s="7">
        <v>4</v>
      </c>
    </row>
    <row r="326" spans="1:5" x14ac:dyDescent="0.45">
      <c r="A326" s="6">
        <v>44341</v>
      </c>
      <c r="B326" s="7" t="str">
        <f t="shared" si="15"/>
        <v>May</v>
      </c>
      <c r="C326" s="7">
        <v>2021</v>
      </c>
      <c r="D326" s="7" t="s">
        <v>728</v>
      </c>
      <c r="E326" s="7">
        <v>2</v>
      </c>
    </row>
    <row r="327" spans="1:5" x14ac:dyDescent="0.45">
      <c r="A327" s="6">
        <v>44341</v>
      </c>
      <c r="B327" s="7" t="str">
        <f t="shared" si="15"/>
        <v>May</v>
      </c>
      <c r="C327" s="7">
        <v>2021</v>
      </c>
      <c r="D327" s="7" t="s">
        <v>726</v>
      </c>
      <c r="E327" s="7">
        <v>1</v>
      </c>
    </row>
    <row r="328" spans="1:5" x14ac:dyDescent="0.45">
      <c r="A328" s="6">
        <v>44343</v>
      </c>
      <c r="B328" s="7" t="str">
        <f t="shared" si="15"/>
        <v>May</v>
      </c>
      <c r="C328" s="7">
        <v>2021</v>
      </c>
      <c r="D328" s="7" t="s">
        <v>728</v>
      </c>
      <c r="E328" s="7">
        <v>4</v>
      </c>
    </row>
    <row r="329" spans="1:5" x14ac:dyDescent="0.45">
      <c r="A329" s="6">
        <v>44349</v>
      </c>
      <c r="B329" s="7" t="str">
        <f t="shared" si="15"/>
        <v>June</v>
      </c>
      <c r="C329" s="7">
        <v>2021</v>
      </c>
      <c r="D329" s="7" t="s">
        <v>726</v>
      </c>
      <c r="E329" s="7">
        <v>4</v>
      </c>
    </row>
    <row r="330" spans="1:5" x14ac:dyDescent="0.45">
      <c r="A330" s="6">
        <v>44350</v>
      </c>
      <c r="B330" s="7" t="str">
        <f t="shared" si="15"/>
        <v>June</v>
      </c>
      <c r="C330" s="7">
        <v>2021</v>
      </c>
      <c r="D330" s="7" t="s">
        <v>726</v>
      </c>
      <c r="E330" s="7">
        <v>1</v>
      </c>
    </row>
    <row r="331" spans="1:5" x14ac:dyDescent="0.45">
      <c r="A331" s="6">
        <v>44352</v>
      </c>
      <c r="B331" s="7" t="str">
        <f t="shared" si="15"/>
        <v>June</v>
      </c>
      <c r="C331" s="7">
        <v>2021</v>
      </c>
      <c r="D331" s="7" t="s">
        <v>726</v>
      </c>
      <c r="E331" s="7">
        <v>5</v>
      </c>
    </row>
    <row r="332" spans="1:5" x14ac:dyDescent="0.45">
      <c r="A332" s="6">
        <v>44353</v>
      </c>
      <c r="B332" s="7" t="str">
        <f t="shared" si="15"/>
        <v>June</v>
      </c>
      <c r="C332" s="7">
        <v>2021</v>
      </c>
      <c r="D332" s="7" t="s">
        <v>726</v>
      </c>
      <c r="E332" s="7">
        <v>3</v>
      </c>
    </row>
    <row r="333" spans="1:5" x14ac:dyDescent="0.45">
      <c r="A333" s="6">
        <v>44353</v>
      </c>
      <c r="B333" s="7" t="str">
        <f t="shared" si="15"/>
        <v>June</v>
      </c>
      <c r="C333" s="7">
        <v>2021</v>
      </c>
      <c r="D333" s="7" t="s">
        <v>726</v>
      </c>
      <c r="E333" s="7">
        <v>2</v>
      </c>
    </row>
    <row r="334" spans="1:5" x14ac:dyDescent="0.45">
      <c r="A334" s="6">
        <v>44354</v>
      </c>
      <c r="B334" s="7" t="str">
        <f t="shared" si="15"/>
        <v>June</v>
      </c>
      <c r="C334" s="7">
        <v>2021</v>
      </c>
      <c r="D334" s="7" t="s">
        <v>727</v>
      </c>
      <c r="E334" s="7">
        <v>3</v>
      </c>
    </row>
    <row r="335" spans="1:5" x14ac:dyDescent="0.45">
      <c r="A335" s="6">
        <v>44356</v>
      </c>
      <c r="B335" s="7" t="str">
        <f t="shared" si="15"/>
        <v>June</v>
      </c>
      <c r="C335" s="7">
        <v>2021</v>
      </c>
      <c r="D335" s="7" t="s">
        <v>728</v>
      </c>
      <c r="E335" s="7">
        <v>3</v>
      </c>
    </row>
    <row r="336" spans="1:5" x14ac:dyDescent="0.45">
      <c r="A336" s="6">
        <v>44356</v>
      </c>
      <c r="B336" s="7" t="str">
        <f t="shared" si="15"/>
        <v>June</v>
      </c>
      <c r="C336" s="7">
        <v>2021</v>
      </c>
      <c r="D336" s="7" t="s">
        <v>729</v>
      </c>
      <c r="E336" s="7">
        <v>4</v>
      </c>
    </row>
    <row r="337" spans="1:5" x14ac:dyDescent="0.45">
      <c r="A337" s="6">
        <v>44364</v>
      </c>
      <c r="B337" s="7" t="str">
        <f t="shared" si="15"/>
        <v>June</v>
      </c>
      <c r="C337" s="7">
        <v>2021</v>
      </c>
      <c r="D337" s="7" t="s">
        <v>727</v>
      </c>
      <c r="E337" s="7">
        <v>2</v>
      </c>
    </row>
    <row r="338" spans="1:5" x14ac:dyDescent="0.45">
      <c r="A338" s="6">
        <v>44364</v>
      </c>
      <c r="B338" s="7" t="str">
        <f t="shared" si="15"/>
        <v>June</v>
      </c>
      <c r="C338" s="7">
        <v>2021</v>
      </c>
      <c r="D338" s="7" t="s">
        <v>726</v>
      </c>
      <c r="E338" s="7">
        <v>4</v>
      </c>
    </row>
    <row r="339" spans="1:5" x14ac:dyDescent="0.45">
      <c r="A339" s="6">
        <v>44365</v>
      </c>
      <c r="B339" s="7" t="str">
        <f t="shared" si="15"/>
        <v>June</v>
      </c>
      <c r="C339" s="7">
        <v>2021</v>
      </c>
      <c r="D339" s="7" t="s">
        <v>726</v>
      </c>
      <c r="E339" s="7">
        <v>2</v>
      </c>
    </row>
    <row r="340" spans="1:5" x14ac:dyDescent="0.45">
      <c r="A340" s="6">
        <v>44365</v>
      </c>
      <c r="B340" s="7" t="str">
        <f t="shared" si="15"/>
        <v>June</v>
      </c>
      <c r="C340" s="7">
        <v>2021</v>
      </c>
      <c r="D340" s="7" t="s">
        <v>726</v>
      </c>
      <c r="E340" s="7">
        <v>1</v>
      </c>
    </row>
    <row r="341" spans="1:5" x14ac:dyDescent="0.45">
      <c r="A341" s="6">
        <v>44365</v>
      </c>
      <c r="B341" s="7" t="str">
        <f t="shared" si="15"/>
        <v>June</v>
      </c>
      <c r="C341" s="7">
        <v>2021</v>
      </c>
      <c r="D341" s="7" t="s">
        <v>729</v>
      </c>
      <c r="E341" s="7">
        <v>5</v>
      </c>
    </row>
    <row r="342" spans="1:5" x14ac:dyDescent="0.45">
      <c r="A342" s="6">
        <v>44369</v>
      </c>
      <c r="B342" s="7" t="str">
        <f t="shared" si="15"/>
        <v>June</v>
      </c>
      <c r="C342" s="7">
        <v>2021</v>
      </c>
      <c r="D342" s="7" t="s">
        <v>726</v>
      </c>
      <c r="E342" s="7">
        <v>3</v>
      </c>
    </row>
    <row r="343" spans="1:5" x14ac:dyDescent="0.45">
      <c r="A343" s="6">
        <v>44372</v>
      </c>
      <c r="B343" s="7" t="str">
        <f t="shared" si="15"/>
        <v>June</v>
      </c>
      <c r="C343" s="7">
        <v>2021</v>
      </c>
      <c r="D343" s="7" t="s">
        <v>726</v>
      </c>
      <c r="E343" s="7">
        <v>5</v>
      </c>
    </row>
    <row r="344" spans="1:5" x14ac:dyDescent="0.45">
      <c r="A344" s="6">
        <v>44374</v>
      </c>
      <c r="B344" s="7" t="str">
        <f t="shared" si="15"/>
        <v>June</v>
      </c>
      <c r="C344" s="7">
        <v>2021</v>
      </c>
      <c r="D344" s="7" t="s">
        <v>726</v>
      </c>
      <c r="E344" s="7">
        <v>5</v>
      </c>
    </row>
    <row r="345" spans="1:5" x14ac:dyDescent="0.45">
      <c r="A345" s="6">
        <v>44377</v>
      </c>
      <c r="B345" s="7" t="str">
        <f t="shared" si="15"/>
        <v>June</v>
      </c>
      <c r="C345" s="7">
        <v>2021</v>
      </c>
      <c r="D345" s="7" t="s">
        <v>727</v>
      </c>
      <c r="E345" s="7">
        <v>4</v>
      </c>
    </row>
    <row r="346" spans="1:5" x14ac:dyDescent="0.45">
      <c r="A346" s="6">
        <v>44377</v>
      </c>
      <c r="B346" s="7" t="str">
        <f t="shared" si="15"/>
        <v>June</v>
      </c>
      <c r="C346" s="7">
        <v>2021</v>
      </c>
      <c r="D346" s="7" t="s">
        <v>728</v>
      </c>
      <c r="E346" s="7">
        <v>4</v>
      </c>
    </row>
    <row r="347" spans="1:5" x14ac:dyDescent="0.45">
      <c r="A347" s="6">
        <v>44380</v>
      </c>
      <c r="B347" s="7" t="str">
        <f t="shared" si="15"/>
        <v>July</v>
      </c>
      <c r="C347" s="7">
        <v>2021</v>
      </c>
      <c r="D347" s="7" t="s">
        <v>727</v>
      </c>
      <c r="E347" s="7">
        <v>3</v>
      </c>
    </row>
    <row r="348" spans="1:5" x14ac:dyDescent="0.45">
      <c r="A348" s="6">
        <v>44380</v>
      </c>
      <c r="B348" s="7" t="str">
        <f t="shared" si="15"/>
        <v>July</v>
      </c>
      <c r="C348" s="7">
        <v>2021</v>
      </c>
      <c r="D348" s="7" t="s">
        <v>727</v>
      </c>
      <c r="E348" s="7">
        <v>2</v>
      </c>
    </row>
    <row r="349" spans="1:5" x14ac:dyDescent="0.45">
      <c r="A349" s="6">
        <v>44380</v>
      </c>
      <c r="B349" s="7" t="str">
        <f t="shared" si="15"/>
        <v>July</v>
      </c>
      <c r="C349" s="7">
        <v>2021</v>
      </c>
      <c r="D349" s="7" t="s">
        <v>726</v>
      </c>
      <c r="E349" s="7">
        <v>3</v>
      </c>
    </row>
    <row r="350" spans="1:5" x14ac:dyDescent="0.45">
      <c r="A350" s="6">
        <v>44381</v>
      </c>
      <c r="B350" s="7" t="str">
        <f t="shared" si="15"/>
        <v>July</v>
      </c>
      <c r="C350" s="7">
        <v>2021</v>
      </c>
      <c r="D350" s="7" t="s">
        <v>729</v>
      </c>
      <c r="E350" s="7">
        <v>5</v>
      </c>
    </row>
    <row r="351" spans="1:5" x14ac:dyDescent="0.45">
      <c r="A351" s="6">
        <v>44382</v>
      </c>
      <c r="B351" s="7" t="str">
        <f t="shared" si="15"/>
        <v>July</v>
      </c>
      <c r="C351" s="7">
        <v>2021</v>
      </c>
      <c r="D351" s="7" t="s">
        <v>726</v>
      </c>
      <c r="E351" s="7">
        <v>4</v>
      </c>
    </row>
    <row r="352" spans="1:5" x14ac:dyDescent="0.45">
      <c r="A352" s="6">
        <v>44382</v>
      </c>
      <c r="B352" s="7" t="str">
        <f t="shared" si="15"/>
        <v>July</v>
      </c>
      <c r="C352" s="7">
        <v>2021</v>
      </c>
      <c r="D352" s="7" t="s">
        <v>726</v>
      </c>
      <c r="E352" s="7">
        <v>1</v>
      </c>
    </row>
    <row r="353" spans="1:5" x14ac:dyDescent="0.45">
      <c r="A353" s="6">
        <v>44383</v>
      </c>
      <c r="B353" s="7" t="str">
        <f t="shared" si="15"/>
        <v>July</v>
      </c>
      <c r="C353" s="7">
        <v>2021</v>
      </c>
      <c r="D353" s="7" t="s">
        <v>726</v>
      </c>
      <c r="E353" s="7">
        <v>5</v>
      </c>
    </row>
    <row r="354" spans="1:5" x14ac:dyDescent="0.45">
      <c r="A354" s="6">
        <v>44384</v>
      </c>
      <c r="B354" s="7" t="str">
        <f t="shared" si="15"/>
        <v>July</v>
      </c>
      <c r="C354" s="7">
        <v>2021</v>
      </c>
      <c r="D354" s="7" t="s">
        <v>728</v>
      </c>
      <c r="E354" s="7">
        <v>5</v>
      </c>
    </row>
    <row r="355" spans="1:5" x14ac:dyDescent="0.45">
      <c r="A355" s="6">
        <v>44384</v>
      </c>
      <c r="B355" s="7" t="str">
        <f t="shared" si="15"/>
        <v>July</v>
      </c>
      <c r="C355" s="7">
        <v>2021</v>
      </c>
      <c r="D355" s="7" t="s">
        <v>726</v>
      </c>
      <c r="E355" s="7">
        <v>3</v>
      </c>
    </row>
    <row r="356" spans="1:5" x14ac:dyDescent="0.45">
      <c r="A356" s="6">
        <v>44385</v>
      </c>
      <c r="B356" s="7" t="str">
        <f t="shared" si="15"/>
        <v>July</v>
      </c>
      <c r="C356" s="7">
        <v>2021</v>
      </c>
      <c r="D356" s="7" t="s">
        <v>727</v>
      </c>
      <c r="E356" s="7">
        <v>3</v>
      </c>
    </row>
    <row r="357" spans="1:5" x14ac:dyDescent="0.45">
      <c r="A357" s="6">
        <v>44386</v>
      </c>
      <c r="B357" s="7" t="str">
        <f t="shared" si="15"/>
        <v>July</v>
      </c>
      <c r="C357" s="7">
        <v>2021</v>
      </c>
      <c r="D357" s="7" t="s">
        <v>726</v>
      </c>
      <c r="E357" s="7">
        <v>2</v>
      </c>
    </row>
    <row r="358" spans="1:5" x14ac:dyDescent="0.45">
      <c r="A358" s="6">
        <v>44386</v>
      </c>
      <c r="B358" s="7" t="str">
        <f t="shared" si="15"/>
        <v>July</v>
      </c>
      <c r="C358" s="7">
        <v>2021</v>
      </c>
      <c r="D358" s="7" t="s">
        <v>729</v>
      </c>
      <c r="E358" s="7">
        <v>4</v>
      </c>
    </row>
    <row r="359" spans="1:5" x14ac:dyDescent="0.45">
      <c r="A359" s="6">
        <v>44390</v>
      </c>
      <c r="B359" s="7" t="str">
        <f t="shared" si="15"/>
        <v>July</v>
      </c>
      <c r="C359" s="7">
        <v>2021</v>
      </c>
      <c r="D359" s="7" t="s">
        <v>726</v>
      </c>
      <c r="E359" s="7">
        <v>3</v>
      </c>
    </row>
    <row r="360" spans="1:5" x14ac:dyDescent="0.45">
      <c r="A360" s="6">
        <v>44395</v>
      </c>
      <c r="B360" s="7" t="str">
        <f t="shared" si="15"/>
        <v>July</v>
      </c>
      <c r="C360" s="7">
        <v>2021</v>
      </c>
      <c r="D360" s="7" t="s">
        <v>728</v>
      </c>
      <c r="E360" s="7">
        <v>1</v>
      </c>
    </row>
    <row r="361" spans="1:5" x14ac:dyDescent="0.45">
      <c r="A361" s="6">
        <v>44398</v>
      </c>
      <c r="B361" s="7" t="str">
        <f t="shared" si="15"/>
        <v>July</v>
      </c>
      <c r="C361" s="7">
        <v>2021</v>
      </c>
      <c r="D361" s="7" t="s">
        <v>726</v>
      </c>
      <c r="E361" s="7">
        <v>5</v>
      </c>
    </row>
    <row r="362" spans="1:5" x14ac:dyDescent="0.45">
      <c r="A362" s="6">
        <v>44399</v>
      </c>
      <c r="B362" s="7" t="str">
        <f t="shared" si="15"/>
        <v>July</v>
      </c>
      <c r="C362" s="7">
        <v>2021</v>
      </c>
      <c r="D362" s="7" t="s">
        <v>727</v>
      </c>
      <c r="E362" s="7">
        <v>4</v>
      </c>
    </row>
    <row r="363" spans="1:5" x14ac:dyDescent="0.45">
      <c r="A363" s="6">
        <v>44400</v>
      </c>
      <c r="B363" s="7" t="str">
        <f t="shared" si="15"/>
        <v>July</v>
      </c>
      <c r="C363" s="7">
        <v>2021</v>
      </c>
      <c r="D363" s="7" t="s">
        <v>727</v>
      </c>
      <c r="E363" s="7">
        <v>5</v>
      </c>
    </row>
    <row r="364" spans="1:5" x14ac:dyDescent="0.45">
      <c r="A364" s="6">
        <v>44403</v>
      </c>
      <c r="B364" s="7" t="str">
        <f t="shared" si="15"/>
        <v>July</v>
      </c>
      <c r="C364" s="7">
        <v>2021</v>
      </c>
      <c r="D364" s="7" t="s">
        <v>729</v>
      </c>
      <c r="E364" s="7">
        <v>3</v>
      </c>
    </row>
    <row r="365" spans="1:5" x14ac:dyDescent="0.45">
      <c r="A365" s="6">
        <v>44404</v>
      </c>
      <c r="B365" s="7" t="str">
        <f t="shared" si="15"/>
        <v>July</v>
      </c>
      <c r="C365" s="7">
        <v>2021</v>
      </c>
      <c r="D365" s="7" t="s">
        <v>727</v>
      </c>
      <c r="E365" s="7">
        <v>3</v>
      </c>
    </row>
    <row r="366" spans="1:5" x14ac:dyDescent="0.45">
      <c r="A366" s="6">
        <v>44410</v>
      </c>
      <c r="B366" s="7" t="str">
        <f t="shared" si="15"/>
        <v>August</v>
      </c>
      <c r="C366" s="7">
        <v>2021</v>
      </c>
      <c r="D366" s="7" t="s">
        <v>728</v>
      </c>
      <c r="E366" s="7">
        <v>3</v>
      </c>
    </row>
    <row r="367" spans="1:5" x14ac:dyDescent="0.45">
      <c r="A367" s="6">
        <v>44411</v>
      </c>
      <c r="B367" s="7" t="str">
        <f t="shared" si="15"/>
        <v>August</v>
      </c>
      <c r="C367" s="7">
        <v>2021</v>
      </c>
      <c r="D367" s="7" t="s">
        <v>726</v>
      </c>
      <c r="E367" s="7">
        <v>4</v>
      </c>
    </row>
    <row r="368" spans="1:5" x14ac:dyDescent="0.45">
      <c r="A368" s="6">
        <v>44412</v>
      </c>
      <c r="B368" s="7" t="str">
        <f t="shared" si="15"/>
        <v>August</v>
      </c>
      <c r="C368" s="7">
        <v>2021</v>
      </c>
      <c r="D368" s="7" t="s">
        <v>727</v>
      </c>
      <c r="E368" s="7">
        <v>1</v>
      </c>
    </row>
    <row r="369" spans="1:5" x14ac:dyDescent="0.45">
      <c r="A369" s="6">
        <v>44413</v>
      </c>
      <c r="B369" s="7" t="str">
        <f t="shared" si="15"/>
        <v>August</v>
      </c>
      <c r="C369" s="7">
        <v>2021</v>
      </c>
      <c r="D369" s="7" t="s">
        <v>726</v>
      </c>
      <c r="E369" s="7">
        <v>4</v>
      </c>
    </row>
    <row r="370" spans="1:5" x14ac:dyDescent="0.45">
      <c r="A370" s="6">
        <v>44414</v>
      </c>
      <c r="B370" s="7" t="str">
        <f t="shared" si="15"/>
        <v>August</v>
      </c>
      <c r="C370" s="7">
        <v>2021</v>
      </c>
      <c r="D370" s="7" t="s">
        <v>727</v>
      </c>
      <c r="E370" s="7">
        <v>4</v>
      </c>
    </row>
    <row r="371" spans="1:5" x14ac:dyDescent="0.45">
      <c r="A371" s="6">
        <v>44414</v>
      </c>
      <c r="B371" s="7" t="str">
        <f t="shared" si="15"/>
        <v>August</v>
      </c>
      <c r="C371" s="7">
        <v>2021</v>
      </c>
      <c r="D371" s="7" t="s">
        <v>726</v>
      </c>
      <c r="E371" s="7">
        <v>4</v>
      </c>
    </row>
    <row r="372" spans="1:5" x14ac:dyDescent="0.45">
      <c r="A372" s="6">
        <v>44416</v>
      </c>
      <c r="B372" s="7" t="str">
        <f t="shared" si="15"/>
        <v>August</v>
      </c>
      <c r="C372" s="7">
        <v>2021</v>
      </c>
      <c r="D372" s="7" t="s">
        <v>728</v>
      </c>
      <c r="E372" s="7">
        <v>4</v>
      </c>
    </row>
    <row r="373" spans="1:5" x14ac:dyDescent="0.45">
      <c r="A373" s="6">
        <v>44421</v>
      </c>
      <c r="B373" s="7" t="str">
        <f t="shared" si="15"/>
        <v>August</v>
      </c>
      <c r="C373" s="7">
        <v>2021</v>
      </c>
      <c r="D373" s="7" t="s">
        <v>726</v>
      </c>
      <c r="E373" s="7">
        <v>1</v>
      </c>
    </row>
    <row r="374" spans="1:5" x14ac:dyDescent="0.45">
      <c r="A374" s="6">
        <v>44422</v>
      </c>
      <c r="B374" s="7" t="str">
        <f t="shared" si="15"/>
        <v>August</v>
      </c>
      <c r="C374" s="7">
        <v>2021</v>
      </c>
      <c r="D374" s="7" t="s">
        <v>727</v>
      </c>
      <c r="E374" s="7">
        <v>5</v>
      </c>
    </row>
    <row r="375" spans="1:5" x14ac:dyDescent="0.45">
      <c r="A375" s="6">
        <v>44422</v>
      </c>
      <c r="B375" s="7" t="str">
        <f t="shared" si="15"/>
        <v>August</v>
      </c>
      <c r="C375" s="7">
        <v>2021</v>
      </c>
      <c r="D375" s="7" t="s">
        <v>728</v>
      </c>
      <c r="E375" s="7">
        <v>3</v>
      </c>
    </row>
    <row r="376" spans="1:5" x14ac:dyDescent="0.45">
      <c r="A376" s="6">
        <v>44422</v>
      </c>
      <c r="B376" s="7" t="str">
        <f t="shared" si="15"/>
        <v>August</v>
      </c>
      <c r="C376" s="7">
        <v>2021</v>
      </c>
      <c r="D376" s="7" t="s">
        <v>729</v>
      </c>
      <c r="E376" s="7">
        <v>4</v>
      </c>
    </row>
    <row r="377" spans="1:5" x14ac:dyDescent="0.45">
      <c r="A377" s="6">
        <v>44426</v>
      </c>
      <c r="B377" s="7" t="str">
        <f t="shared" si="15"/>
        <v>August</v>
      </c>
      <c r="C377" s="7">
        <v>2021</v>
      </c>
      <c r="D377" s="7" t="s">
        <v>726</v>
      </c>
      <c r="E377" s="7">
        <v>5</v>
      </c>
    </row>
    <row r="378" spans="1:5" x14ac:dyDescent="0.45">
      <c r="A378" s="6">
        <v>44427</v>
      </c>
      <c r="B378" s="7" t="str">
        <f t="shared" si="15"/>
        <v>August</v>
      </c>
      <c r="C378" s="7">
        <v>2021</v>
      </c>
      <c r="D378" s="7" t="s">
        <v>728</v>
      </c>
      <c r="E378" s="7">
        <v>4</v>
      </c>
    </row>
    <row r="379" spans="1:5" x14ac:dyDescent="0.45">
      <c r="A379" s="6">
        <v>44428</v>
      </c>
      <c r="B379" s="7" t="str">
        <f t="shared" si="15"/>
        <v>August</v>
      </c>
      <c r="C379" s="7">
        <v>2021</v>
      </c>
      <c r="D379" s="7" t="s">
        <v>727</v>
      </c>
      <c r="E379" s="7">
        <v>5</v>
      </c>
    </row>
    <row r="380" spans="1:5" x14ac:dyDescent="0.45">
      <c r="A380" s="6">
        <v>44429</v>
      </c>
      <c r="B380" s="7" t="str">
        <f t="shared" si="15"/>
        <v>August</v>
      </c>
      <c r="C380" s="7">
        <v>2021</v>
      </c>
      <c r="D380" s="7" t="s">
        <v>726</v>
      </c>
      <c r="E380" s="7">
        <v>4</v>
      </c>
    </row>
    <row r="381" spans="1:5" x14ac:dyDescent="0.45">
      <c r="A381" s="6">
        <v>44432</v>
      </c>
      <c r="B381" s="7" t="str">
        <f t="shared" si="15"/>
        <v>August</v>
      </c>
      <c r="C381" s="7">
        <v>2021</v>
      </c>
      <c r="D381" s="7" t="s">
        <v>727</v>
      </c>
      <c r="E381" s="7">
        <v>7</v>
      </c>
    </row>
    <row r="382" spans="1:5" x14ac:dyDescent="0.45">
      <c r="A382" s="6">
        <v>44432</v>
      </c>
      <c r="B382" s="7" t="str">
        <f t="shared" si="15"/>
        <v>August</v>
      </c>
      <c r="C382" s="7">
        <v>2021</v>
      </c>
      <c r="D382" s="7" t="s">
        <v>726</v>
      </c>
      <c r="E382" s="7">
        <v>3</v>
      </c>
    </row>
    <row r="383" spans="1:5" x14ac:dyDescent="0.45">
      <c r="A383" s="6">
        <v>44433</v>
      </c>
      <c r="B383" s="7" t="str">
        <f t="shared" si="15"/>
        <v>August</v>
      </c>
      <c r="C383" s="7">
        <v>2021</v>
      </c>
      <c r="D383" s="7" t="s">
        <v>726</v>
      </c>
      <c r="E383" s="7">
        <v>3</v>
      </c>
    </row>
    <row r="384" spans="1:5" x14ac:dyDescent="0.45">
      <c r="A384" s="6">
        <v>44437</v>
      </c>
      <c r="B384" s="7" t="str">
        <f t="shared" si="15"/>
        <v>August</v>
      </c>
      <c r="C384" s="7">
        <v>2021</v>
      </c>
      <c r="D384" s="7" t="s">
        <v>726</v>
      </c>
      <c r="E384" s="7">
        <v>1</v>
      </c>
    </row>
    <row r="385" spans="1:5" x14ac:dyDescent="0.45">
      <c r="A385" s="6">
        <v>44439</v>
      </c>
      <c r="B385" s="7" t="str">
        <f t="shared" si="15"/>
        <v>August</v>
      </c>
      <c r="C385" s="7">
        <v>2021</v>
      </c>
      <c r="D385" s="7" t="s">
        <v>727</v>
      </c>
      <c r="E385" s="7">
        <v>5</v>
      </c>
    </row>
    <row r="386" spans="1:5" x14ac:dyDescent="0.45">
      <c r="A386" s="6">
        <v>44439</v>
      </c>
      <c r="B386" s="7" t="str">
        <f t="shared" si="15"/>
        <v>August</v>
      </c>
      <c r="C386" s="7">
        <v>2021</v>
      </c>
      <c r="D386" s="7" t="s">
        <v>727</v>
      </c>
      <c r="E386" s="7">
        <v>1</v>
      </c>
    </row>
    <row r="387" spans="1:5" x14ac:dyDescent="0.45">
      <c r="A387" s="6">
        <v>44439</v>
      </c>
      <c r="B387" s="7" t="str">
        <f t="shared" ref="B387:B450" si="16">TEXT(A387,"MMMM")</f>
        <v>August</v>
      </c>
      <c r="C387" s="7">
        <v>2021</v>
      </c>
      <c r="D387" s="7" t="s">
        <v>726</v>
      </c>
      <c r="E387" s="7">
        <v>1</v>
      </c>
    </row>
    <row r="388" spans="1:5" x14ac:dyDescent="0.45">
      <c r="A388" s="6">
        <v>44439</v>
      </c>
      <c r="B388" s="7" t="str">
        <f t="shared" si="16"/>
        <v>August</v>
      </c>
      <c r="C388" s="7">
        <v>2021</v>
      </c>
      <c r="D388" s="7" t="s">
        <v>726</v>
      </c>
      <c r="E388" s="7">
        <v>4</v>
      </c>
    </row>
    <row r="389" spans="1:5" x14ac:dyDescent="0.45">
      <c r="A389" s="6">
        <v>44441</v>
      </c>
      <c r="B389" s="7" t="str">
        <f t="shared" si="16"/>
        <v>September</v>
      </c>
      <c r="C389" s="7">
        <v>2021</v>
      </c>
      <c r="D389" s="7" t="s">
        <v>727</v>
      </c>
      <c r="E389" s="7">
        <v>5</v>
      </c>
    </row>
    <row r="390" spans="1:5" x14ac:dyDescent="0.45">
      <c r="A390" s="6">
        <v>44442</v>
      </c>
      <c r="B390" s="7" t="str">
        <f t="shared" si="16"/>
        <v>September</v>
      </c>
      <c r="C390" s="7">
        <v>2021</v>
      </c>
      <c r="D390" s="7" t="s">
        <v>726</v>
      </c>
      <c r="E390" s="7">
        <v>3</v>
      </c>
    </row>
    <row r="391" spans="1:5" x14ac:dyDescent="0.45">
      <c r="A391" s="6">
        <v>44443</v>
      </c>
      <c r="B391" s="7" t="str">
        <f t="shared" si="16"/>
        <v>September</v>
      </c>
      <c r="C391" s="7">
        <v>2021</v>
      </c>
      <c r="D391" s="7" t="s">
        <v>726</v>
      </c>
      <c r="E391" s="7">
        <v>4</v>
      </c>
    </row>
    <row r="392" spans="1:5" x14ac:dyDescent="0.45">
      <c r="A392" s="6">
        <v>44443</v>
      </c>
      <c r="B392" s="7" t="str">
        <f t="shared" si="16"/>
        <v>September</v>
      </c>
      <c r="C392" s="7">
        <v>2021</v>
      </c>
      <c r="D392" s="7" t="s">
        <v>726</v>
      </c>
      <c r="E392" s="7">
        <v>5</v>
      </c>
    </row>
    <row r="393" spans="1:5" x14ac:dyDescent="0.45">
      <c r="A393" s="6">
        <v>44444</v>
      </c>
      <c r="B393" s="7" t="str">
        <f t="shared" si="16"/>
        <v>September</v>
      </c>
      <c r="C393" s="7">
        <v>2021</v>
      </c>
      <c r="D393" s="7" t="s">
        <v>726</v>
      </c>
      <c r="E393" s="7">
        <v>1</v>
      </c>
    </row>
    <row r="394" spans="1:5" x14ac:dyDescent="0.45">
      <c r="A394" s="6">
        <v>44444</v>
      </c>
      <c r="B394" s="7" t="str">
        <f t="shared" si="16"/>
        <v>September</v>
      </c>
      <c r="C394" s="7">
        <v>2021</v>
      </c>
      <c r="D394" s="7" t="s">
        <v>726</v>
      </c>
      <c r="E394" s="7">
        <v>1</v>
      </c>
    </row>
    <row r="395" spans="1:5" x14ac:dyDescent="0.45">
      <c r="A395" s="6">
        <v>44445</v>
      </c>
      <c r="B395" s="7" t="str">
        <f t="shared" si="16"/>
        <v>September</v>
      </c>
      <c r="C395" s="7">
        <v>2021</v>
      </c>
      <c r="D395" s="7" t="s">
        <v>726</v>
      </c>
      <c r="E395" s="7">
        <v>3</v>
      </c>
    </row>
    <row r="396" spans="1:5" x14ac:dyDescent="0.45">
      <c r="A396" s="6">
        <v>44445</v>
      </c>
      <c r="B396" s="7" t="str">
        <f t="shared" si="16"/>
        <v>September</v>
      </c>
      <c r="C396" s="7">
        <v>2021</v>
      </c>
      <c r="D396" s="7" t="s">
        <v>726</v>
      </c>
      <c r="E396" s="7">
        <v>2</v>
      </c>
    </row>
    <row r="397" spans="1:5" x14ac:dyDescent="0.45">
      <c r="A397" s="6">
        <v>44446</v>
      </c>
      <c r="B397" s="7" t="str">
        <f t="shared" si="16"/>
        <v>September</v>
      </c>
      <c r="C397" s="7">
        <v>2021</v>
      </c>
      <c r="D397" s="7" t="s">
        <v>727</v>
      </c>
      <c r="E397" s="7">
        <v>5</v>
      </c>
    </row>
    <row r="398" spans="1:5" x14ac:dyDescent="0.45">
      <c r="A398" s="6">
        <v>44446</v>
      </c>
      <c r="B398" s="7" t="str">
        <f t="shared" si="16"/>
        <v>September</v>
      </c>
      <c r="C398" s="7">
        <v>2021</v>
      </c>
      <c r="D398" s="7" t="s">
        <v>726</v>
      </c>
      <c r="E398" s="7">
        <v>4</v>
      </c>
    </row>
    <row r="399" spans="1:5" x14ac:dyDescent="0.45">
      <c r="A399" s="6">
        <v>44447</v>
      </c>
      <c r="B399" s="7" t="str">
        <f t="shared" si="16"/>
        <v>September</v>
      </c>
      <c r="C399" s="7">
        <v>2021</v>
      </c>
      <c r="D399" s="7" t="s">
        <v>729</v>
      </c>
      <c r="E399" s="7">
        <v>1</v>
      </c>
    </row>
    <row r="400" spans="1:5" x14ac:dyDescent="0.45">
      <c r="A400" s="6">
        <v>44447</v>
      </c>
      <c r="B400" s="7" t="str">
        <f t="shared" si="16"/>
        <v>September</v>
      </c>
      <c r="C400" s="7">
        <v>2021</v>
      </c>
      <c r="D400" s="7" t="s">
        <v>726</v>
      </c>
      <c r="E400" s="7">
        <v>1</v>
      </c>
    </row>
    <row r="401" spans="1:5" x14ac:dyDescent="0.45">
      <c r="A401" s="6">
        <v>44447</v>
      </c>
      <c r="B401" s="7" t="str">
        <f t="shared" si="16"/>
        <v>September</v>
      </c>
      <c r="C401" s="7">
        <v>2021</v>
      </c>
      <c r="D401" s="7" t="s">
        <v>726</v>
      </c>
      <c r="E401" s="7">
        <v>1</v>
      </c>
    </row>
    <row r="402" spans="1:5" x14ac:dyDescent="0.45">
      <c r="A402" s="6">
        <v>44448</v>
      </c>
      <c r="B402" s="7" t="str">
        <f t="shared" si="16"/>
        <v>September</v>
      </c>
      <c r="C402" s="7">
        <v>2021</v>
      </c>
      <c r="D402" s="7" t="s">
        <v>727</v>
      </c>
      <c r="E402" s="7">
        <v>5</v>
      </c>
    </row>
    <row r="403" spans="1:5" x14ac:dyDescent="0.45">
      <c r="A403" s="6">
        <v>44450</v>
      </c>
      <c r="B403" s="7" t="str">
        <f t="shared" si="16"/>
        <v>September</v>
      </c>
      <c r="C403" s="7">
        <v>2021</v>
      </c>
      <c r="D403" s="7" t="s">
        <v>726</v>
      </c>
      <c r="E403" s="7">
        <v>5</v>
      </c>
    </row>
    <row r="404" spans="1:5" x14ac:dyDescent="0.45">
      <c r="A404" s="6">
        <v>44450</v>
      </c>
      <c r="B404" s="7" t="str">
        <f t="shared" si="16"/>
        <v>September</v>
      </c>
      <c r="C404" s="7">
        <v>2021</v>
      </c>
      <c r="D404" s="7" t="s">
        <v>726</v>
      </c>
      <c r="E404" s="7">
        <v>2</v>
      </c>
    </row>
    <row r="405" spans="1:5" x14ac:dyDescent="0.45">
      <c r="A405" s="6">
        <v>44451</v>
      </c>
      <c r="B405" s="7" t="str">
        <f t="shared" si="16"/>
        <v>September</v>
      </c>
      <c r="C405" s="7">
        <v>2021</v>
      </c>
      <c r="D405" s="7" t="s">
        <v>727</v>
      </c>
      <c r="E405" s="7">
        <v>3</v>
      </c>
    </row>
    <row r="406" spans="1:5" x14ac:dyDescent="0.45">
      <c r="A406" s="6">
        <v>44451</v>
      </c>
      <c r="B406" s="7" t="str">
        <f t="shared" si="16"/>
        <v>September</v>
      </c>
      <c r="C406" s="7">
        <v>2021</v>
      </c>
      <c r="D406" s="7" t="s">
        <v>728</v>
      </c>
      <c r="E406" s="7">
        <v>3</v>
      </c>
    </row>
    <row r="407" spans="1:5" x14ac:dyDescent="0.45">
      <c r="A407" s="6">
        <v>44453</v>
      </c>
      <c r="B407" s="7" t="str">
        <f t="shared" si="16"/>
        <v>September</v>
      </c>
      <c r="C407" s="7">
        <v>2021</v>
      </c>
      <c r="D407" s="7" t="s">
        <v>726</v>
      </c>
      <c r="E407" s="7">
        <v>1</v>
      </c>
    </row>
    <row r="408" spans="1:5" x14ac:dyDescent="0.45">
      <c r="A408" s="6">
        <v>44455</v>
      </c>
      <c r="B408" s="7" t="str">
        <f t="shared" si="16"/>
        <v>September</v>
      </c>
      <c r="C408" s="7">
        <v>2021</v>
      </c>
      <c r="D408" s="7" t="s">
        <v>726</v>
      </c>
      <c r="E408" s="7">
        <v>5</v>
      </c>
    </row>
    <row r="409" spans="1:5" x14ac:dyDescent="0.45">
      <c r="A409" s="6">
        <v>44456</v>
      </c>
      <c r="B409" s="7" t="str">
        <f t="shared" si="16"/>
        <v>September</v>
      </c>
      <c r="C409" s="7">
        <v>2021</v>
      </c>
      <c r="D409" s="7" t="s">
        <v>726</v>
      </c>
      <c r="E409" s="7">
        <v>4</v>
      </c>
    </row>
    <row r="410" spans="1:5" x14ac:dyDescent="0.45">
      <c r="A410" s="6">
        <v>44458</v>
      </c>
      <c r="B410" s="7" t="str">
        <f t="shared" si="16"/>
        <v>September</v>
      </c>
      <c r="C410" s="7">
        <v>2021</v>
      </c>
      <c r="D410" s="7" t="s">
        <v>727</v>
      </c>
      <c r="E410" s="7">
        <v>4</v>
      </c>
    </row>
    <row r="411" spans="1:5" x14ac:dyDescent="0.45">
      <c r="A411" s="6">
        <v>44458</v>
      </c>
      <c r="B411" s="7" t="str">
        <f t="shared" si="16"/>
        <v>September</v>
      </c>
      <c r="C411" s="7">
        <v>2021</v>
      </c>
      <c r="D411" s="7" t="s">
        <v>726</v>
      </c>
      <c r="E411" s="7">
        <v>2</v>
      </c>
    </row>
    <row r="412" spans="1:5" x14ac:dyDescent="0.45">
      <c r="A412" s="6">
        <v>44459</v>
      </c>
      <c r="B412" s="7" t="str">
        <f t="shared" si="16"/>
        <v>September</v>
      </c>
      <c r="C412" s="7">
        <v>2021</v>
      </c>
      <c r="D412" s="7" t="s">
        <v>728</v>
      </c>
      <c r="E412" s="7">
        <v>2</v>
      </c>
    </row>
    <row r="413" spans="1:5" x14ac:dyDescent="0.45">
      <c r="A413" s="6">
        <v>44459</v>
      </c>
      <c r="B413" s="7" t="str">
        <f t="shared" si="16"/>
        <v>September</v>
      </c>
      <c r="C413" s="7">
        <v>2021</v>
      </c>
      <c r="D413" s="7" t="s">
        <v>726</v>
      </c>
      <c r="E413" s="7">
        <v>4</v>
      </c>
    </row>
    <row r="414" spans="1:5" x14ac:dyDescent="0.45">
      <c r="A414" s="6">
        <v>44461</v>
      </c>
      <c r="B414" s="7" t="str">
        <f t="shared" si="16"/>
        <v>September</v>
      </c>
      <c r="C414" s="7">
        <v>2021</v>
      </c>
      <c r="D414" s="7" t="s">
        <v>726</v>
      </c>
      <c r="E414" s="7">
        <v>5</v>
      </c>
    </row>
    <row r="415" spans="1:5" x14ac:dyDescent="0.45">
      <c r="A415" s="6">
        <v>44461</v>
      </c>
      <c r="B415" s="7" t="str">
        <f t="shared" si="16"/>
        <v>September</v>
      </c>
      <c r="C415" s="7">
        <v>2021</v>
      </c>
      <c r="D415" s="7" t="s">
        <v>729</v>
      </c>
      <c r="E415" s="7">
        <v>3</v>
      </c>
    </row>
    <row r="416" spans="1:5" x14ac:dyDescent="0.45">
      <c r="A416" s="6">
        <v>44461</v>
      </c>
      <c r="B416" s="7" t="str">
        <f t="shared" si="16"/>
        <v>September</v>
      </c>
      <c r="C416" s="7">
        <v>2021</v>
      </c>
      <c r="D416" s="7" t="s">
        <v>726</v>
      </c>
      <c r="E416" s="7">
        <v>5</v>
      </c>
    </row>
    <row r="417" spans="1:5" x14ac:dyDescent="0.45">
      <c r="A417" s="6">
        <v>44462</v>
      </c>
      <c r="B417" s="7" t="str">
        <f t="shared" si="16"/>
        <v>September</v>
      </c>
      <c r="C417" s="7">
        <v>2021</v>
      </c>
      <c r="D417" s="7" t="s">
        <v>727</v>
      </c>
      <c r="E417" s="7">
        <v>1</v>
      </c>
    </row>
    <row r="418" spans="1:5" x14ac:dyDescent="0.45">
      <c r="A418" s="6">
        <v>44466</v>
      </c>
      <c r="B418" s="7" t="str">
        <f t="shared" si="16"/>
        <v>September</v>
      </c>
      <c r="C418" s="7">
        <v>2021</v>
      </c>
      <c r="D418" s="7" t="s">
        <v>727</v>
      </c>
      <c r="E418" s="7">
        <v>10</v>
      </c>
    </row>
    <row r="419" spans="1:5" x14ac:dyDescent="0.45">
      <c r="A419" s="6">
        <v>44466</v>
      </c>
      <c r="B419" s="7" t="str">
        <f t="shared" si="16"/>
        <v>September</v>
      </c>
      <c r="C419" s="7">
        <v>2021</v>
      </c>
      <c r="D419" s="7" t="s">
        <v>729</v>
      </c>
      <c r="E419" s="7">
        <v>3</v>
      </c>
    </row>
    <row r="420" spans="1:5" x14ac:dyDescent="0.45">
      <c r="A420" s="6">
        <v>44466</v>
      </c>
      <c r="B420" s="7" t="str">
        <f t="shared" si="16"/>
        <v>September</v>
      </c>
      <c r="C420" s="7">
        <v>2021</v>
      </c>
      <c r="D420" s="7" t="s">
        <v>726</v>
      </c>
      <c r="E420" s="7">
        <v>4</v>
      </c>
    </row>
    <row r="421" spans="1:5" x14ac:dyDescent="0.45">
      <c r="A421" s="6">
        <v>44467</v>
      </c>
      <c r="B421" s="7" t="str">
        <f t="shared" si="16"/>
        <v>September</v>
      </c>
      <c r="C421" s="7">
        <v>2021</v>
      </c>
      <c r="D421" s="7" t="s">
        <v>729</v>
      </c>
      <c r="E421" s="7">
        <v>3</v>
      </c>
    </row>
    <row r="422" spans="1:5" x14ac:dyDescent="0.45">
      <c r="A422" s="6">
        <v>44469</v>
      </c>
      <c r="B422" s="7" t="str">
        <f t="shared" si="16"/>
        <v>September</v>
      </c>
      <c r="C422" s="7">
        <v>2021</v>
      </c>
      <c r="D422" s="7" t="s">
        <v>727</v>
      </c>
      <c r="E422" s="7">
        <v>5</v>
      </c>
    </row>
    <row r="423" spans="1:5" x14ac:dyDescent="0.45">
      <c r="A423" s="6">
        <v>44470</v>
      </c>
      <c r="B423" s="7" t="str">
        <f t="shared" si="16"/>
        <v>October</v>
      </c>
      <c r="C423" s="7">
        <v>2021</v>
      </c>
      <c r="D423" s="7" t="s">
        <v>726</v>
      </c>
      <c r="E423" s="7">
        <v>1</v>
      </c>
    </row>
    <row r="424" spans="1:5" x14ac:dyDescent="0.45">
      <c r="A424" s="6">
        <v>44472</v>
      </c>
      <c r="B424" s="7" t="str">
        <f t="shared" si="16"/>
        <v>October</v>
      </c>
      <c r="C424" s="7">
        <v>2021</v>
      </c>
      <c r="D424" s="7" t="s">
        <v>727</v>
      </c>
      <c r="E424" s="7">
        <v>2</v>
      </c>
    </row>
    <row r="425" spans="1:5" x14ac:dyDescent="0.45">
      <c r="A425" s="6">
        <v>44472</v>
      </c>
      <c r="B425" s="7" t="str">
        <f t="shared" si="16"/>
        <v>October</v>
      </c>
      <c r="C425" s="7">
        <v>2021</v>
      </c>
      <c r="D425" s="7" t="s">
        <v>728</v>
      </c>
      <c r="E425" s="7">
        <v>2</v>
      </c>
    </row>
    <row r="426" spans="1:5" x14ac:dyDescent="0.45">
      <c r="A426" s="6">
        <v>44482</v>
      </c>
      <c r="B426" s="7" t="str">
        <f t="shared" si="16"/>
        <v>October</v>
      </c>
      <c r="C426" s="7">
        <v>2021</v>
      </c>
      <c r="D426" s="7" t="s">
        <v>727</v>
      </c>
      <c r="E426" s="7">
        <v>3</v>
      </c>
    </row>
    <row r="427" spans="1:5" x14ac:dyDescent="0.45">
      <c r="A427" s="6">
        <v>44483</v>
      </c>
      <c r="B427" s="7" t="str">
        <f t="shared" si="16"/>
        <v>October</v>
      </c>
      <c r="C427" s="7">
        <v>2021</v>
      </c>
      <c r="D427" s="7" t="s">
        <v>728</v>
      </c>
      <c r="E427" s="7">
        <v>2</v>
      </c>
    </row>
    <row r="428" spans="1:5" x14ac:dyDescent="0.45">
      <c r="A428" s="6">
        <v>44485</v>
      </c>
      <c r="B428" s="7" t="str">
        <f t="shared" si="16"/>
        <v>October</v>
      </c>
      <c r="C428" s="7">
        <v>2021</v>
      </c>
      <c r="D428" s="7" t="s">
        <v>727</v>
      </c>
      <c r="E428" s="7">
        <v>5</v>
      </c>
    </row>
    <row r="429" spans="1:5" x14ac:dyDescent="0.45">
      <c r="A429" s="6">
        <v>44486</v>
      </c>
      <c r="B429" s="7" t="str">
        <f t="shared" si="16"/>
        <v>October</v>
      </c>
      <c r="C429" s="7">
        <v>2021</v>
      </c>
      <c r="D429" s="7" t="s">
        <v>726</v>
      </c>
      <c r="E429" s="7">
        <v>2</v>
      </c>
    </row>
    <row r="430" spans="1:5" x14ac:dyDescent="0.45">
      <c r="A430" s="6">
        <v>44489</v>
      </c>
      <c r="B430" s="7" t="str">
        <f t="shared" si="16"/>
        <v>October</v>
      </c>
      <c r="C430" s="7">
        <v>2021</v>
      </c>
      <c r="D430" s="7" t="s">
        <v>726</v>
      </c>
      <c r="E430" s="7">
        <v>4</v>
      </c>
    </row>
    <row r="431" spans="1:5" x14ac:dyDescent="0.45">
      <c r="A431" s="6">
        <v>44489</v>
      </c>
      <c r="B431" s="7" t="str">
        <f t="shared" si="16"/>
        <v>October</v>
      </c>
      <c r="C431" s="7">
        <v>2021</v>
      </c>
      <c r="D431" s="7" t="s">
        <v>729</v>
      </c>
      <c r="E431" s="7">
        <v>7</v>
      </c>
    </row>
    <row r="432" spans="1:5" x14ac:dyDescent="0.45">
      <c r="A432" s="6">
        <v>44491</v>
      </c>
      <c r="B432" s="7" t="str">
        <f t="shared" si="16"/>
        <v>October</v>
      </c>
      <c r="C432" s="7">
        <v>2021</v>
      </c>
      <c r="D432" s="7" t="s">
        <v>726</v>
      </c>
      <c r="E432" s="7">
        <v>1</v>
      </c>
    </row>
    <row r="433" spans="1:5" x14ac:dyDescent="0.45">
      <c r="A433" s="6">
        <v>44494</v>
      </c>
      <c r="B433" s="7" t="str">
        <f t="shared" si="16"/>
        <v>October</v>
      </c>
      <c r="C433" s="7">
        <v>2021</v>
      </c>
      <c r="D433" s="7" t="s">
        <v>728</v>
      </c>
      <c r="E433" s="7">
        <v>2</v>
      </c>
    </row>
    <row r="434" spans="1:5" x14ac:dyDescent="0.45">
      <c r="A434" s="6">
        <v>44495</v>
      </c>
      <c r="B434" s="7" t="str">
        <f t="shared" si="16"/>
        <v>October</v>
      </c>
      <c r="C434" s="7">
        <v>2021</v>
      </c>
      <c r="D434" s="7" t="s">
        <v>727</v>
      </c>
      <c r="E434" s="7">
        <v>2</v>
      </c>
    </row>
    <row r="435" spans="1:5" x14ac:dyDescent="0.45">
      <c r="A435" s="6">
        <v>44495</v>
      </c>
      <c r="B435" s="7" t="str">
        <f t="shared" si="16"/>
        <v>October</v>
      </c>
      <c r="C435" s="7">
        <v>2021</v>
      </c>
      <c r="D435" s="7" t="s">
        <v>726</v>
      </c>
      <c r="E435" s="7">
        <v>3</v>
      </c>
    </row>
    <row r="436" spans="1:5" x14ac:dyDescent="0.45">
      <c r="A436" s="6">
        <v>44500</v>
      </c>
      <c r="B436" s="7" t="str">
        <f t="shared" si="16"/>
        <v>October</v>
      </c>
      <c r="C436" s="7">
        <v>2021</v>
      </c>
      <c r="D436" s="7" t="s">
        <v>727</v>
      </c>
      <c r="E436" s="7">
        <v>5</v>
      </c>
    </row>
    <row r="437" spans="1:5" x14ac:dyDescent="0.45">
      <c r="A437" s="6">
        <v>44500</v>
      </c>
      <c r="B437" s="7" t="str">
        <f t="shared" si="16"/>
        <v>October</v>
      </c>
      <c r="C437" s="7">
        <v>2021</v>
      </c>
      <c r="D437" s="7" t="s">
        <v>726</v>
      </c>
      <c r="E437" s="7">
        <v>4</v>
      </c>
    </row>
    <row r="438" spans="1:5" x14ac:dyDescent="0.45">
      <c r="A438" s="6">
        <v>44503</v>
      </c>
      <c r="B438" s="7" t="str">
        <f t="shared" si="16"/>
        <v>November</v>
      </c>
      <c r="C438" s="7">
        <v>2021</v>
      </c>
      <c r="D438" s="7" t="s">
        <v>726</v>
      </c>
      <c r="E438" s="7">
        <v>1</v>
      </c>
    </row>
    <row r="439" spans="1:5" x14ac:dyDescent="0.45">
      <c r="A439" s="6">
        <v>44504</v>
      </c>
      <c r="B439" s="7" t="str">
        <f t="shared" si="16"/>
        <v>November</v>
      </c>
      <c r="C439" s="7">
        <v>2021</v>
      </c>
      <c r="D439" s="7" t="s">
        <v>726</v>
      </c>
      <c r="E439" s="7">
        <v>3</v>
      </c>
    </row>
    <row r="440" spans="1:5" x14ac:dyDescent="0.45">
      <c r="A440" s="6">
        <v>44507</v>
      </c>
      <c r="B440" s="7" t="str">
        <f t="shared" si="16"/>
        <v>November</v>
      </c>
      <c r="C440" s="7">
        <v>2021</v>
      </c>
      <c r="D440" s="7" t="s">
        <v>728</v>
      </c>
      <c r="E440" s="7">
        <v>4</v>
      </c>
    </row>
    <row r="441" spans="1:5" x14ac:dyDescent="0.45">
      <c r="A441" s="6">
        <v>44514</v>
      </c>
      <c r="B441" s="7" t="str">
        <f t="shared" si="16"/>
        <v>November</v>
      </c>
      <c r="C441" s="7">
        <v>2021</v>
      </c>
      <c r="D441" s="7" t="s">
        <v>726</v>
      </c>
      <c r="E441" s="7">
        <v>4</v>
      </c>
    </row>
    <row r="442" spans="1:5" x14ac:dyDescent="0.45">
      <c r="A442" s="6">
        <v>44516</v>
      </c>
      <c r="B442" s="7" t="str">
        <f t="shared" si="16"/>
        <v>November</v>
      </c>
      <c r="C442" s="7">
        <v>2021</v>
      </c>
      <c r="D442" s="7" t="s">
        <v>727</v>
      </c>
      <c r="E442" s="7">
        <v>5</v>
      </c>
    </row>
    <row r="443" spans="1:5" x14ac:dyDescent="0.45">
      <c r="A443" s="6">
        <v>44517</v>
      </c>
      <c r="B443" s="7" t="str">
        <f t="shared" si="16"/>
        <v>November</v>
      </c>
      <c r="C443" s="7">
        <v>2021</v>
      </c>
      <c r="D443" s="7" t="s">
        <v>728</v>
      </c>
      <c r="E443" s="7">
        <v>5</v>
      </c>
    </row>
    <row r="444" spans="1:5" x14ac:dyDescent="0.45">
      <c r="A444" s="6">
        <v>44519</v>
      </c>
      <c r="B444" s="7" t="str">
        <f t="shared" si="16"/>
        <v>November</v>
      </c>
      <c r="C444" s="7">
        <v>2021</v>
      </c>
      <c r="D444" s="7" t="s">
        <v>727</v>
      </c>
      <c r="E444" s="7">
        <v>1</v>
      </c>
    </row>
    <row r="445" spans="1:5" x14ac:dyDescent="0.45">
      <c r="A445" s="6">
        <v>44519</v>
      </c>
      <c r="B445" s="7" t="str">
        <f t="shared" si="16"/>
        <v>November</v>
      </c>
      <c r="C445" s="7">
        <v>2021</v>
      </c>
      <c r="D445" s="7" t="s">
        <v>726</v>
      </c>
      <c r="E445" s="7">
        <v>3</v>
      </c>
    </row>
    <row r="446" spans="1:5" x14ac:dyDescent="0.45">
      <c r="A446" s="6">
        <v>44520</v>
      </c>
      <c r="B446" s="7" t="str">
        <f t="shared" si="16"/>
        <v>November</v>
      </c>
      <c r="C446" s="7">
        <v>2021</v>
      </c>
      <c r="D446" s="7" t="s">
        <v>729</v>
      </c>
      <c r="E446" s="7">
        <v>5</v>
      </c>
    </row>
    <row r="447" spans="1:5" x14ac:dyDescent="0.45">
      <c r="A447" s="6">
        <v>44520</v>
      </c>
      <c r="B447" s="7" t="str">
        <f t="shared" si="16"/>
        <v>November</v>
      </c>
      <c r="C447" s="7">
        <v>2021</v>
      </c>
      <c r="D447" s="7" t="s">
        <v>726</v>
      </c>
      <c r="E447" s="7">
        <v>1</v>
      </c>
    </row>
    <row r="448" spans="1:5" x14ac:dyDescent="0.45">
      <c r="A448" s="6">
        <v>44521</v>
      </c>
      <c r="B448" s="7" t="str">
        <f t="shared" si="16"/>
        <v>November</v>
      </c>
      <c r="C448" s="7">
        <v>2021</v>
      </c>
      <c r="D448" s="7" t="s">
        <v>726</v>
      </c>
      <c r="E448" s="7">
        <v>2</v>
      </c>
    </row>
    <row r="449" spans="1:5" x14ac:dyDescent="0.45">
      <c r="A449" s="6">
        <v>44521</v>
      </c>
      <c r="B449" s="7" t="str">
        <f t="shared" si="16"/>
        <v>November</v>
      </c>
      <c r="C449" s="7">
        <v>2021</v>
      </c>
      <c r="D449" s="7" t="s">
        <v>726</v>
      </c>
      <c r="E449" s="7">
        <v>2</v>
      </c>
    </row>
    <row r="450" spans="1:5" x14ac:dyDescent="0.45">
      <c r="A450" s="6">
        <v>44522</v>
      </c>
      <c r="B450" s="7" t="str">
        <f t="shared" si="16"/>
        <v>November</v>
      </c>
      <c r="C450" s="7">
        <v>2021</v>
      </c>
      <c r="D450" s="7" t="s">
        <v>726</v>
      </c>
      <c r="E450" s="7">
        <v>1</v>
      </c>
    </row>
    <row r="451" spans="1:5" x14ac:dyDescent="0.45">
      <c r="A451" s="6">
        <v>44522</v>
      </c>
      <c r="B451" s="7" t="str">
        <f t="shared" ref="B451:B514" si="17">TEXT(A451,"MMMM")</f>
        <v>November</v>
      </c>
      <c r="C451" s="7">
        <v>2021</v>
      </c>
      <c r="D451" s="7" t="s">
        <v>726</v>
      </c>
      <c r="E451" s="7">
        <v>4</v>
      </c>
    </row>
    <row r="452" spans="1:5" x14ac:dyDescent="0.45">
      <c r="A452" s="6">
        <v>44522</v>
      </c>
      <c r="B452" s="7" t="str">
        <f t="shared" si="17"/>
        <v>November</v>
      </c>
      <c r="C452" s="7">
        <v>2021</v>
      </c>
      <c r="D452" s="7" t="s">
        <v>729</v>
      </c>
      <c r="E452" s="7">
        <v>1</v>
      </c>
    </row>
    <row r="453" spans="1:5" x14ac:dyDescent="0.45">
      <c r="A453" s="6">
        <v>44523</v>
      </c>
      <c r="B453" s="7" t="str">
        <f t="shared" si="17"/>
        <v>November</v>
      </c>
      <c r="C453" s="7">
        <v>2021</v>
      </c>
      <c r="D453" s="7" t="s">
        <v>728</v>
      </c>
      <c r="E453" s="7">
        <v>5</v>
      </c>
    </row>
    <row r="454" spans="1:5" x14ac:dyDescent="0.45">
      <c r="A454" s="6">
        <v>44528</v>
      </c>
      <c r="B454" s="7" t="str">
        <f t="shared" si="17"/>
        <v>November</v>
      </c>
      <c r="C454" s="7">
        <v>2021</v>
      </c>
      <c r="D454" s="7" t="s">
        <v>726</v>
      </c>
      <c r="E454" s="7">
        <v>4</v>
      </c>
    </row>
    <row r="455" spans="1:5" x14ac:dyDescent="0.45">
      <c r="A455" s="6">
        <v>44530</v>
      </c>
      <c r="B455" s="7" t="str">
        <f t="shared" si="17"/>
        <v>November</v>
      </c>
      <c r="C455" s="7">
        <v>2021</v>
      </c>
      <c r="D455" s="7" t="s">
        <v>726</v>
      </c>
      <c r="E455" s="7">
        <v>1</v>
      </c>
    </row>
    <row r="456" spans="1:5" x14ac:dyDescent="0.45">
      <c r="A456" s="6">
        <v>44532</v>
      </c>
      <c r="B456" s="7" t="str">
        <f t="shared" si="17"/>
        <v>December</v>
      </c>
      <c r="C456" s="7">
        <v>2021</v>
      </c>
      <c r="D456" s="7" t="s">
        <v>726</v>
      </c>
      <c r="E456" s="7">
        <v>3</v>
      </c>
    </row>
    <row r="457" spans="1:5" x14ac:dyDescent="0.45">
      <c r="A457" s="6">
        <v>44532</v>
      </c>
      <c r="B457" s="7" t="str">
        <f t="shared" si="17"/>
        <v>December</v>
      </c>
      <c r="C457" s="7">
        <v>2021</v>
      </c>
      <c r="D457" s="7" t="s">
        <v>729</v>
      </c>
      <c r="E457" s="7">
        <v>5</v>
      </c>
    </row>
    <row r="458" spans="1:5" x14ac:dyDescent="0.45">
      <c r="A458" s="6">
        <v>44533</v>
      </c>
      <c r="B458" s="7" t="str">
        <f t="shared" si="17"/>
        <v>December</v>
      </c>
      <c r="C458" s="7">
        <v>2021</v>
      </c>
      <c r="D458" s="7" t="s">
        <v>727</v>
      </c>
      <c r="E458" s="7">
        <v>5</v>
      </c>
    </row>
    <row r="459" spans="1:5" x14ac:dyDescent="0.45">
      <c r="A459" s="6">
        <v>44534</v>
      </c>
      <c r="B459" s="7" t="str">
        <f t="shared" si="17"/>
        <v>December</v>
      </c>
      <c r="C459" s="7">
        <v>2021</v>
      </c>
      <c r="D459" s="7" t="s">
        <v>729</v>
      </c>
      <c r="E459" s="7">
        <v>6</v>
      </c>
    </row>
    <row r="460" spans="1:5" x14ac:dyDescent="0.45">
      <c r="A460" s="6">
        <v>44537</v>
      </c>
      <c r="B460" s="7" t="str">
        <f t="shared" si="17"/>
        <v>December</v>
      </c>
      <c r="C460" s="7">
        <v>2021</v>
      </c>
      <c r="D460" s="7" t="s">
        <v>726</v>
      </c>
      <c r="E460" s="7">
        <v>1</v>
      </c>
    </row>
    <row r="461" spans="1:5" x14ac:dyDescent="0.45">
      <c r="A461" s="6">
        <v>44537</v>
      </c>
      <c r="B461" s="7" t="str">
        <f t="shared" si="17"/>
        <v>December</v>
      </c>
      <c r="C461" s="7">
        <v>2021</v>
      </c>
      <c r="D461" s="7" t="s">
        <v>726</v>
      </c>
      <c r="E461" s="7">
        <v>3</v>
      </c>
    </row>
    <row r="462" spans="1:5" x14ac:dyDescent="0.45">
      <c r="A462" s="6">
        <v>44539</v>
      </c>
      <c r="B462" s="7" t="str">
        <f t="shared" si="17"/>
        <v>December</v>
      </c>
      <c r="C462" s="7">
        <v>2021</v>
      </c>
      <c r="D462" s="7" t="s">
        <v>727</v>
      </c>
      <c r="E462" s="7">
        <v>3</v>
      </c>
    </row>
    <row r="463" spans="1:5" x14ac:dyDescent="0.45">
      <c r="A463" s="6">
        <v>44539</v>
      </c>
      <c r="B463" s="7" t="str">
        <f t="shared" si="17"/>
        <v>December</v>
      </c>
      <c r="C463" s="7">
        <v>2021</v>
      </c>
      <c r="D463" s="7" t="s">
        <v>726</v>
      </c>
      <c r="E463" s="7">
        <v>3</v>
      </c>
    </row>
    <row r="464" spans="1:5" x14ac:dyDescent="0.45">
      <c r="A464" s="6">
        <v>44540</v>
      </c>
      <c r="B464" s="7" t="str">
        <f t="shared" si="17"/>
        <v>December</v>
      </c>
      <c r="C464" s="7">
        <v>2021</v>
      </c>
      <c r="D464" s="7" t="s">
        <v>727</v>
      </c>
      <c r="E464" s="7">
        <v>1</v>
      </c>
    </row>
    <row r="465" spans="1:5" x14ac:dyDescent="0.45">
      <c r="A465" s="6">
        <v>44540</v>
      </c>
      <c r="B465" s="7" t="str">
        <f t="shared" si="17"/>
        <v>December</v>
      </c>
      <c r="C465" s="7">
        <v>2021</v>
      </c>
      <c r="D465" s="7" t="s">
        <v>726</v>
      </c>
      <c r="E465" s="7">
        <v>5</v>
      </c>
    </row>
    <row r="466" spans="1:5" x14ac:dyDescent="0.45">
      <c r="A466" s="6">
        <v>44541</v>
      </c>
      <c r="B466" s="7" t="str">
        <f t="shared" si="17"/>
        <v>December</v>
      </c>
      <c r="C466" s="7">
        <v>2021</v>
      </c>
      <c r="D466" s="7" t="s">
        <v>726</v>
      </c>
      <c r="E466" s="7">
        <v>5</v>
      </c>
    </row>
    <row r="467" spans="1:5" x14ac:dyDescent="0.45">
      <c r="A467" s="6">
        <v>44542</v>
      </c>
      <c r="B467" s="7" t="str">
        <f t="shared" si="17"/>
        <v>December</v>
      </c>
      <c r="C467" s="7">
        <v>2021</v>
      </c>
      <c r="D467" s="7" t="s">
        <v>727</v>
      </c>
      <c r="E467" s="7">
        <v>1</v>
      </c>
    </row>
    <row r="468" spans="1:5" x14ac:dyDescent="0.45">
      <c r="A468" s="6">
        <v>44543</v>
      </c>
      <c r="B468" s="7" t="str">
        <f t="shared" si="17"/>
        <v>December</v>
      </c>
      <c r="C468" s="7">
        <v>2021</v>
      </c>
      <c r="D468" s="7" t="s">
        <v>727</v>
      </c>
      <c r="E468" s="7">
        <v>2</v>
      </c>
    </row>
    <row r="469" spans="1:5" x14ac:dyDescent="0.45">
      <c r="A469" s="6">
        <v>44543</v>
      </c>
      <c r="B469" s="7" t="str">
        <f t="shared" si="17"/>
        <v>December</v>
      </c>
      <c r="C469" s="7">
        <v>2021</v>
      </c>
      <c r="D469" s="7" t="s">
        <v>726</v>
      </c>
      <c r="E469" s="7">
        <v>4</v>
      </c>
    </row>
    <row r="470" spans="1:5" x14ac:dyDescent="0.45">
      <c r="A470" s="6">
        <v>44544</v>
      </c>
      <c r="B470" s="7" t="str">
        <f t="shared" si="17"/>
        <v>December</v>
      </c>
      <c r="C470" s="7">
        <v>2021</v>
      </c>
      <c r="D470" s="7" t="s">
        <v>726</v>
      </c>
      <c r="E470" s="7">
        <v>4</v>
      </c>
    </row>
    <row r="471" spans="1:5" x14ac:dyDescent="0.45">
      <c r="A471" s="6">
        <v>44545</v>
      </c>
      <c r="B471" s="7" t="str">
        <f t="shared" si="17"/>
        <v>December</v>
      </c>
      <c r="C471" s="7">
        <v>2021</v>
      </c>
      <c r="D471" s="7" t="s">
        <v>726</v>
      </c>
      <c r="E471" s="7">
        <v>1</v>
      </c>
    </row>
    <row r="472" spans="1:5" x14ac:dyDescent="0.45">
      <c r="A472" s="6">
        <v>44545</v>
      </c>
      <c r="B472" s="7" t="str">
        <f t="shared" si="17"/>
        <v>December</v>
      </c>
      <c r="C472" s="7">
        <v>2021</v>
      </c>
      <c r="D472" s="7" t="s">
        <v>726</v>
      </c>
      <c r="E472" s="7">
        <v>4</v>
      </c>
    </row>
    <row r="473" spans="1:5" x14ac:dyDescent="0.45">
      <c r="A473" s="6">
        <v>44548</v>
      </c>
      <c r="B473" s="7" t="str">
        <f t="shared" si="17"/>
        <v>December</v>
      </c>
      <c r="C473" s="7">
        <v>2021</v>
      </c>
      <c r="D473" s="7" t="s">
        <v>726</v>
      </c>
      <c r="E473" s="7">
        <v>2</v>
      </c>
    </row>
    <row r="474" spans="1:5" x14ac:dyDescent="0.45">
      <c r="A474" s="6">
        <v>44549</v>
      </c>
      <c r="B474" s="7" t="str">
        <f t="shared" si="17"/>
        <v>December</v>
      </c>
      <c r="C474" s="7">
        <v>2021</v>
      </c>
      <c r="D474" s="7" t="s">
        <v>726</v>
      </c>
      <c r="E474" s="7">
        <v>2</v>
      </c>
    </row>
    <row r="475" spans="1:5" x14ac:dyDescent="0.45">
      <c r="A475" s="6">
        <v>44550</v>
      </c>
      <c r="B475" s="7" t="str">
        <f t="shared" si="17"/>
        <v>December</v>
      </c>
      <c r="C475" s="7">
        <v>2021</v>
      </c>
      <c r="D475" s="7" t="s">
        <v>726</v>
      </c>
      <c r="E475" s="7">
        <v>4</v>
      </c>
    </row>
    <row r="476" spans="1:5" x14ac:dyDescent="0.45">
      <c r="A476" s="6">
        <v>44554</v>
      </c>
      <c r="B476" s="7" t="str">
        <f t="shared" si="17"/>
        <v>December</v>
      </c>
      <c r="C476" s="7">
        <v>2021</v>
      </c>
      <c r="D476" s="7" t="s">
        <v>726</v>
      </c>
      <c r="E476" s="7">
        <v>3</v>
      </c>
    </row>
    <row r="477" spans="1:5" x14ac:dyDescent="0.45">
      <c r="A477" s="6">
        <v>44556</v>
      </c>
      <c r="B477" s="7" t="str">
        <f t="shared" si="17"/>
        <v>December</v>
      </c>
      <c r="C477" s="7">
        <v>2021</v>
      </c>
      <c r="D477" s="7" t="s">
        <v>727</v>
      </c>
      <c r="E477" s="7">
        <v>1</v>
      </c>
    </row>
    <row r="478" spans="1:5" x14ac:dyDescent="0.45">
      <c r="A478" s="6">
        <v>44556</v>
      </c>
      <c r="B478" s="7" t="str">
        <f t="shared" si="17"/>
        <v>December</v>
      </c>
      <c r="C478" s="7">
        <v>2021</v>
      </c>
      <c r="D478" s="7" t="s">
        <v>726</v>
      </c>
      <c r="E478" s="7">
        <v>3</v>
      </c>
    </row>
    <row r="479" spans="1:5" x14ac:dyDescent="0.45">
      <c r="A479" s="6">
        <v>44561</v>
      </c>
      <c r="B479" s="7" t="str">
        <f t="shared" si="17"/>
        <v>December</v>
      </c>
      <c r="C479" s="7">
        <v>2021</v>
      </c>
      <c r="D479" s="7" t="s">
        <v>727</v>
      </c>
      <c r="E479" s="7">
        <v>3</v>
      </c>
    </row>
    <row r="480" spans="1:5" x14ac:dyDescent="0.45">
      <c r="A480" s="6">
        <v>44562</v>
      </c>
      <c r="B480" s="7" t="str">
        <f t="shared" si="17"/>
        <v>January</v>
      </c>
      <c r="C480" s="7">
        <v>2022</v>
      </c>
      <c r="D480" s="7" t="s">
        <v>727</v>
      </c>
      <c r="E480" s="7">
        <v>3</v>
      </c>
    </row>
    <row r="481" spans="1:5" x14ac:dyDescent="0.45">
      <c r="A481" s="6">
        <v>44562</v>
      </c>
      <c r="B481" s="7" t="str">
        <f t="shared" si="17"/>
        <v>January</v>
      </c>
      <c r="C481" s="7">
        <v>2022</v>
      </c>
      <c r="D481" s="7" t="s">
        <v>726</v>
      </c>
      <c r="E481" s="7">
        <v>1</v>
      </c>
    </row>
    <row r="482" spans="1:5" x14ac:dyDescent="0.45">
      <c r="A482" s="6">
        <v>44563</v>
      </c>
      <c r="B482" s="7" t="str">
        <f t="shared" si="17"/>
        <v>January</v>
      </c>
      <c r="C482" s="7">
        <v>2022</v>
      </c>
      <c r="D482" s="7" t="s">
        <v>727</v>
      </c>
      <c r="E482" s="7">
        <v>3</v>
      </c>
    </row>
    <row r="483" spans="1:5" x14ac:dyDescent="0.45">
      <c r="A483" s="6">
        <v>44564</v>
      </c>
      <c r="B483" s="7" t="str">
        <f t="shared" si="17"/>
        <v>January</v>
      </c>
      <c r="C483" s="7">
        <v>2022</v>
      </c>
      <c r="D483" s="7" t="s">
        <v>727</v>
      </c>
      <c r="E483" s="7">
        <v>5</v>
      </c>
    </row>
    <row r="484" spans="1:5" x14ac:dyDescent="0.45">
      <c r="A484" s="6">
        <v>44564</v>
      </c>
      <c r="B484" s="7" t="str">
        <f t="shared" si="17"/>
        <v>January</v>
      </c>
      <c r="C484" s="7">
        <v>2022</v>
      </c>
      <c r="D484" s="7" t="s">
        <v>726</v>
      </c>
      <c r="E484" s="7">
        <v>5</v>
      </c>
    </row>
    <row r="485" spans="1:5" x14ac:dyDescent="0.45">
      <c r="A485" s="6">
        <v>44566</v>
      </c>
      <c r="B485" s="7" t="str">
        <f t="shared" si="17"/>
        <v>January</v>
      </c>
      <c r="C485" s="7">
        <v>2022</v>
      </c>
      <c r="D485" s="7" t="s">
        <v>727</v>
      </c>
      <c r="E485" s="7">
        <v>5</v>
      </c>
    </row>
    <row r="486" spans="1:5" x14ac:dyDescent="0.45">
      <c r="A486" s="6">
        <v>44566</v>
      </c>
      <c r="B486" s="7" t="str">
        <f t="shared" si="17"/>
        <v>January</v>
      </c>
      <c r="C486" s="7">
        <v>2022</v>
      </c>
      <c r="D486" s="7" t="s">
        <v>726</v>
      </c>
      <c r="E486" s="7">
        <v>3</v>
      </c>
    </row>
    <row r="487" spans="1:5" x14ac:dyDescent="0.45">
      <c r="A487" s="6">
        <v>44570</v>
      </c>
      <c r="B487" s="7" t="str">
        <f t="shared" si="17"/>
        <v>January</v>
      </c>
      <c r="C487" s="7">
        <v>2022</v>
      </c>
      <c r="D487" s="7" t="s">
        <v>727</v>
      </c>
      <c r="E487" s="7">
        <v>4</v>
      </c>
    </row>
    <row r="488" spans="1:5" x14ac:dyDescent="0.45">
      <c r="A488" s="6">
        <v>44570</v>
      </c>
      <c r="B488" s="7" t="str">
        <f t="shared" si="17"/>
        <v>January</v>
      </c>
      <c r="C488" s="7">
        <v>2022</v>
      </c>
      <c r="D488" s="7" t="s">
        <v>726</v>
      </c>
      <c r="E488" s="7">
        <v>1</v>
      </c>
    </row>
    <row r="489" spans="1:5" x14ac:dyDescent="0.45">
      <c r="A489" s="6">
        <v>44571</v>
      </c>
      <c r="B489" s="7" t="str">
        <f t="shared" si="17"/>
        <v>January</v>
      </c>
      <c r="C489" s="7">
        <v>2022</v>
      </c>
      <c r="D489" s="7" t="s">
        <v>726</v>
      </c>
      <c r="E489" s="7">
        <v>2</v>
      </c>
    </row>
    <row r="490" spans="1:5" x14ac:dyDescent="0.45">
      <c r="A490" s="6">
        <v>44573</v>
      </c>
      <c r="B490" s="7" t="str">
        <f t="shared" si="17"/>
        <v>January</v>
      </c>
      <c r="C490" s="7">
        <v>2022</v>
      </c>
      <c r="D490" s="7" t="s">
        <v>727</v>
      </c>
      <c r="E490" s="7">
        <v>2</v>
      </c>
    </row>
    <row r="491" spans="1:5" x14ac:dyDescent="0.45">
      <c r="A491" s="6">
        <v>44574</v>
      </c>
      <c r="B491" s="7" t="str">
        <f t="shared" si="17"/>
        <v>January</v>
      </c>
      <c r="C491" s="7">
        <v>2022</v>
      </c>
      <c r="D491" s="7" t="s">
        <v>729</v>
      </c>
      <c r="E491" s="7">
        <v>2</v>
      </c>
    </row>
    <row r="492" spans="1:5" x14ac:dyDescent="0.45">
      <c r="A492" s="6">
        <v>44576</v>
      </c>
      <c r="B492" s="7" t="str">
        <f t="shared" si="17"/>
        <v>January</v>
      </c>
      <c r="C492" s="7">
        <v>2022</v>
      </c>
      <c r="D492" s="7" t="s">
        <v>726</v>
      </c>
      <c r="E492" s="7">
        <v>4</v>
      </c>
    </row>
    <row r="493" spans="1:5" x14ac:dyDescent="0.45">
      <c r="A493" s="6">
        <v>44579</v>
      </c>
      <c r="B493" s="7" t="str">
        <f t="shared" si="17"/>
        <v>January</v>
      </c>
      <c r="C493" s="7">
        <v>2022</v>
      </c>
      <c r="D493" s="7" t="s">
        <v>726</v>
      </c>
      <c r="E493" s="7">
        <v>5</v>
      </c>
    </row>
    <row r="494" spans="1:5" x14ac:dyDescent="0.45">
      <c r="A494" s="6">
        <v>44584</v>
      </c>
      <c r="B494" s="7" t="str">
        <f t="shared" si="17"/>
        <v>January</v>
      </c>
      <c r="C494" s="7">
        <v>2022</v>
      </c>
      <c r="D494" s="7" t="s">
        <v>728</v>
      </c>
      <c r="E494" s="7">
        <v>3</v>
      </c>
    </row>
    <row r="495" spans="1:5" x14ac:dyDescent="0.45">
      <c r="A495" s="6">
        <v>44586</v>
      </c>
      <c r="B495" s="7" t="str">
        <f t="shared" si="17"/>
        <v>January</v>
      </c>
      <c r="C495" s="7">
        <v>2022</v>
      </c>
      <c r="D495" s="7" t="s">
        <v>726</v>
      </c>
      <c r="E495" s="7">
        <v>1</v>
      </c>
    </row>
    <row r="496" spans="1:5" x14ac:dyDescent="0.45">
      <c r="A496" s="6">
        <v>44588</v>
      </c>
      <c r="B496" s="7" t="str">
        <f t="shared" si="17"/>
        <v>January</v>
      </c>
      <c r="C496" s="7">
        <v>2022</v>
      </c>
      <c r="D496" s="7" t="s">
        <v>727</v>
      </c>
      <c r="E496" s="7">
        <v>3</v>
      </c>
    </row>
    <row r="497" spans="1:5" x14ac:dyDescent="0.45">
      <c r="A497" s="6">
        <v>44591</v>
      </c>
      <c r="B497" s="7" t="str">
        <f t="shared" si="17"/>
        <v>January</v>
      </c>
      <c r="C497" s="7">
        <v>2022</v>
      </c>
      <c r="D497" s="7" t="s">
        <v>726</v>
      </c>
      <c r="E497" s="7">
        <v>4</v>
      </c>
    </row>
    <row r="498" spans="1:5" x14ac:dyDescent="0.45">
      <c r="A498" s="6">
        <v>44591</v>
      </c>
      <c r="B498" s="7" t="str">
        <f t="shared" si="17"/>
        <v>January</v>
      </c>
      <c r="C498" s="7">
        <v>2022</v>
      </c>
      <c r="D498" s="7" t="s">
        <v>726</v>
      </c>
      <c r="E498" s="7">
        <v>4</v>
      </c>
    </row>
    <row r="499" spans="1:5" x14ac:dyDescent="0.45">
      <c r="A499" s="6">
        <v>44592</v>
      </c>
      <c r="B499" s="7" t="str">
        <f t="shared" si="17"/>
        <v>January</v>
      </c>
      <c r="C499" s="7">
        <v>2022</v>
      </c>
      <c r="D499" s="7" t="s">
        <v>727</v>
      </c>
      <c r="E499" s="7">
        <v>1</v>
      </c>
    </row>
    <row r="500" spans="1:5" x14ac:dyDescent="0.45">
      <c r="A500" s="6">
        <v>44592</v>
      </c>
      <c r="B500" s="7" t="str">
        <f t="shared" si="17"/>
        <v>January</v>
      </c>
      <c r="C500" s="7">
        <v>2022</v>
      </c>
      <c r="D500" s="7" t="s">
        <v>726</v>
      </c>
      <c r="E500" s="7">
        <v>6</v>
      </c>
    </row>
    <row r="501" spans="1:5" x14ac:dyDescent="0.45">
      <c r="A501" s="6">
        <v>44594</v>
      </c>
      <c r="B501" s="7" t="str">
        <f t="shared" si="17"/>
        <v>February</v>
      </c>
      <c r="C501" s="7">
        <v>2022</v>
      </c>
      <c r="D501" s="7" t="s">
        <v>726</v>
      </c>
      <c r="E501" s="7">
        <v>4</v>
      </c>
    </row>
    <row r="502" spans="1:5" x14ac:dyDescent="0.45">
      <c r="A502" s="6">
        <v>44595</v>
      </c>
      <c r="B502" s="7" t="str">
        <f t="shared" si="17"/>
        <v>February</v>
      </c>
      <c r="C502" s="7">
        <v>2022</v>
      </c>
      <c r="D502" s="7" t="s">
        <v>726</v>
      </c>
      <c r="E502" s="7">
        <v>3</v>
      </c>
    </row>
    <row r="503" spans="1:5" x14ac:dyDescent="0.45">
      <c r="A503" s="6">
        <v>44595</v>
      </c>
      <c r="B503" s="7" t="str">
        <f t="shared" si="17"/>
        <v>February</v>
      </c>
      <c r="C503" s="7">
        <v>2022</v>
      </c>
      <c r="D503" s="7" t="s">
        <v>729</v>
      </c>
      <c r="E503" s="7">
        <v>3</v>
      </c>
    </row>
    <row r="504" spans="1:5" x14ac:dyDescent="0.45">
      <c r="A504" s="6">
        <v>44597</v>
      </c>
      <c r="B504" s="7" t="str">
        <f t="shared" si="17"/>
        <v>February</v>
      </c>
      <c r="C504" s="7">
        <v>2022</v>
      </c>
      <c r="D504" s="7" t="s">
        <v>727</v>
      </c>
      <c r="E504" s="7">
        <v>5</v>
      </c>
    </row>
    <row r="505" spans="1:5" x14ac:dyDescent="0.45">
      <c r="A505" s="6">
        <v>44599</v>
      </c>
      <c r="B505" s="7" t="str">
        <f t="shared" si="17"/>
        <v>February</v>
      </c>
      <c r="C505" s="7">
        <v>2022</v>
      </c>
      <c r="D505" s="7" t="s">
        <v>729</v>
      </c>
      <c r="E505" s="7">
        <v>4</v>
      </c>
    </row>
    <row r="506" spans="1:5" x14ac:dyDescent="0.45">
      <c r="A506" s="6">
        <v>44600</v>
      </c>
      <c r="B506" s="7" t="str">
        <f t="shared" si="17"/>
        <v>February</v>
      </c>
      <c r="C506" s="7">
        <v>2022</v>
      </c>
      <c r="D506" s="7" t="s">
        <v>727</v>
      </c>
      <c r="E506" s="7">
        <v>3</v>
      </c>
    </row>
    <row r="507" spans="1:5" x14ac:dyDescent="0.45">
      <c r="A507" s="6">
        <v>44601</v>
      </c>
      <c r="B507" s="7" t="str">
        <f t="shared" si="17"/>
        <v>February</v>
      </c>
      <c r="C507" s="7">
        <v>2022</v>
      </c>
      <c r="D507" s="7" t="s">
        <v>726</v>
      </c>
      <c r="E507" s="7">
        <v>5</v>
      </c>
    </row>
    <row r="508" spans="1:5" x14ac:dyDescent="0.45">
      <c r="A508" s="6">
        <v>44602</v>
      </c>
      <c r="B508" s="7" t="str">
        <f t="shared" si="17"/>
        <v>February</v>
      </c>
      <c r="C508" s="7">
        <v>2022</v>
      </c>
      <c r="D508" s="7" t="s">
        <v>726</v>
      </c>
      <c r="E508" s="7">
        <v>4</v>
      </c>
    </row>
    <row r="509" spans="1:5" x14ac:dyDescent="0.45">
      <c r="A509" s="6">
        <v>44603</v>
      </c>
      <c r="B509" s="7" t="str">
        <f t="shared" si="17"/>
        <v>February</v>
      </c>
      <c r="C509" s="7">
        <v>2022</v>
      </c>
      <c r="D509" s="7" t="s">
        <v>728</v>
      </c>
      <c r="E509" s="7">
        <v>5</v>
      </c>
    </row>
    <row r="510" spans="1:5" x14ac:dyDescent="0.45">
      <c r="A510" s="6">
        <v>44606</v>
      </c>
      <c r="B510" s="7" t="str">
        <f t="shared" si="17"/>
        <v>February</v>
      </c>
      <c r="C510" s="7">
        <v>2022</v>
      </c>
      <c r="D510" s="7" t="s">
        <v>726</v>
      </c>
      <c r="E510" s="7">
        <v>3</v>
      </c>
    </row>
    <row r="511" spans="1:5" x14ac:dyDescent="0.45">
      <c r="A511" s="6">
        <v>44606</v>
      </c>
      <c r="B511" s="7" t="str">
        <f t="shared" si="17"/>
        <v>February</v>
      </c>
      <c r="C511" s="7">
        <v>2022</v>
      </c>
      <c r="D511" s="7" t="s">
        <v>726</v>
      </c>
      <c r="E511" s="7">
        <v>1</v>
      </c>
    </row>
    <row r="512" spans="1:5" x14ac:dyDescent="0.45">
      <c r="A512" s="6">
        <v>44607</v>
      </c>
      <c r="B512" s="7" t="str">
        <f t="shared" si="17"/>
        <v>February</v>
      </c>
      <c r="C512" s="7">
        <v>2022</v>
      </c>
      <c r="D512" s="7" t="s">
        <v>726</v>
      </c>
      <c r="E512" s="7">
        <v>9</v>
      </c>
    </row>
    <row r="513" spans="1:5" x14ac:dyDescent="0.45">
      <c r="A513" s="6">
        <v>44608</v>
      </c>
      <c r="B513" s="7" t="str">
        <f t="shared" si="17"/>
        <v>February</v>
      </c>
      <c r="C513" s="7">
        <v>2022</v>
      </c>
      <c r="D513" s="7" t="s">
        <v>729</v>
      </c>
      <c r="E513" s="7">
        <v>2</v>
      </c>
    </row>
    <row r="514" spans="1:5" x14ac:dyDescent="0.45">
      <c r="A514" s="6">
        <v>44609</v>
      </c>
      <c r="B514" s="7" t="str">
        <f t="shared" si="17"/>
        <v>February</v>
      </c>
      <c r="C514" s="7">
        <v>2022</v>
      </c>
      <c r="D514" s="7" t="s">
        <v>726</v>
      </c>
      <c r="E514" s="7">
        <v>3</v>
      </c>
    </row>
    <row r="515" spans="1:5" x14ac:dyDescent="0.45">
      <c r="A515" s="6">
        <v>44614</v>
      </c>
      <c r="B515" s="7" t="str">
        <f t="shared" ref="B515:B578" si="18">TEXT(A515,"MMMM")</f>
        <v>February</v>
      </c>
      <c r="C515" s="7">
        <v>2022</v>
      </c>
      <c r="D515" s="7" t="s">
        <v>729</v>
      </c>
      <c r="E515" s="7">
        <v>4</v>
      </c>
    </row>
    <row r="516" spans="1:5" x14ac:dyDescent="0.45">
      <c r="A516" s="6">
        <v>44615</v>
      </c>
      <c r="B516" s="7" t="str">
        <f t="shared" si="18"/>
        <v>February</v>
      </c>
      <c r="C516" s="7">
        <v>2022</v>
      </c>
      <c r="D516" s="7" t="s">
        <v>726</v>
      </c>
      <c r="E516" s="7">
        <v>3</v>
      </c>
    </row>
    <row r="517" spans="1:5" x14ac:dyDescent="0.45">
      <c r="A517" s="6">
        <v>44615</v>
      </c>
      <c r="B517" s="7" t="str">
        <f t="shared" si="18"/>
        <v>February</v>
      </c>
      <c r="C517" s="7">
        <v>2022</v>
      </c>
      <c r="D517" s="7" t="s">
        <v>726</v>
      </c>
      <c r="E517" s="7">
        <v>4</v>
      </c>
    </row>
    <row r="518" spans="1:5" x14ac:dyDescent="0.45">
      <c r="A518" s="6">
        <v>44616</v>
      </c>
      <c r="B518" s="7" t="str">
        <f t="shared" si="18"/>
        <v>February</v>
      </c>
      <c r="C518" s="7">
        <v>2022</v>
      </c>
      <c r="D518" s="7" t="s">
        <v>728</v>
      </c>
      <c r="E518" s="7">
        <v>3</v>
      </c>
    </row>
    <row r="519" spans="1:5" x14ac:dyDescent="0.45">
      <c r="A519" s="6">
        <v>44617</v>
      </c>
      <c r="B519" s="7" t="str">
        <f t="shared" si="18"/>
        <v>February</v>
      </c>
      <c r="C519" s="7">
        <v>2022</v>
      </c>
      <c r="D519" s="7" t="s">
        <v>727</v>
      </c>
      <c r="E519" s="7">
        <v>2</v>
      </c>
    </row>
    <row r="520" spans="1:5" x14ac:dyDescent="0.45">
      <c r="A520" s="6">
        <v>44618</v>
      </c>
      <c r="B520" s="7" t="str">
        <f t="shared" si="18"/>
        <v>February</v>
      </c>
      <c r="C520" s="7">
        <v>2022</v>
      </c>
      <c r="D520" s="7" t="s">
        <v>726</v>
      </c>
      <c r="E520" s="7">
        <v>5</v>
      </c>
    </row>
    <row r="521" spans="1:5" x14ac:dyDescent="0.45">
      <c r="A521" s="6">
        <v>44619</v>
      </c>
      <c r="B521" s="7" t="str">
        <f t="shared" si="18"/>
        <v>February</v>
      </c>
      <c r="C521" s="7">
        <v>2022</v>
      </c>
      <c r="D521" s="7" t="s">
        <v>727</v>
      </c>
      <c r="E521" s="7">
        <v>4</v>
      </c>
    </row>
    <row r="522" spans="1:5" x14ac:dyDescent="0.45">
      <c r="A522" s="6">
        <v>44628</v>
      </c>
      <c r="B522" s="7" t="str">
        <f t="shared" si="18"/>
        <v>March</v>
      </c>
      <c r="C522" s="7">
        <v>2022</v>
      </c>
      <c r="D522" s="7" t="s">
        <v>727</v>
      </c>
      <c r="E522" s="7">
        <v>1</v>
      </c>
    </row>
    <row r="523" spans="1:5" x14ac:dyDescent="0.45">
      <c r="A523" s="6">
        <v>44628</v>
      </c>
      <c r="B523" s="7" t="str">
        <f t="shared" si="18"/>
        <v>March</v>
      </c>
      <c r="C523" s="7">
        <v>2022</v>
      </c>
      <c r="D523" s="7" t="s">
        <v>726</v>
      </c>
      <c r="E523" s="7">
        <v>2</v>
      </c>
    </row>
    <row r="524" spans="1:5" x14ac:dyDescent="0.45">
      <c r="A524" s="6">
        <v>44630</v>
      </c>
      <c r="B524" s="7" t="str">
        <f t="shared" si="18"/>
        <v>March</v>
      </c>
      <c r="C524" s="7">
        <v>2022</v>
      </c>
      <c r="D524" s="7" t="s">
        <v>726</v>
      </c>
      <c r="E524" s="7">
        <v>1</v>
      </c>
    </row>
    <row r="525" spans="1:5" x14ac:dyDescent="0.45">
      <c r="A525" s="6">
        <v>44631</v>
      </c>
      <c r="B525" s="7" t="str">
        <f t="shared" si="18"/>
        <v>March</v>
      </c>
      <c r="C525" s="7">
        <v>2022</v>
      </c>
      <c r="D525" s="7" t="s">
        <v>726</v>
      </c>
      <c r="E525" s="7">
        <v>4</v>
      </c>
    </row>
    <row r="526" spans="1:5" x14ac:dyDescent="0.45">
      <c r="A526" s="6">
        <v>44632</v>
      </c>
      <c r="B526" s="7" t="str">
        <f t="shared" si="18"/>
        <v>March</v>
      </c>
      <c r="C526" s="7">
        <v>2022</v>
      </c>
      <c r="D526" s="7" t="s">
        <v>726</v>
      </c>
      <c r="E526" s="7">
        <v>5</v>
      </c>
    </row>
    <row r="527" spans="1:5" x14ac:dyDescent="0.45">
      <c r="A527" s="6">
        <v>44633</v>
      </c>
      <c r="B527" s="7" t="str">
        <f t="shared" si="18"/>
        <v>March</v>
      </c>
      <c r="C527" s="7">
        <v>2022</v>
      </c>
      <c r="D527" s="7" t="s">
        <v>728</v>
      </c>
      <c r="E527" s="7">
        <v>5</v>
      </c>
    </row>
    <row r="528" spans="1:5" x14ac:dyDescent="0.45">
      <c r="A528" s="6">
        <v>44634</v>
      </c>
      <c r="B528" s="7" t="str">
        <f t="shared" si="18"/>
        <v>March</v>
      </c>
      <c r="C528" s="7">
        <v>2022</v>
      </c>
      <c r="D528" s="7" t="s">
        <v>727</v>
      </c>
      <c r="E528" s="7">
        <v>1</v>
      </c>
    </row>
    <row r="529" spans="1:5" x14ac:dyDescent="0.45">
      <c r="A529" s="6">
        <v>44634</v>
      </c>
      <c r="B529" s="7" t="str">
        <f t="shared" si="18"/>
        <v>March</v>
      </c>
      <c r="C529" s="7">
        <v>2022</v>
      </c>
      <c r="D529" s="7" t="s">
        <v>729</v>
      </c>
      <c r="E529" s="7">
        <v>1</v>
      </c>
    </row>
    <row r="530" spans="1:5" x14ac:dyDescent="0.45">
      <c r="A530" s="6">
        <v>44640</v>
      </c>
      <c r="B530" s="7" t="str">
        <f t="shared" si="18"/>
        <v>March</v>
      </c>
      <c r="C530" s="7">
        <v>2022</v>
      </c>
      <c r="D530" s="7" t="s">
        <v>726</v>
      </c>
      <c r="E530" s="7">
        <v>3</v>
      </c>
    </row>
    <row r="531" spans="1:5" x14ac:dyDescent="0.45">
      <c r="A531" s="6">
        <v>44641</v>
      </c>
      <c r="B531" s="7" t="str">
        <f t="shared" si="18"/>
        <v>March</v>
      </c>
      <c r="C531" s="7">
        <v>2022</v>
      </c>
      <c r="D531" s="7" t="s">
        <v>729</v>
      </c>
      <c r="E531" s="7">
        <v>4</v>
      </c>
    </row>
    <row r="532" spans="1:5" x14ac:dyDescent="0.45">
      <c r="A532" s="6">
        <v>44644</v>
      </c>
      <c r="B532" s="7" t="str">
        <f t="shared" si="18"/>
        <v>March</v>
      </c>
      <c r="C532" s="7">
        <v>2022</v>
      </c>
      <c r="D532" s="7" t="s">
        <v>726</v>
      </c>
      <c r="E532" s="7">
        <v>4</v>
      </c>
    </row>
    <row r="533" spans="1:5" x14ac:dyDescent="0.45">
      <c r="A533" s="6">
        <v>44644</v>
      </c>
      <c r="B533" s="7" t="str">
        <f t="shared" si="18"/>
        <v>March</v>
      </c>
      <c r="C533" s="7">
        <v>2022</v>
      </c>
      <c r="D533" s="7" t="s">
        <v>726</v>
      </c>
      <c r="E533" s="7">
        <v>8</v>
      </c>
    </row>
    <row r="534" spans="1:5" x14ac:dyDescent="0.45">
      <c r="A534" s="6">
        <v>44645</v>
      </c>
      <c r="B534" s="7" t="str">
        <f t="shared" si="18"/>
        <v>March</v>
      </c>
      <c r="C534" s="7">
        <v>2022</v>
      </c>
      <c r="D534" s="7" t="s">
        <v>726</v>
      </c>
      <c r="E534" s="7">
        <v>7</v>
      </c>
    </row>
    <row r="535" spans="1:5" x14ac:dyDescent="0.45">
      <c r="A535" s="6">
        <v>44646</v>
      </c>
      <c r="B535" s="7" t="str">
        <f t="shared" si="18"/>
        <v>March</v>
      </c>
      <c r="C535" s="7">
        <v>2022</v>
      </c>
      <c r="D535" s="7" t="s">
        <v>727</v>
      </c>
      <c r="E535" s="7">
        <v>4</v>
      </c>
    </row>
    <row r="536" spans="1:5" x14ac:dyDescent="0.45">
      <c r="A536" s="6">
        <v>44646</v>
      </c>
      <c r="B536" s="7" t="str">
        <f t="shared" si="18"/>
        <v>March</v>
      </c>
      <c r="C536" s="7">
        <v>2022</v>
      </c>
      <c r="D536" s="7" t="s">
        <v>726</v>
      </c>
      <c r="E536" s="7">
        <v>5</v>
      </c>
    </row>
    <row r="537" spans="1:5" x14ac:dyDescent="0.45">
      <c r="A537" s="6">
        <v>44646</v>
      </c>
      <c r="B537" s="7" t="str">
        <f t="shared" si="18"/>
        <v>March</v>
      </c>
      <c r="C537" s="7">
        <v>2022</v>
      </c>
      <c r="D537" s="7" t="s">
        <v>726</v>
      </c>
      <c r="E537" s="7">
        <v>1</v>
      </c>
    </row>
    <row r="538" spans="1:5" x14ac:dyDescent="0.45">
      <c r="A538" s="6">
        <v>44648</v>
      </c>
      <c r="B538" s="7" t="str">
        <f t="shared" si="18"/>
        <v>March</v>
      </c>
      <c r="C538" s="7">
        <v>2022</v>
      </c>
      <c r="D538" s="7" t="s">
        <v>727</v>
      </c>
      <c r="E538" s="7">
        <v>4</v>
      </c>
    </row>
    <row r="539" spans="1:5" x14ac:dyDescent="0.45">
      <c r="A539" s="6">
        <v>44648</v>
      </c>
      <c r="B539" s="7" t="str">
        <f t="shared" si="18"/>
        <v>March</v>
      </c>
      <c r="C539" s="7">
        <v>2022</v>
      </c>
      <c r="D539" s="7" t="s">
        <v>726</v>
      </c>
      <c r="E539" s="7">
        <v>2</v>
      </c>
    </row>
    <row r="540" spans="1:5" x14ac:dyDescent="0.45">
      <c r="A540" s="6">
        <v>44648</v>
      </c>
      <c r="B540" s="7" t="str">
        <f t="shared" si="18"/>
        <v>March</v>
      </c>
      <c r="C540" s="7">
        <v>2022</v>
      </c>
      <c r="D540" s="7" t="s">
        <v>726</v>
      </c>
      <c r="E540" s="7">
        <v>4</v>
      </c>
    </row>
    <row r="541" spans="1:5" x14ac:dyDescent="0.45">
      <c r="A541" s="6">
        <v>44652</v>
      </c>
      <c r="B541" s="7" t="str">
        <f t="shared" si="18"/>
        <v>April</v>
      </c>
      <c r="C541" s="7">
        <v>2022</v>
      </c>
      <c r="D541" s="7" t="s">
        <v>727</v>
      </c>
      <c r="E541" s="7">
        <v>1</v>
      </c>
    </row>
    <row r="542" spans="1:5" x14ac:dyDescent="0.45">
      <c r="A542" s="6">
        <v>44652</v>
      </c>
      <c r="B542" s="7" t="str">
        <f t="shared" si="18"/>
        <v>April</v>
      </c>
      <c r="C542" s="7">
        <v>2022</v>
      </c>
      <c r="D542" s="7" t="s">
        <v>726</v>
      </c>
      <c r="E542" s="7">
        <v>5</v>
      </c>
    </row>
    <row r="543" spans="1:5" x14ac:dyDescent="0.45">
      <c r="A543" s="6">
        <v>44652</v>
      </c>
      <c r="B543" s="7" t="str">
        <f t="shared" si="18"/>
        <v>April</v>
      </c>
      <c r="C543" s="7">
        <v>2022</v>
      </c>
      <c r="D543" s="7" t="s">
        <v>726</v>
      </c>
      <c r="E543" s="7">
        <v>2</v>
      </c>
    </row>
    <row r="544" spans="1:5" x14ac:dyDescent="0.45">
      <c r="A544" s="6">
        <v>44657</v>
      </c>
      <c r="B544" s="7" t="str">
        <f t="shared" si="18"/>
        <v>April</v>
      </c>
      <c r="C544" s="7">
        <v>2022</v>
      </c>
      <c r="D544" s="7" t="s">
        <v>726</v>
      </c>
      <c r="E544" s="7">
        <v>1</v>
      </c>
    </row>
    <row r="545" spans="1:5" x14ac:dyDescent="0.45">
      <c r="A545" s="6">
        <v>44660</v>
      </c>
      <c r="B545" s="7" t="str">
        <f t="shared" si="18"/>
        <v>April</v>
      </c>
      <c r="C545" s="7">
        <v>2022</v>
      </c>
      <c r="D545" s="7" t="s">
        <v>726</v>
      </c>
      <c r="E545" s="7">
        <v>3</v>
      </c>
    </row>
    <row r="546" spans="1:5" x14ac:dyDescent="0.45">
      <c r="A546" s="6">
        <v>44661</v>
      </c>
      <c r="B546" s="7" t="str">
        <f t="shared" si="18"/>
        <v>April</v>
      </c>
      <c r="C546" s="7">
        <v>2022</v>
      </c>
      <c r="D546" s="7" t="s">
        <v>726</v>
      </c>
      <c r="E546" s="7">
        <v>3</v>
      </c>
    </row>
    <row r="547" spans="1:5" x14ac:dyDescent="0.45">
      <c r="A547" s="6">
        <v>44665</v>
      </c>
      <c r="B547" s="7" t="str">
        <f t="shared" si="18"/>
        <v>April</v>
      </c>
      <c r="C547" s="7">
        <v>2022</v>
      </c>
      <c r="D547" s="7" t="s">
        <v>727</v>
      </c>
      <c r="E547" s="7">
        <v>5</v>
      </c>
    </row>
    <row r="548" spans="1:5" x14ac:dyDescent="0.45">
      <c r="A548" s="6">
        <v>44667</v>
      </c>
      <c r="B548" s="7" t="str">
        <f t="shared" si="18"/>
        <v>April</v>
      </c>
      <c r="C548" s="7">
        <v>2022</v>
      </c>
      <c r="D548" s="7" t="s">
        <v>726</v>
      </c>
      <c r="E548" s="7">
        <v>4</v>
      </c>
    </row>
    <row r="549" spans="1:5" x14ac:dyDescent="0.45">
      <c r="A549" s="6">
        <v>44667</v>
      </c>
      <c r="B549" s="7" t="str">
        <f t="shared" si="18"/>
        <v>April</v>
      </c>
      <c r="C549" s="7">
        <v>2022</v>
      </c>
      <c r="D549" s="7" t="s">
        <v>726</v>
      </c>
      <c r="E549" s="7">
        <v>5</v>
      </c>
    </row>
    <row r="550" spans="1:5" x14ac:dyDescent="0.45">
      <c r="A550" s="6">
        <v>44673</v>
      </c>
      <c r="B550" s="7" t="str">
        <f t="shared" si="18"/>
        <v>April</v>
      </c>
      <c r="C550" s="7">
        <v>2022</v>
      </c>
      <c r="D550" s="7" t="s">
        <v>726</v>
      </c>
      <c r="E550" s="7">
        <v>5</v>
      </c>
    </row>
    <row r="551" spans="1:5" x14ac:dyDescent="0.45">
      <c r="A551" s="6">
        <v>44674</v>
      </c>
      <c r="B551" s="7" t="str">
        <f t="shared" si="18"/>
        <v>April</v>
      </c>
      <c r="C551" s="7">
        <v>2022</v>
      </c>
      <c r="D551" s="7" t="s">
        <v>728</v>
      </c>
      <c r="E551" s="7">
        <v>4</v>
      </c>
    </row>
    <row r="552" spans="1:5" x14ac:dyDescent="0.45">
      <c r="A552" s="6">
        <v>44674</v>
      </c>
      <c r="B552" s="7" t="str">
        <f t="shared" si="18"/>
        <v>April</v>
      </c>
      <c r="C552" s="7">
        <v>2022</v>
      </c>
      <c r="D552" s="7" t="s">
        <v>726</v>
      </c>
      <c r="E552" s="7">
        <v>2</v>
      </c>
    </row>
    <row r="553" spans="1:5" x14ac:dyDescent="0.45">
      <c r="A553" s="6">
        <v>44675</v>
      </c>
      <c r="B553" s="7" t="str">
        <f t="shared" si="18"/>
        <v>April</v>
      </c>
      <c r="C553" s="7">
        <v>2022</v>
      </c>
      <c r="D553" s="7" t="s">
        <v>727</v>
      </c>
      <c r="E553" s="7">
        <v>1</v>
      </c>
    </row>
    <row r="554" spans="1:5" x14ac:dyDescent="0.45">
      <c r="A554" s="6">
        <v>44676</v>
      </c>
      <c r="B554" s="7" t="str">
        <f t="shared" si="18"/>
        <v>April</v>
      </c>
      <c r="C554" s="7">
        <v>2022</v>
      </c>
      <c r="D554" s="7" t="s">
        <v>727</v>
      </c>
      <c r="E554" s="7">
        <v>2</v>
      </c>
    </row>
    <row r="555" spans="1:5" x14ac:dyDescent="0.45">
      <c r="A555" s="6">
        <v>44680</v>
      </c>
      <c r="B555" s="7" t="str">
        <f t="shared" si="18"/>
        <v>April</v>
      </c>
      <c r="C555" s="7">
        <v>2022</v>
      </c>
      <c r="D555" s="7" t="s">
        <v>726</v>
      </c>
      <c r="E555" s="7">
        <v>5</v>
      </c>
    </row>
    <row r="556" spans="1:5" x14ac:dyDescent="0.45">
      <c r="A556" s="6">
        <v>44681</v>
      </c>
      <c r="B556" s="7" t="str">
        <f t="shared" si="18"/>
        <v>April</v>
      </c>
      <c r="C556" s="7">
        <v>2022</v>
      </c>
      <c r="D556" s="7" t="s">
        <v>726</v>
      </c>
      <c r="E556" s="7">
        <v>5</v>
      </c>
    </row>
    <row r="557" spans="1:5" x14ac:dyDescent="0.45">
      <c r="A557" s="6">
        <v>44681</v>
      </c>
      <c r="B557" s="7" t="str">
        <f t="shared" si="18"/>
        <v>April</v>
      </c>
      <c r="C557" s="7">
        <v>2022</v>
      </c>
      <c r="D557" s="7" t="s">
        <v>728</v>
      </c>
      <c r="E557" s="7">
        <v>2</v>
      </c>
    </row>
    <row r="558" spans="1:5" x14ac:dyDescent="0.45">
      <c r="A558" s="6">
        <v>44681</v>
      </c>
      <c r="B558" s="7" t="str">
        <f t="shared" si="18"/>
        <v>April</v>
      </c>
      <c r="C558" s="7">
        <v>2022</v>
      </c>
      <c r="D558" s="7" t="s">
        <v>726</v>
      </c>
      <c r="E558" s="7">
        <v>4</v>
      </c>
    </row>
    <row r="559" spans="1:5" x14ac:dyDescent="0.45">
      <c r="A559" s="6">
        <v>44689</v>
      </c>
      <c r="B559" s="7" t="str">
        <f t="shared" si="18"/>
        <v>May</v>
      </c>
      <c r="C559" s="7">
        <v>2022</v>
      </c>
      <c r="D559" s="7" t="s">
        <v>726</v>
      </c>
      <c r="E559" s="7">
        <v>3</v>
      </c>
    </row>
    <row r="560" spans="1:5" x14ac:dyDescent="0.45">
      <c r="A560" s="6">
        <v>44690</v>
      </c>
      <c r="B560" s="7" t="str">
        <f t="shared" si="18"/>
        <v>May</v>
      </c>
      <c r="C560" s="7">
        <v>2022</v>
      </c>
      <c r="D560" s="7" t="s">
        <v>727</v>
      </c>
      <c r="E560" s="7">
        <v>1</v>
      </c>
    </row>
    <row r="561" spans="1:5" x14ac:dyDescent="0.45">
      <c r="A561" s="6">
        <v>44691</v>
      </c>
      <c r="B561" s="7" t="str">
        <f t="shared" si="18"/>
        <v>May</v>
      </c>
      <c r="C561" s="7">
        <v>2022</v>
      </c>
      <c r="D561" s="7" t="s">
        <v>729</v>
      </c>
      <c r="E561" s="7">
        <v>1</v>
      </c>
    </row>
    <row r="562" spans="1:5" x14ac:dyDescent="0.45">
      <c r="A562" s="6">
        <v>44692</v>
      </c>
      <c r="B562" s="7" t="str">
        <f t="shared" si="18"/>
        <v>May</v>
      </c>
      <c r="C562" s="7">
        <v>2022</v>
      </c>
      <c r="D562" s="7" t="s">
        <v>726</v>
      </c>
      <c r="E562" s="7">
        <v>1</v>
      </c>
    </row>
    <row r="563" spans="1:5" x14ac:dyDescent="0.45">
      <c r="A563" s="6">
        <v>44695</v>
      </c>
      <c r="B563" s="7" t="str">
        <f t="shared" si="18"/>
        <v>May</v>
      </c>
      <c r="C563" s="7">
        <v>2022</v>
      </c>
      <c r="D563" s="7" t="s">
        <v>726</v>
      </c>
      <c r="E563" s="7">
        <v>4</v>
      </c>
    </row>
    <row r="564" spans="1:5" x14ac:dyDescent="0.45">
      <c r="A564" s="6">
        <v>44696</v>
      </c>
      <c r="B564" s="7" t="str">
        <f t="shared" si="18"/>
        <v>May</v>
      </c>
      <c r="C564" s="7">
        <v>2022</v>
      </c>
      <c r="D564" s="7" t="s">
        <v>727</v>
      </c>
      <c r="E564" s="7">
        <v>2</v>
      </c>
    </row>
    <row r="565" spans="1:5" x14ac:dyDescent="0.45">
      <c r="A565" s="6">
        <v>44698</v>
      </c>
      <c r="B565" s="7" t="str">
        <f t="shared" si="18"/>
        <v>May</v>
      </c>
      <c r="C565" s="7">
        <v>2022</v>
      </c>
      <c r="D565" s="7" t="s">
        <v>726</v>
      </c>
      <c r="E565" s="7">
        <v>5</v>
      </c>
    </row>
    <row r="566" spans="1:5" x14ac:dyDescent="0.45">
      <c r="A566" s="6">
        <v>44700</v>
      </c>
      <c r="B566" s="7" t="str">
        <f t="shared" si="18"/>
        <v>May</v>
      </c>
      <c r="C566" s="7">
        <v>2022</v>
      </c>
      <c r="D566" s="7" t="s">
        <v>726</v>
      </c>
      <c r="E566" s="7">
        <v>3</v>
      </c>
    </row>
    <row r="567" spans="1:5" x14ac:dyDescent="0.45">
      <c r="A567" s="6">
        <v>44701</v>
      </c>
      <c r="B567" s="7" t="str">
        <f t="shared" si="18"/>
        <v>May</v>
      </c>
      <c r="C567" s="7">
        <v>2022</v>
      </c>
      <c r="D567" s="7" t="s">
        <v>727</v>
      </c>
      <c r="E567" s="7">
        <v>1</v>
      </c>
    </row>
    <row r="568" spans="1:5" x14ac:dyDescent="0.45">
      <c r="A568" s="6">
        <v>44701</v>
      </c>
      <c r="B568" s="7" t="str">
        <f t="shared" si="18"/>
        <v>May</v>
      </c>
      <c r="C568" s="7">
        <v>2022</v>
      </c>
      <c r="D568" s="7" t="s">
        <v>728</v>
      </c>
      <c r="E568" s="7">
        <v>2</v>
      </c>
    </row>
    <row r="569" spans="1:5" x14ac:dyDescent="0.45">
      <c r="A569" s="6">
        <v>44704</v>
      </c>
      <c r="B569" s="7" t="str">
        <f t="shared" si="18"/>
        <v>May</v>
      </c>
      <c r="C569" s="7">
        <v>2022</v>
      </c>
      <c r="D569" s="7" t="s">
        <v>726</v>
      </c>
      <c r="E569" s="7">
        <v>1</v>
      </c>
    </row>
    <row r="570" spans="1:5" x14ac:dyDescent="0.45">
      <c r="A570" s="6">
        <v>44705</v>
      </c>
      <c r="B570" s="7" t="str">
        <f t="shared" si="18"/>
        <v>May</v>
      </c>
      <c r="C570" s="7">
        <v>2022</v>
      </c>
      <c r="D570" s="7" t="s">
        <v>727</v>
      </c>
      <c r="E570" s="7">
        <v>2</v>
      </c>
    </row>
    <row r="571" spans="1:5" x14ac:dyDescent="0.45">
      <c r="A571" s="6">
        <v>44705</v>
      </c>
      <c r="B571" s="7" t="str">
        <f t="shared" si="18"/>
        <v>May</v>
      </c>
      <c r="C571" s="7">
        <v>2022</v>
      </c>
      <c r="D571" s="7" t="s">
        <v>727</v>
      </c>
      <c r="E571" s="7">
        <v>4</v>
      </c>
    </row>
    <row r="572" spans="1:5" x14ac:dyDescent="0.45">
      <c r="A572" s="6">
        <v>44706</v>
      </c>
      <c r="B572" s="7" t="str">
        <f t="shared" si="18"/>
        <v>May</v>
      </c>
      <c r="C572" s="7">
        <v>2022</v>
      </c>
      <c r="D572" s="7" t="s">
        <v>726</v>
      </c>
      <c r="E572" s="7">
        <v>3</v>
      </c>
    </row>
    <row r="573" spans="1:5" x14ac:dyDescent="0.45">
      <c r="A573" s="6">
        <v>44706</v>
      </c>
      <c r="B573" s="7" t="str">
        <f t="shared" si="18"/>
        <v>May</v>
      </c>
      <c r="C573" s="7">
        <v>2022</v>
      </c>
      <c r="D573" s="7" t="s">
        <v>726</v>
      </c>
      <c r="E573" s="7">
        <v>3</v>
      </c>
    </row>
    <row r="574" spans="1:5" x14ac:dyDescent="0.45">
      <c r="A574" s="6">
        <v>44710</v>
      </c>
      <c r="B574" s="7" t="str">
        <f t="shared" si="18"/>
        <v>May</v>
      </c>
      <c r="C574" s="7">
        <v>2022</v>
      </c>
      <c r="D574" s="7" t="s">
        <v>727</v>
      </c>
      <c r="E574" s="7">
        <v>4</v>
      </c>
    </row>
    <row r="575" spans="1:5" x14ac:dyDescent="0.45">
      <c r="A575" s="6">
        <v>44713</v>
      </c>
      <c r="B575" s="7" t="str">
        <f t="shared" si="18"/>
        <v>June</v>
      </c>
      <c r="C575" s="7">
        <v>2022</v>
      </c>
      <c r="D575" s="7" t="s">
        <v>727</v>
      </c>
      <c r="E575" s="7">
        <v>5</v>
      </c>
    </row>
    <row r="576" spans="1:5" x14ac:dyDescent="0.45">
      <c r="A576" s="6">
        <v>44715</v>
      </c>
      <c r="B576" s="7" t="str">
        <f t="shared" si="18"/>
        <v>June</v>
      </c>
      <c r="C576" s="7">
        <v>2022</v>
      </c>
      <c r="D576" s="7" t="s">
        <v>727</v>
      </c>
      <c r="E576" s="7">
        <v>2</v>
      </c>
    </row>
    <row r="577" spans="1:5" x14ac:dyDescent="0.45">
      <c r="A577" s="6">
        <v>44716</v>
      </c>
      <c r="B577" s="7" t="str">
        <f t="shared" si="18"/>
        <v>June</v>
      </c>
      <c r="C577" s="7">
        <v>2022</v>
      </c>
      <c r="D577" s="7" t="s">
        <v>726</v>
      </c>
      <c r="E577" s="7">
        <v>1</v>
      </c>
    </row>
    <row r="578" spans="1:5" x14ac:dyDescent="0.45">
      <c r="A578" s="6">
        <v>44719</v>
      </c>
      <c r="B578" s="7" t="str">
        <f t="shared" si="18"/>
        <v>June</v>
      </c>
      <c r="C578" s="7">
        <v>2022</v>
      </c>
      <c r="D578" s="7" t="s">
        <v>726</v>
      </c>
      <c r="E578" s="7">
        <v>2</v>
      </c>
    </row>
    <row r="579" spans="1:5" x14ac:dyDescent="0.45">
      <c r="A579" s="6">
        <v>44719</v>
      </c>
      <c r="B579" s="7" t="str">
        <f t="shared" ref="B579:B642" si="19">TEXT(A579,"MMMM")</f>
        <v>June</v>
      </c>
      <c r="C579" s="7">
        <v>2022</v>
      </c>
      <c r="D579" s="7" t="s">
        <v>729</v>
      </c>
      <c r="E579" s="7">
        <v>4</v>
      </c>
    </row>
    <row r="580" spans="1:5" x14ac:dyDescent="0.45">
      <c r="A580" s="6">
        <v>44720</v>
      </c>
      <c r="B580" s="7" t="str">
        <f t="shared" si="19"/>
        <v>June</v>
      </c>
      <c r="C580" s="7">
        <v>2022</v>
      </c>
      <c r="D580" s="7" t="s">
        <v>726</v>
      </c>
      <c r="E580" s="7">
        <v>5</v>
      </c>
    </row>
    <row r="581" spans="1:5" x14ac:dyDescent="0.45">
      <c r="A581" s="6">
        <v>44721</v>
      </c>
      <c r="B581" s="7" t="str">
        <f t="shared" si="19"/>
        <v>June</v>
      </c>
      <c r="C581" s="7">
        <v>2022</v>
      </c>
      <c r="D581" s="7" t="s">
        <v>729</v>
      </c>
      <c r="E581" s="7">
        <v>3</v>
      </c>
    </row>
    <row r="582" spans="1:5" x14ac:dyDescent="0.45">
      <c r="A582" s="6">
        <v>44724</v>
      </c>
      <c r="B582" s="7" t="str">
        <f t="shared" si="19"/>
        <v>June</v>
      </c>
      <c r="C582" s="7">
        <v>2022</v>
      </c>
      <c r="D582" s="7" t="s">
        <v>727</v>
      </c>
      <c r="E582" s="7">
        <v>1</v>
      </c>
    </row>
    <row r="583" spans="1:5" x14ac:dyDescent="0.45">
      <c r="A583" s="6">
        <v>44725</v>
      </c>
      <c r="B583" s="7" t="str">
        <f t="shared" si="19"/>
        <v>June</v>
      </c>
      <c r="C583" s="7">
        <v>2022</v>
      </c>
      <c r="D583" s="7" t="s">
        <v>728</v>
      </c>
      <c r="E583" s="7">
        <v>5</v>
      </c>
    </row>
    <row r="584" spans="1:5" x14ac:dyDescent="0.45">
      <c r="A584" s="6">
        <v>44725</v>
      </c>
      <c r="B584" s="7" t="str">
        <f t="shared" si="19"/>
        <v>June</v>
      </c>
      <c r="C584" s="7">
        <v>2022</v>
      </c>
      <c r="D584" s="7" t="s">
        <v>726</v>
      </c>
      <c r="E584" s="7">
        <v>4</v>
      </c>
    </row>
    <row r="585" spans="1:5" x14ac:dyDescent="0.45">
      <c r="A585" s="6">
        <v>44728</v>
      </c>
      <c r="B585" s="7" t="str">
        <f t="shared" si="19"/>
        <v>June</v>
      </c>
      <c r="C585" s="7">
        <v>2022</v>
      </c>
      <c r="D585" s="7" t="s">
        <v>726</v>
      </c>
      <c r="E585" s="7">
        <v>5</v>
      </c>
    </row>
    <row r="586" spans="1:5" x14ac:dyDescent="0.45">
      <c r="A586" s="6">
        <v>44729</v>
      </c>
      <c r="B586" s="7" t="str">
        <f t="shared" si="19"/>
        <v>June</v>
      </c>
      <c r="C586" s="7">
        <v>2022</v>
      </c>
      <c r="D586" s="7" t="s">
        <v>728</v>
      </c>
      <c r="E586" s="7">
        <v>2</v>
      </c>
    </row>
    <row r="587" spans="1:5" x14ac:dyDescent="0.45">
      <c r="A587" s="6">
        <v>44731</v>
      </c>
      <c r="B587" s="7" t="str">
        <f t="shared" si="19"/>
        <v>June</v>
      </c>
      <c r="C587" s="7">
        <v>2022</v>
      </c>
      <c r="D587" s="7" t="s">
        <v>728</v>
      </c>
      <c r="E587" s="7">
        <v>1</v>
      </c>
    </row>
    <row r="588" spans="1:5" x14ac:dyDescent="0.45">
      <c r="A588" s="6">
        <v>44731</v>
      </c>
      <c r="B588" s="7" t="str">
        <f t="shared" si="19"/>
        <v>June</v>
      </c>
      <c r="C588" s="7">
        <v>2022</v>
      </c>
      <c r="D588" s="7" t="s">
        <v>726</v>
      </c>
      <c r="E588" s="7">
        <v>2</v>
      </c>
    </row>
    <row r="589" spans="1:5" x14ac:dyDescent="0.45">
      <c r="A589" s="6">
        <v>44732</v>
      </c>
      <c r="B589" s="7" t="str">
        <f t="shared" si="19"/>
        <v>June</v>
      </c>
      <c r="C589" s="7">
        <v>2022</v>
      </c>
      <c r="D589" s="7" t="s">
        <v>728</v>
      </c>
      <c r="E589" s="7">
        <v>4</v>
      </c>
    </row>
    <row r="590" spans="1:5" x14ac:dyDescent="0.45">
      <c r="A590" s="6">
        <v>44735</v>
      </c>
      <c r="B590" s="7" t="str">
        <f t="shared" si="19"/>
        <v>June</v>
      </c>
      <c r="C590" s="7">
        <v>2022</v>
      </c>
      <c r="D590" s="7" t="s">
        <v>729</v>
      </c>
      <c r="E590" s="7">
        <v>5</v>
      </c>
    </row>
    <row r="591" spans="1:5" x14ac:dyDescent="0.45">
      <c r="A591" s="6">
        <v>44736</v>
      </c>
      <c r="B591" s="7" t="str">
        <f t="shared" si="19"/>
        <v>June</v>
      </c>
      <c r="C591" s="7">
        <v>2022</v>
      </c>
      <c r="D591" s="7" t="s">
        <v>726</v>
      </c>
      <c r="E591" s="7">
        <v>1</v>
      </c>
    </row>
    <row r="592" spans="1:5" x14ac:dyDescent="0.45">
      <c r="A592" s="6">
        <v>44736</v>
      </c>
      <c r="B592" s="7" t="str">
        <f t="shared" si="19"/>
        <v>June</v>
      </c>
      <c r="C592" s="7">
        <v>2022</v>
      </c>
      <c r="D592" s="7" t="s">
        <v>726</v>
      </c>
      <c r="E592" s="7">
        <v>3</v>
      </c>
    </row>
    <row r="593" spans="1:5" x14ac:dyDescent="0.45">
      <c r="A593" s="6">
        <v>44739</v>
      </c>
      <c r="B593" s="7" t="str">
        <f t="shared" si="19"/>
        <v>June</v>
      </c>
      <c r="C593" s="7">
        <v>2022</v>
      </c>
      <c r="D593" s="7" t="s">
        <v>728</v>
      </c>
      <c r="E593" s="7">
        <v>1</v>
      </c>
    </row>
    <row r="594" spans="1:5" x14ac:dyDescent="0.45">
      <c r="A594" s="6">
        <v>44740</v>
      </c>
      <c r="B594" s="7" t="str">
        <f t="shared" si="19"/>
        <v>June</v>
      </c>
      <c r="C594" s="7">
        <v>2022</v>
      </c>
      <c r="D594" s="7" t="s">
        <v>727</v>
      </c>
      <c r="E594" s="7">
        <v>2</v>
      </c>
    </row>
    <row r="595" spans="1:5" x14ac:dyDescent="0.45">
      <c r="A595" s="6">
        <v>44740</v>
      </c>
      <c r="B595" s="7" t="str">
        <f t="shared" si="19"/>
        <v>June</v>
      </c>
      <c r="C595" s="7">
        <v>2022</v>
      </c>
      <c r="D595" s="7" t="s">
        <v>729</v>
      </c>
      <c r="E595" s="7">
        <v>3</v>
      </c>
    </row>
    <row r="596" spans="1:5" x14ac:dyDescent="0.45">
      <c r="A596" s="6">
        <v>44742</v>
      </c>
      <c r="B596" s="7" t="str">
        <f t="shared" si="19"/>
        <v>June</v>
      </c>
      <c r="C596" s="7">
        <v>2022</v>
      </c>
      <c r="D596" s="7" t="s">
        <v>726</v>
      </c>
      <c r="E596" s="7">
        <v>4</v>
      </c>
    </row>
    <row r="597" spans="1:5" x14ac:dyDescent="0.45">
      <c r="A597" s="6">
        <v>44744</v>
      </c>
      <c r="B597" s="7" t="str">
        <f t="shared" si="19"/>
        <v>July</v>
      </c>
      <c r="C597" s="7">
        <v>2022</v>
      </c>
      <c r="D597" s="7" t="s">
        <v>727</v>
      </c>
      <c r="E597" s="7">
        <v>3</v>
      </c>
    </row>
    <row r="598" spans="1:5" x14ac:dyDescent="0.45">
      <c r="A598" s="6">
        <v>44744</v>
      </c>
      <c r="B598" s="7" t="str">
        <f t="shared" si="19"/>
        <v>July</v>
      </c>
      <c r="C598" s="7">
        <v>2022</v>
      </c>
      <c r="D598" s="7" t="s">
        <v>726</v>
      </c>
      <c r="E598" s="7">
        <v>2</v>
      </c>
    </row>
    <row r="599" spans="1:5" x14ac:dyDescent="0.45">
      <c r="A599" s="6">
        <v>44746</v>
      </c>
      <c r="B599" s="7" t="str">
        <f t="shared" si="19"/>
        <v>July</v>
      </c>
      <c r="C599" s="7">
        <v>2022</v>
      </c>
      <c r="D599" s="7" t="s">
        <v>727</v>
      </c>
      <c r="E599" s="7">
        <v>3</v>
      </c>
    </row>
    <row r="600" spans="1:5" x14ac:dyDescent="0.45">
      <c r="A600" s="6">
        <v>44748</v>
      </c>
      <c r="B600" s="7" t="str">
        <f t="shared" si="19"/>
        <v>July</v>
      </c>
      <c r="C600" s="7">
        <v>2022</v>
      </c>
      <c r="D600" s="7" t="s">
        <v>727</v>
      </c>
      <c r="E600" s="7">
        <v>2</v>
      </c>
    </row>
    <row r="601" spans="1:5" x14ac:dyDescent="0.45">
      <c r="A601" s="6">
        <v>44749</v>
      </c>
      <c r="B601" s="7" t="str">
        <f t="shared" si="19"/>
        <v>July</v>
      </c>
      <c r="C601" s="7">
        <v>2022</v>
      </c>
      <c r="D601" s="7" t="s">
        <v>726</v>
      </c>
      <c r="E601" s="7">
        <v>5</v>
      </c>
    </row>
    <row r="602" spans="1:5" x14ac:dyDescent="0.45">
      <c r="A602" s="6">
        <v>44751</v>
      </c>
      <c r="B602" s="7" t="str">
        <f t="shared" si="19"/>
        <v>July</v>
      </c>
      <c r="C602" s="7">
        <v>2022</v>
      </c>
      <c r="D602" s="7" t="s">
        <v>726</v>
      </c>
      <c r="E602" s="7">
        <v>2</v>
      </c>
    </row>
    <row r="603" spans="1:5" x14ac:dyDescent="0.45">
      <c r="A603" s="6">
        <v>44753</v>
      </c>
      <c r="B603" s="7" t="str">
        <f t="shared" si="19"/>
        <v>July</v>
      </c>
      <c r="C603" s="7">
        <v>2022</v>
      </c>
      <c r="D603" s="7" t="s">
        <v>726</v>
      </c>
      <c r="E603" s="7">
        <v>4</v>
      </c>
    </row>
    <row r="604" spans="1:5" x14ac:dyDescent="0.45">
      <c r="A604" s="6">
        <v>44753</v>
      </c>
      <c r="B604" s="7" t="str">
        <f t="shared" si="19"/>
        <v>July</v>
      </c>
      <c r="C604" s="7">
        <v>2022</v>
      </c>
      <c r="D604" s="7" t="s">
        <v>728</v>
      </c>
      <c r="E604" s="7">
        <v>4</v>
      </c>
    </row>
    <row r="605" spans="1:5" x14ac:dyDescent="0.45">
      <c r="A605" s="6">
        <v>44754</v>
      </c>
      <c r="B605" s="7" t="str">
        <f t="shared" si="19"/>
        <v>July</v>
      </c>
      <c r="C605" s="7">
        <v>2022</v>
      </c>
      <c r="D605" s="7" t="s">
        <v>729</v>
      </c>
      <c r="E605" s="7">
        <v>7</v>
      </c>
    </row>
    <row r="606" spans="1:5" x14ac:dyDescent="0.45">
      <c r="A606" s="6">
        <v>44754</v>
      </c>
      <c r="B606" s="7" t="str">
        <f t="shared" si="19"/>
        <v>July</v>
      </c>
      <c r="C606" s="7">
        <v>2022</v>
      </c>
      <c r="D606" s="7" t="s">
        <v>726</v>
      </c>
      <c r="E606" s="7">
        <v>2</v>
      </c>
    </row>
    <row r="607" spans="1:5" x14ac:dyDescent="0.45">
      <c r="A607" s="6">
        <v>44755</v>
      </c>
      <c r="B607" s="7" t="str">
        <f t="shared" si="19"/>
        <v>July</v>
      </c>
      <c r="C607" s="7">
        <v>2022</v>
      </c>
      <c r="D607" s="7" t="s">
        <v>728</v>
      </c>
      <c r="E607" s="7">
        <v>2</v>
      </c>
    </row>
    <row r="608" spans="1:5" x14ac:dyDescent="0.45">
      <c r="A608" s="6">
        <v>44757</v>
      </c>
      <c r="B608" s="7" t="str">
        <f t="shared" si="19"/>
        <v>July</v>
      </c>
      <c r="C608" s="7">
        <v>2022</v>
      </c>
      <c r="D608" s="7" t="s">
        <v>727</v>
      </c>
      <c r="E608" s="7">
        <v>4</v>
      </c>
    </row>
    <row r="609" spans="1:5" x14ac:dyDescent="0.45">
      <c r="A609" s="6">
        <v>44761</v>
      </c>
      <c r="B609" s="7" t="str">
        <f t="shared" si="19"/>
        <v>July</v>
      </c>
      <c r="C609" s="7">
        <v>2022</v>
      </c>
      <c r="D609" s="7" t="s">
        <v>726</v>
      </c>
      <c r="E609" s="7">
        <v>5</v>
      </c>
    </row>
    <row r="610" spans="1:5" x14ac:dyDescent="0.45">
      <c r="A610" s="6">
        <v>44765</v>
      </c>
      <c r="B610" s="7" t="str">
        <f t="shared" si="19"/>
        <v>July</v>
      </c>
      <c r="C610" s="7">
        <v>2022</v>
      </c>
      <c r="D610" s="7" t="s">
        <v>726</v>
      </c>
      <c r="E610" s="7">
        <v>4</v>
      </c>
    </row>
    <row r="611" spans="1:5" x14ac:dyDescent="0.45">
      <c r="A611" s="6">
        <v>44766</v>
      </c>
      <c r="B611" s="7" t="str">
        <f t="shared" si="19"/>
        <v>July</v>
      </c>
      <c r="C611" s="7">
        <v>2022</v>
      </c>
      <c r="D611" s="7" t="s">
        <v>727</v>
      </c>
      <c r="E611" s="7">
        <v>5</v>
      </c>
    </row>
    <row r="612" spans="1:5" x14ac:dyDescent="0.45">
      <c r="A612" s="6">
        <v>44769</v>
      </c>
      <c r="B612" s="7" t="str">
        <f t="shared" si="19"/>
        <v>July</v>
      </c>
      <c r="C612" s="7">
        <v>2022</v>
      </c>
      <c r="D612" s="7" t="s">
        <v>727</v>
      </c>
      <c r="E612" s="7">
        <v>7</v>
      </c>
    </row>
    <row r="613" spans="1:5" x14ac:dyDescent="0.45">
      <c r="A613" s="6">
        <v>44771</v>
      </c>
      <c r="B613" s="7" t="str">
        <f t="shared" si="19"/>
        <v>July</v>
      </c>
      <c r="C613" s="7">
        <v>2022</v>
      </c>
      <c r="D613" s="7" t="s">
        <v>728</v>
      </c>
      <c r="E613" s="7">
        <v>5</v>
      </c>
    </row>
    <row r="614" spans="1:5" x14ac:dyDescent="0.45">
      <c r="A614" s="6">
        <v>44773</v>
      </c>
      <c r="B614" s="7" t="str">
        <f t="shared" si="19"/>
        <v>July</v>
      </c>
      <c r="C614" s="7">
        <v>2022</v>
      </c>
      <c r="D614" s="7" t="s">
        <v>726</v>
      </c>
      <c r="E614" s="7">
        <v>4</v>
      </c>
    </row>
    <row r="615" spans="1:5" x14ac:dyDescent="0.45">
      <c r="A615" s="6">
        <v>44775</v>
      </c>
      <c r="B615" s="7" t="str">
        <f t="shared" si="19"/>
        <v>August</v>
      </c>
      <c r="C615" s="7">
        <v>2022</v>
      </c>
      <c r="D615" s="7" t="s">
        <v>727</v>
      </c>
      <c r="E615" s="7">
        <v>1</v>
      </c>
    </row>
    <row r="616" spans="1:5" x14ac:dyDescent="0.45">
      <c r="A616" s="6">
        <v>44776</v>
      </c>
      <c r="B616" s="7" t="str">
        <f t="shared" si="19"/>
        <v>August</v>
      </c>
      <c r="C616" s="7">
        <v>2022</v>
      </c>
      <c r="D616" s="7" t="s">
        <v>726</v>
      </c>
      <c r="E616" s="7">
        <v>4</v>
      </c>
    </row>
    <row r="617" spans="1:5" x14ac:dyDescent="0.45">
      <c r="A617" s="6">
        <v>44777</v>
      </c>
      <c r="B617" s="7" t="str">
        <f t="shared" si="19"/>
        <v>August</v>
      </c>
      <c r="C617" s="7">
        <v>2022</v>
      </c>
      <c r="D617" s="7" t="s">
        <v>727</v>
      </c>
      <c r="E617" s="7">
        <v>4</v>
      </c>
    </row>
    <row r="618" spans="1:5" x14ac:dyDescent="0.45">
      <c r="A618" s="6">
        <v>44777</v>
      </c>
      <c r="B618" s="7" t="str">
        <f t="shared" si="19"/>
        <v>August</v>
      </c>
      <c r="C618" s="7">
        <v>2022</v>
      </c>
      <c r="D618" s="7" t="s">
        <v>726</v>
      </c>
      <c r="E618" s="7">
        <v>4</v>
      </c>
    </row>
    <row r="619" spans="1:5" x14ac:dyDescent="0.45">
      <c r="A619" s="6">
        <v>44779</v>
      </c>
      <c r="B619" s="7" t="str">
        <f t="shared" si="19"/>
        <v>August</v>
      </c>
      <c r="C619" s="7">
        <v>2022</v>
      </c>
      <c r="D619" s="7" t="s">
        <v>726</v>
      </c>
      <c r="E619" s="7">
        <v>5</v>
      </c>
    </row>
    <row r="620" spans="1:5" x14ac:dyDescent="0.45">
      <c r="A620" s="6">
        <v>44781</v>
      </c>
      <c r="B620" s="7" t="str">
        <f t="shared" si="19"/>
        <v>August</v>
      </c>
      <c r="C620" s="7">
        <v>2022</v>
      </c>
      <c r="D620" s="7" t="s">
        <v>726</v>
      </c>
      <c r="E620" s="7">
        <v>3</v>
      </c>
    </row>
    <row r="621" spans="1:5" x14ac:dyDescent="0.45">
      <c r="A621" s="6">
        <v>44782</v>
      </c>
      <c r="B621" s="7" t="str">
        <f t="shared" si="19"/>
        <v>August</v>
      </c>
      <c r="C621" s="7">
        <v>2022</v>
      </c>
      <c r="D621" s="7" t="s">
        <v>728</v>
      </c>
      <c r="E621" s="7">
        <v>3</v>
      </c>
    </row>
    <row r="622" spans="1:5" x14ac:dyDescent="0.45">
      <c r="A622" s="6">
        <v>44783</v>
      </c>
      <c r="B622" s="7" t="str">
        <f t="shared" si="19"/>
        <v>August</v>
      </c>
      <c r="C622" s="7">
        <v>2022</v>
      </c>
      <c r="D622" s="7" t="s">
        <v>726</v>
      </c>
      <c r="E622" s="7">
        <v>1</v>
      </c>
    </row>
    <row r="623" spans="1:5" x14ac:dyDescent="0.45">
      <c r="A623" s="6">
        <v>44783</v>
      </c>
      <c r="B623" s="7" t="str">
        <f t="shared" si="19"/>
        <v>August</v>
      </c>
      <c r="C623" s="7">
        <v>2022</v>
      </c>
      <c r="D623" s="7" t="s">
        <v>728</v>
      </c>
      <c r="E623" s="7">
        <v>5</v>
      </c>
    </row>
    <row r="624" spans="1:5" x14ac:dyDescent="0.45">
      <c r="A624" s="6">
        <v>44784</v>
      </c>
      <c r="B624" s="7" t="str">
        <f t="shared" si="19"/>
        <v>August</v>
      </c>
      <c r="C624" s="7">
        <v>2022</v>
      </c>
      <c r="D624" s="7" t="s">
        <v>726</v>
      </c>
      <c r="E624" s="7">
        <v>1</v>
      </c>
    </row>
    <row r="625" spans="1:5" x14ac:dyDescent="0.45">
      <c r="A625" s="6">
        <v>44786</v>
      </c>
      <c r="B625" s="7" t="str">
        <f t="shared" si="19"/>
        <v>August</v>
      </c>
      <c r="C625" s="7">
        <v>2022</v>
      </c>
      <c r="D625" s="7" t="s">
        <v>727</v>
      </c>
      <c r="E625" s="7">
        <v>1</v>
      </c>
    </row>
    <row r="626" spans="1:5" x14ac:dyDescent="0.45">
      <c r="A626" s="6">
        <v>44787</v>
      </c>
      <c r="B626" s="7" t="str">
        <f t="shared" si="19"/>
        <v>August</v>
      </c>
      <c r="C626" s="7">
        <v>2022</v>
      </c>
      <c r="D626" s="7" t="s">
        <v>727</v>
      </c>
      <c r="E626" s="7">
        <v>4</v>
      </c>
    </row>
    <row r="627" spans="1:5" x14ac:dyDescent="0.45">
      <c r="A627" s="6">
        <v>44787</v>
      </c>
      <c r="B627" s="7" t="str">
        <f t="shared" si="19"/>
        <v>August</v>
      </c>
      <c r="C627" s="7">
        <v>2022</v>
      </c>
      <c r="D627" s="7" t="s">
        <v>726</v>
      </c>
      <c r="E627" s="7">
        <v>4</v>
      </c>
    </row>
    <row r="628" spans="1:5" x14ac:dyDescent="0.45">
      <c r="A628" s="6">
        <v>44787</v>
      </c>
      <c r="B628" s="7" t="str">
        <f t="shared" si="19"/>
        <v>August</v>
      </c>
      <c r="C628" s="7">
        <v>2022</v>
      </c>
      <c r="D628" s="7" t="s">
        <v>726</v>
      </c>
      <c r="E628" s="7">
        <v>4</v>
      </c>
    </row>
    <row r="629" spans="1:5" x14ac:dyDescent="0.45">
      <c r="A629" s="6">
        <v>44792</v>
      </c>
      <c r="B629" s="7" t="str">
        <f t="shared" si="19"/>
        <v>August</v>
      </c>
      <c r="C629" s="7">
        <v>2022</v>
      </c>
      <c r="D629" s="7" t="s">
        <v>726</v>
      </c>
      <c r="E629" s="7">
        <v>4</v>
      </c>
    </row>
    <row r="630" spans="1:5" x14ac:dyDescent="0.45">
      <c r="A630" s="6">
        <v>44793</v>
      </c>
      <c r="B630" s="7" t="str">
        <f t="shared" si="19"/>
        <v>August</v>
      </c>
      <c r="C630" s="7">
        <v>2022</v>
      </c>
      <c r="D630" s="7" t="s">
        <v>728</v>
      </c>
      <c r="E630" s="7">
        <v>5</v>
      </c>
    </row>
    <row r="631" spans="1:5" x14ac:dyDescent="0.45">
      <c r="A631" s="6">
        <v>44794</v>
      </c>
      <c r="B631" s="7" t="str">
        <f t="shared" si="19"/>
        <v>August</v>
      </c>
      <c r="C631" s="7">
        <v>2022</v>
      </c>
      <c r="D631" s="7" t="s">
        <v>726</v>
      </c>
      <c r="E631" s="7">
        <v>4</v>
      </c>
    </row>
    <row r="632" spans="1:5" x14ac:dyDescent="0.45">
      <c r="A632" s="6">
        <v>44795</v>
      </c>
      <c r="B632" s="7" t="str">
        <f t="shared" si="19"/>
        <v>August</v>
      </c>
      <c r="C632" s="7">
        <v>2022</v>
      </c>
      <c r="D632" s="7" t="s">
        <v>729</v>
      </c>
      <c r="E632" s="7">
        <v>3</v>
      </c>
    </row>
    <row r="633" spans="1:5" x14ac:dyDescent="0.45">
      <c r="A633" s="6">
        <v>44802</v>
      </c>
      <c r="B633" s="7" t="str">
        <f t="shared" si="19"/>
        <v>August</v>
      </c>
      <c r="C633" s="7">
        <v>2022</v>
      </c>
      <c r="D633" s="7" t="s">
        <v>727</v>
      </c>
      <c r="E633" s="7">
        <v>4</v>
      </c>
    </row>
    <row r="634" spans="1:5" x14ac:dyDescent="0.45">
      <c r="A634" s="6">
        <v>44805</v>
      </c>
      <c r="B634" s="7" t="str">
        <f t="shared" si="19"/>
        <v>September</v>
      </c>
      <c r="C634" s="7">
        <v>2022</v>
      </c>
      <c r="D634" s="7" t="s">
        <v>726</v>
      </c>
      <c r="E634" s="7">
        <v>3</v>
      </c>
    </row>
    <row r="635" spans="1:5" x14ac:dyDescent="0.45">
      <c r="A635" s="6">
        <v>44807</v>
      </c>
      <c r="B635" s="7" t="str">
        <f t="shared" si="19"/>
        <v>September</v>
      </c>
      <c r="C635" s="7">
        <v>2022</v>
      </c>
      <c r="D635" s="7" t="s">
        <v>727</v>
      </c>
      <c r="E635" s="7">
        <v>2</v>
      </c>
    </row>
    <row r="636" spans="1:5" x14ac:dyDescent="0.45">
      <c r="A636" s="6">
        <v>44808</v>
      </c>
      <c r="B636" s="7" t="str">
        <f t="shared" si="19"/>
        <v>September</v>
      </c>
      <c r="C636" s="7">
        <v>2022</v>
      </c>
      <c r="D636" s="7" t="s">
        <v>726</v>
      </c>
      <c r="E636" s="7">
        <v>3</v>
      </c>
    </row>
    <row r="637" spans="1:5" x14ac:dyDescent="0.45">
      <c r="A637" s="6">
        <v>44809</v>
      </c>
      <c r="B637" s="7" t="str">
        <f t="shared" si="19"/>
        <v>September</v>
      </c>
      <c r="C637" s="7">
        <v>2022</v>
      </c>
      <c r="D637" s="7" t="s">
        <v>727</v>
      </c>
      <c r="E637" s="7">
        <v>3</v>
      </c>
    </row>
    <row r="638" spans="1:5" x14ac:dyDescent="0.45">
      <c r="A638" s="6">
        <v>44810</v>
      </c>
      <c r="B638" s="7" t="str">
        <f t="shared" si="19"/>
        <v>September</v>
      </c>
      <c r="C638" s="7">
        <v>2022</v>
      </c>
      <c r="D638" s="7" t="s">
        <v>727</v>
      </c>
      <c r="E638" s="7">
        <v>2</v>
      </c>
    </row>
    <row r="639" spans="1:5" x14ac:dyDescent="0.45">
      <c r="A639" s="6">
        <v>44810</v>
      </c>
      <c r="B639" s="7" t="str">
        <f t="shared" si="19"/>
        <v>September</v>
      </c>
      <c r="C639" s="7">
        <v>2022</v>
      </c>
      <c r="D639" s="7" t="s">
        <v>729</v>
      </c>
      <c r="E639" s="7">
        <v>3</v>
      </c>
    </row>
    <row r="640" spans="1:5" x14ac:dyDescent="0.45">
      <c r="A640" s="6">
        <v>44810</v>
      </c>
      <c r="B640" s="7" t="str">
        <f t="shared" si="19"/>
        <v>September</v>
      </c>
      <c r="C640" s="7">
        <v>2022</v>
      </c>
      <c r="D640" s="7" t="s">
        <v>726</v>
      </c>
      <c r="E640" s="7">
        <v>2</v>
      </c>
    </row>
    <row r="641" spans="1:5" x14ac:dyDescent="0.45">
      <c r="A641" s="6">
        <v>44811</v>
      </c>
      <c r="B641" s="7" t="str">
        <f t="shared" si="19"/>
        <v>September</v>
      </c>
      <c r="C641" s="7">
        <v>2022</v>
      </c>
      <c r="D641" s="7" t="s">
        <v>729</v>
      </c>
      <c r="E641" s="7">
        <v>4</v>
      </c>
    </row>
    <row r="642" spans="1:5" x14ac:dyDescent="0.45">
      <c r="A642" s="6">
        <v>44812</v>
      </c>
      <c r="B642" s="7" t="str">
        <f t="shared" si="19"/>
        <v>September</v>
      </c>
      <c r="C642" s="7">
        <v>2022</v>
      </c>
      <c r="D642" s="7" t="s">
        <v>727</v>
      </c>
      <c r="E642" s="7">
        <v>5</v>
      </c>
    </row>
    <row r="643" spans="1:5" x14ac:dyDescent="0.45">
      <c r="A643" s="6">
        <v>44814</v>
      </c>
      <c r="B643" s="7" t="str">
        <f t="shared" ref="B643:B706" si="20">TEXT(A643,"MMMM")</f>
        <v>September</v>
      </c>
      <c r="C643" s="7">
        <v>2022</v>
      </c>
      <c r="D643" s="7" t="s">
        <v>726</v>
      </c>
      <c r="E643" s="7">
        <v>2</v>
      </c>
    </row>
    <row r="644" spans="1:5" x14ac:dyDescent="0.45">
      <c r="A644" s="6">
        <v>44815</v>
      </c>
      <c r="B644" s="7" t="str">
        <f t="shared" si="20"/>
        <v>September</v>
      </c>
      <c r="C644" s="7">
        <v>2022</v>
      </c>
      <c r="D644" s="7" t="s">
        <v>727</v>
      </c>
      <c r="E644" s="7">
        <v>1</v>
      </c>
    </row>
    <row r="645" spans="1:5" x14ac:dyDescent="0.45">
      <c r="A645" s="6">
        <v>44817</v>
      </c>
      <c r="B645" s="7" t="str">
        <f t="shared" si="20"/>
        <v>September</v>
      </c>
      <c r="C645" s="7">
        <v>2022</v>
      </c>
      <c r="D645" s="7" t="s">
        <v>726</v>
      </c>
      <c r="E645" s="7">
        <v>2</v>
      </c>
    </row>
    <row r="646" spans="1:5" x14ac:dyDescent="0.45">
      <c r="A646" s="6">
        <v>44818</v>
      </c>
      <c r="B646" s="7" t="str">
        <f t="shared" si="20"/>
        <v>September</v>
      </c>
      <c r="C646" s="7">
        <v>2022</v>
      </c>
      <c r="D646" s="7" t="s">
        <v>726</v>
      </c>
      <c r="E646" s="7">
        <v>5</v>
      </c>
    </row>
    <row r="647" spans="1:5" x14ac:dyDescent="0.45">
      <c r="A647" s="6">
        <v>44820</v>
      </c>
      <c r="B647" s="7" t="str">
        <f t="shared" si="20"/>
        <v>September</v>
      </c>
      <c r="C647" s="7">
        <v>2022</v>
      </c>
      <c r="D647" s="7" t="s">
        <v>726</v>
      </c>
      <c r="E647" s="7">
        <v>4</v>
      </c>
    </row>
    <row r="648" spans="1:5" x14ac:dyDescent="0.45">
      <c r="A648" s="6">
        <v>44821</v>
      </c>
      <c r="B648" s="7" t="str">
        <f t="shared" si="20"/>
        <v>September</v>
      </c>
      <c r="C648" s="7">
        <v>2022</v>
      </c>
      <c r="D648" s="7" t="s">
        <v>727</v>
      </c>
      <c r="E648" s="7">
        <v>2</v>
      </c>
    </row>
    <row r="649" spans="1:5" x14ac:dyDescent="0.45">
      <c r="A649" s="6">
        <v>44823</v>
      </c>
      <c r="B649" s="7" t="str">
        <f t="shared" si="20"/>
        <v>September</v>
      </c>
      <c r="C649" s="7">
        <v>2022</v>
      </c>
      <c r="D649" s="7" t="s">
        <v>727</v>
      </c>
      <c r="E649" s="7">
        <v>4</v>
      </c>
    </row>
    <row r="650" spans="1:5" x14ac:dyDescent="0.45">
      <c r="A650" s="6">
        <v>44823</v>
      </c>
      <c r="B650" s="7" t="str">
        <f t="shared" si="20"/>
        <v>September</v>
      </c>
      <c r="C650" s="7">
        <v>2022</v>
      </c>
      <c r="D650" s="7" t="s">
        <v>729</v>
      </c>
      <c r="E650" s="7">
        <v>4</v>
      </c>
    </row>
    <row r="651" spans="1:5" x14ac:dyDescent="0.45">
      <c r="A651" s="6">
        <v>44823</v>
      </c>
      <c r="B651" s="7" t="str">
        <f t="shared" si="20"/>
        <v>September</v>
      </c>
      <c r="C651" s="7">
        <v>2022</v>
      </c>
      <c r="D651" s="7" t="s">
        <v>726</v>
      </c>
      <c r="E651" s="7">
        <v>3</v>
      </c>
    </row>
    <row r="652" spans="1:5" x14ac:dyDescent="0.45">
      <c r="A652" s="6">
        <v>44824</v>
      </c>
      <c r="B652" s="7" t="str">
        <f t="shared" si="20"/>
        <v>September</v>
      </c>
      <c r="C652" s="7">
        <v>2022</v>
      </c>
      <c r="D652" s="7" t="s">
        <v>726</v>
      </c>
      <c r="E652" s="7">
        <v>1</v>
      </c>
    </row>
    <row r="653" spans="1:5" x14ac:dyDescent="0.45">
      <c r="A653" s="6">
        <v>44824</v>
      </c>
      <c r="B653" s="7" t="str">
        <f t="shared" si="20"/>
        <v>September</v>
      </c>
      <c r="C653" s="7">
        <v>2022</v>
      </c>
      <c r="D653" s="7" t="s">
        <v>728</v>
      </c>
      <c r="E653" s="7">
        <v>2</v>
      </c>
    </row>
    <row r="654" spans="1:5" x14ac:dyDescent="0.45">
      <c r="A654" s="6">
        <v>44832</v>
      </c>
      <c r="B654" s="7" t="str">
        <f t="shared" si="20"/>
        <v>September</v>
      </c>
      <c r="C654" s="7">
        <v>2022</v>
      </c>
      <c r="D654" s="7" t="s">
        <v>726</v>
      </c>
      <c r="E654" s="7">
        <v>5</v>
      </c>
    </row>
    <row r="655" spans="1:5" x14ac:dyDescent="0.45">
      <c r="A655" s="6">
        <v>44837</v>
      </c>
      <c r="B655" s="7" t="str">
        <f t="shared" si="20"/>
        <v>October</v>
      </c>
      <c r="C655" s="7">
        <v>2022</v>
      </c>
      <c r="D655" s="7" t="s">
        <v>728</v>
      </c>
      <c r="E655" s="7">
        <v>3</v>
      </c>
    </row>
    <row r="656" spans="1:5" x14ac:dyDescent="0.45">
      <c r="A656" s="6">
        <v>44839</v>
      </c>
      <c r="B656" s="7" t="str">
        <f t="shared" si="20"/>
        <v>October</v>
      </c>
      <c r="C656" s="7">
        <v>2022</v>
      </c>
      <c r="D656" s="7" t="s">
        <v>729</v>
      </c>
      <c r="E656" s="7">
        <v>5</v>
      </c>
    </row>
    <row r="657" spans="1:5" x14ac:dyDescent="0.45">
      <c r="A657" s="6">
        <v>44840</v>
      </c>
      <c r="B657" s="7" t="str">
        <f t="shared" si="20"/>
        <v>October</v>
      </c>
      <c r="C657" s="7">
        <v>2022</v>
      </c>
      <c r="D657" s="7" t="s">
        <v>727</v>
      </c>
      <c r="E657" s="7">
        <v>3</v>
      </c>
    </row>
    <row r="658" spans="1:5" x14ac:dyDescent="0.45">
      <c r="A658" s="6">
        <v>44840</v>
      </c>
      <c r="B658" s="7" t="str">
        <f t="shared" si="20"/>
        <v>October</v>
      </c>
      <c r="C658" s="7">
        <v>2022</v>
      </c>
      <c r="D658" s="7" t="s">
        <v>726</v>
      </c>
      <c r="E658" s="7">
        <v>3</v>
      </c>
    </row>
    <row r="659" spans="1:5" x14ac:dyDescent="0.45">
      <c r="A659" s="6">
        <v>44842</v>
      </c>
      <c r="B659" s="7" t="str">
        <f t="shared" si="20"/>
        <v>October</v>
      </c>
      <c r="C659" s="7">
        <v>2022</v>
      </c>
      <c r="D659" s="7" t="s">
        <v>726</v>
      </c>
      <c r="E659" s="7">
        <v>4</v>
      </c>
    </row>
    <row r="660" spans="1:5" x14ac:dyDescent="0.45">
      <c r="A660" s="6">
        <v>44844</v>
      </c>
      <c r="B660" s="7" t="str">
        <f t="shared" si="20"/>
        <v>October</v>
      </c>
      <c r="C660" s="7">
        <v>2022</v>
      </c>
      <c r="D660" s="7" t="s">
        <v>727</v>
      </c>
      <c r="E660" s="7">
        <v>2</v>
      </c>
    </row>
    <row r="661" spans="1:5" x14ac:dyDescent="0.45">
      <c r="A661" s="6">
        <v>44844</v>
      </c>
      <c r="B661" s="7" t="str">
        <f t="shared" si="20"/>
        <v>October</v>
      </c>
      <c r="C661" s="7">
        <v>2022</v>
      </c>
      <c r="D661" s="7" t="s">
        <v>726</v>
      </c>
      <c r="E661" s="7">
        <v>4</v>
      </c>
    </row>
    <row r="662" spans="1:5" x14ac:dyDescent="0.45">
      <c r="A662" s="6">
        <v>44848</v>
      </c>
      <c r="B662" s="7" t="str">
        <f t="shared" si="20"/>
        <v>October</v>
      </c>
      <c r="C662" s="7">
        <v>2022</v>
      </c>
      <c r="D662" s="7" t="s">
        <v>726</v>
      </c>
      <c r="E662" s="7">
        <v>2</v>
      </c>
    </row>
    <row r="663" spans="1:5" x14ac:dyDescent="0.45">
      <c r="A663" s="6">
        <v>44852</v>
      </c>
      <c r="B663" s="7" t="str">
        <f t="shared" si="20"/>
        <v>October</v>
      </c>
      <c r="C663" s="7">
        <v>2022</v>
      </c>
      <c r="D663" s="7" t="s">
        <v>726</v>
      </c>
      <c r="E663" s="7">
        <v>4</v>
      </c>
    </row>
    <row r="664" spans="1:5" x14ac:dyDescent="0.45">
      <c r="A664" s="6">
        <v>44853</v>
      </c>
      <c r="B664" s="7" t="str">
        <f t="shared" si="20"/>
        <v>October</v>
      </c>
      <c r="C664" s="7">
        <v>2022</v>
      </c>
      <c r="D664" s="7" t="s">
        <v>727</v>
      </c>
      <c r="E664" s="7">
        <v>2</v>
      </c>
    </row>
    <row r="665" spans="1:5" x14ac:dyDescent="0.45">
      <c r="A665" s="6">
        <v>44855</v>
      </c>
      <c r="B665" s="7" t="str">
        <f t="shared" si="20"/>
        <v>October</v>
      </c>
      <c r="C665" s="7">
        <v>2022</v>
      </c>
      <c r="D665" s="7" t="s">
        <v>728</v>
      </c>
      <c r="E665" s="7">
        <v>1</v>
      </c>
    </row>
    <row r="666" spans="1:5" x14ac:dyDescent="0.45">
      <c r="A666" s="6">
        <v>44858</v>
      </c>
      <c r="B666" s="7" t="str">
        <f t="shared" si="20"/>
        <v>October</v>
      </c>
      <c r="C666" s="7">
        <v>2022</v>
      </c>
      <c r="D666" s="7" t="s">
        <v>727</v>
      </c>
      <c r="E666" s="7">
        <v>5</v>
      </c>
    </row>
    <row r="667" spans="1:5" x14ac:dyDescent="0.45">
      <c r="A667" s="6">
        <v>44858</v>
      </c>
      <c r="B667" s="7" t="str">
        <f t="shared" si="20"/>
        <v>October</v>
      </c>
      <c r="C667" s="7">
        <v>2022</v>
      </c>
      <c r="D667" s="7" t="s">
        <v>726</v>
      </c>
      <c r="E667" s="7">
        <v>1</v>
      </c>
    </row>
    <row r="668" spans="1:5" x14ac:dyDescent="0.45">
      <c r="A668" s="6">
        <v>44859</v>
      </c>
      <c r="B668" s="7" t="str">
        <f t="shared" si="20"/>
        <v>October</v>
      </c>
      <c r="C668" s="7">
        <v>2022</v>
      </c>
      <c r="D668" s="7" t="s">
        <v>726</v>
      </c>
      <c r="E668" s="7">
        <v>4</v>
      </c>
    </row>
    <row r="669" spans="1:5" x14ac:dyDescent="0.45">
      <c r="A669" s="6">
        <v>44863</v>
      </c>
      <c r="B669" s="7" t="str">
        <f t="shared" si="20"/>
        <v>October</v>
      </c>
      <c r="C669" s="7">
        <v>2022</v>
      </c>
      <c r="D669" s="7" t="s">
        <v>726</v>
      </c>
      <c r="E669" s="7">
        <v>4</v>
      </c>
    </row>
    <row r="670" spans="1:5" x14ac:dyDescent="0.45">
      <c r="A670" s="6">
        <v>44865</v>
      </c>
      <c r="B670" s="7" t="str">
        <f t="shared" si="20"/>
        <v>October</v>
      </c>
      <c r="C670" s="7">
        <v>2022</v>
      </c>
      <c r="D670" s="7" t="s">
        <v>729</v>
      </c>
      <c r="E670" s="7">
        <v>1</v>
      </c>
    </row>
    <row r="671" spans="1:5" x14ac:dyDescent="0.45">
      <c r="A671" s="6">
        <v>44865</v>
      </c>
      <c r="B671" s="7" t="str">
        <f t="shared" si="20"/>
        <v>October</v>
      </c>
      <c r="C671" s="7">
        <v>2022</v>
      </c>
      <c r="D671" s="7" t="s">
        <v>726</v>
      </c>
      <c r="E671" s="7">
        <v>4</v>
      </c>
    </row>
    <row r="672" spans="1:5" x14ac:dyDescent="0.45">
      <c r="A672" s="6">
        <v>44866</v>
      </c>
      <c r="B672" s="7" t="str">
        <f t="shared" si="20"/>
        <v>November</v>
      </c>
      <c r="C672" s="7">
        <v>2022</v>
      </c>
      <c r="D672" s="7" t="s">
        <v>726</v>
      </c>
      <c r="E672" s="7">
        <v>1</v>
      </c>
    </row>
    <row r="673" spans="1:5" x14ac:dyDescent="0.45">
      <c r="A673" s="6">
        <v>44866</v>
      </c>
      <c r="B673" s="7" t="str">
        <f t="shared" si="20"/>
        <v>November</v>
      </c>
      <c r="C673" s="7">
        <v>2022</v>
      </c>
      <c r="D673" s="7" t="s">
        <v>729</v>
      </c>
      <c r="E673" s="7">
        <v>2</v>
      </c>
    </row>
    <row r="674" spans="1:5" x14ac:dyDescent="0.45">
      <c r="A674" s="6">
        <v>44868</v>
      </c>
      <c r="B674" s="7" t="str">
        <f t="shared" si="20"/>
        <v>November</v>
      </c>
      <c r="C674" s="7">
        <v>2022</v>
      </c>
      <c r="D674" s="7" t="s">
        <v>729</v>
      </c>
      <c r="E674" s="7">
        <v>2</v>
      </c>
    </row>
    <row r="675" spans="1:5" x14ac:dyDescent="0.45">
      <c r="A675" s="6">
        <v>44870</v>
      </c>
      <c r="B675" s="7" t="str">
        <f t="shared" si="20"/>
        <v>November</v>
      </c>
      <c r="C675" s="7">
        <v>2022</v>
      </c>
      <c r="D675" s="7" t="s">
        <v>726</v>
      </c>
      <c r="E675" s="7">
        <v>4</v>
      </c>
    </row>
    <row r="676" spans="1:5" x14ac:dyDescent="0.45">
      <c r="A676" s="6">
        <v>44872</v>
      </c>
      <c r="B676" s="7" t="str">
        <f t="shared" si="20"/>
        <v>November</v>
      </c>
      <c r="C676" s="7">
        <v>2022</v>
      </c>
      <c r="D676" s="7" t="s">
        <v>726</v>
      </c>
      <c r="E676" s="7">
        <v>2</v>
      </c>
    </row>
    <row r="677" spans="1:5" x14ac:dyDescent="0.45">
      <c r="A677" s="6">
        <v>44873</v>
      </c>
      <c r="B677" s="7" t="str">
        <f t="shared" si="20"/>
        <v>November</v>
      </c>
      <c r="C677" s="7">
        <v>2022</v>
      </c>
      <c r="D677" s="7" t="s">
        <v>727</v>
      </c>
      <c r="E677" s="7">
        <v>5</v>
      </c>
    </row>
    <row r="678" spans="1:5" x14ac:dyDescent="0.45">
      <c r="A678" s="6">
        <v>44873</v>
      </c>
      <c r="B678" s="7" t="str">
        <f t="shared" si="20"/>
        <v>November</v>
      </c>
      <c r="C678" s="7">
        <v>2022</v>
      </c>
      <c r="D678" s="7" t="s">
        <v>728</v>
      </c>
      <c r="E678" s="7">
        <v>6</v>
      </c>
    </row>
    <row r="679" spans="1:5" x14ac:dyDescent="0.45">
      <c r="A679" s="6">
        <v>44874</v>
      </c>
      <c r="B679" s="7" t="str">
        <f t="shared" si="20"/>
        <v>November</v>
      </c>
      <c r="C679" s="7">
        <v>2022</v>
      </c>
      <c r="D679" s="7" t="s">
        <v>728</v>
      </c>
      <c r="E679" s="7">
        <v>4</v>
      </c>
    </row>
    <row r="680" spans="1:5" x14ac:dyDescent="0.45">
      <c r="A680" s="6">
        <v>44877</v>
      </c>
      <c r="B680" s="7" t="str">
        <f t="shared" si="20"/>
        <v>November</v>
      </c>
      <c r="C680" s="7">
        <v>2022</v>
      </c>
      <c r="D680" s="7" t="s">
        <v>728</v>
      </c>
      <c r="E680" s="7">
        <v>1</v>
      </c>
    </row>
    <row r="681" spans="1:5" x14ac:dyDescent="0.45">
      <c r="A681" s="6">
        <v>44880</v>
      </c>
      <c r="B681" s="7" t="str">
        <f t="shared" si="20"/>
        <v>November</v>
      </c>
      <c r="C681" s="7">
        <v>2022</v>
      </c>
      <c r="D681" s="7" t="s">
        <v>726</v>
      </c>
      <c r="E681" s="7">
        <v>1</v>
      </c>
    </row>
    <row r="682" spans="1:5" x14ac:dyDescent="0.45">
      <c r="A682" s="6">
        <v>44882</v>
      </c>
      <c r="B682" s="7" t="str">
        <f t="shared" si="20"/>
        <v>November</v>
      </c>
      <c r="C682" s="7">
        <v>2022</v>
      </c>
      <c r="D682" s="7" t="s">
        <v>729</v>
      </c>
      <c r="E682" s="7">
        <v>5</v>
      </c>
    </row>
    <row r="683" spans="1:5" x14ac:dyDescent="0.45">
      <c r="A683" s="6">
        <v>44885</v>
      </c>
      <c r="B683" s="7" t="str">
        <f t="shared" si="20"/>
        <v>November</v>
      </c>
      <c r="C683" s="7">
        <v>2022</v>
      </c>
      <c r="D683" s="7" t="s">
        <v>727</v>
      </c>
      <c r="E683" s="7">
        <v>1</v>
      </c>
    </row>
    <row r="684" spans="1:5" x14ac:dyDescent="0.45">
      <c r="A684" s="6">
        <v>44885</v>
      </c>
      <c r="B684" s="7" t="str">
        <f t="shared" si="20"/>
        <v>November</v>
      </c>
      <c r="C684" s="7">
        <v>2022</v>
      </c>
      <c r="D684" s="7" t="s">
        <v>726</v>
      </c>
      <c r="E684" s="7">
        <v>2</v>
      </c>
    </row>
    <row r="685" spans="1:5" x14ac:dyDescent="0.45">
      <c r="A685" s="6">
        <v>44886</v>
      </c>
      <c r="B685" s="7" t="str">
        <f t="shared" si="20"/>
        <v>November</v>
      </c>
      <c r="C685" s="7">
        <v>2022</v>
      </c>
      <c r="D685" s="7" t="s">
        <v>727</v>
      </c>
      <c r="E685" s="7">
        <v>2</v>
      </c>
    </row>
    <row r="686" spans="1:5" x14ac:dyDescent="0.45">
      <c r="A686" s="6">
        <v>44888</v>
      </c>
      <c r="B686" s="7" t="str">
        <f t="shared" si="20"/>
        <v>November</v>
      </c>
      <c r="C686" s="7">
        <v>2022</v>
      </c>
      <c r="D686" s="7" t="s">
        <v>726</v>
      </c>
      <c r="E686" s="7">
        <v>5</v>
      </c>
    </row>
    <row r="687" spans="1:5" x14ac:dyDescent="0.45">
      <c r="A687" s="6">
        <v>44890</v>
      </c>
      <c r="B687" s="7" t="str">
        <f t="shared" si="20"/>
        <v>November</v>
      </c>
      <c r="C687" s="7">
        <v>2022</v>
      </c>
      <c r="D687" s="7" t="s">
        <v>726</v>
      </c>
      <c r="E687" s="7">
        <v>5</v>
      </c>
    </row>
    <row r="688" spans="1:5" x14ac:dyDescent="0.45">
      <c r="A688" s="6">
        <v>44891</v>
      </c>
      <c r="B688" s="7" t="str">
        <f t="shared" si="20"/>
        <v>November</v>
      </c>
      <c r="C688" s="7">
        <v>2022</v>
      </c>
      <c r="D688" s="7" t="s">
        <v>726</v>
      </c>
      <c r="E688" s="7">
        <v>3</v>
      </c>
    </row>
    <row r="689" spans="1:5" x14ac:dyDescent="0.45">
      <c r="A689" s="6">
        <v>44893</v>
      </c>
      <c r="B689" s="7" t="str">
        <f t="shared" si="20"/>
        <v>November</v>
      </c>
      <c r="C689" s="7">
        <v>2022</v>
      </c>
      <c r="D689" s="7" t="s">
        <v>728</v>
      </c>
      <c r="E689" s="7">
        <v>5</v>
      </c>
    </row>
    <row r="690" spans="1:5" x14ac:dyDescent="0.45">
      <c r="A690" s="6">
        <v>44893</v>
      </c>
      <c r="B690" s="7" t="str">
        <f t="shared" si="20"/>
        <v>November</v>
      </c>
      <c r="C690" s="7">
        <v>2022</v>
      </c>
      <c r="D690" s="7" t="s">
        <v>726</v>
      </c>
      <c r="E690" s="7">
        <v>3</v>
      </c>
    </row>
    <row r="691" spans="1:5" x14ac:dyDescent="0.45">
      <c r="A691" s="6">
        <v>44897</v>
      </c>
      <c r="B691" s="7" t="str">
        <f t="shared" si="20"/>
        <v>December</v>
      </c>
      <c r="C691" s="7">
        <v>2022</v>
      </c>
      <c r="D691" s="7" t="s">
        <v>727</v>
      </c>
      <c r="E691" s="7">
        <v>3</v>
      </c>
    </row>
    <row r="692" spans="1:5" x14ac:dyDescent="0.45">
      <c r="A692" s="6">
        <v>44897</v>
      </c>
      <c r="B692" s="7" t="str">
        <f t="shared" si="20"/>
        <v>December</v>
      </c>
      <c r="C692" s="7">
        <v>2022</v>
      </c>
      <c r="D692" s="7" t="s">
        <v>726</v>
      </c>
      <c r="E692" s="7">
        <v>5</v>
      </c>
    </row>
    <row r="693" spans="1:5" x14ac:dyDescent="0.45">
      <c r="A693" s="6">
        <v>44899</v>
      </c>
      <c r="B693" s="7" t="str">
        <f t="shared" si="20"/>
        <v>December</v>
      </c>
      <c r="C693" s="7">
        <v>2022</v>
      </c>
      <c r="D693" s="7" t="s">
        <v>727</v>
      </c>
      <c r="E693" s="7">
        <v>4</v>
      </c>
    </row>
    <row r="694" spans="1:5" x14ac:dyDescent="0.45">
      <c r="A694" s="6">
        <v>44905</v>
      </c>
      <c r="B694" s="7" t="str">
        <f t="shared" si="20"/>
        <v>December</v>
      </c>
      <c r="C694" s="7">
        <v>2022</v>
      </c>
      <c r="D694" s="7" t="s">
        <v>727</v>
      </c>
      <c r="E694" s="7">
        <v>2</v>
      </c>
    </row>
    <row r="695" spans="1:5" x14ac:dyDescent="0.45">
      <c r="A695" s="6">
        <v>44906</v>
      </c>
      <c r="B695" s="7" t="str">
        <f t="shared" si="20"/>
        <v>December</v>
      </c>
      <c r="C695" s="7">
        <v>2022</v>
      </c>
      <c r="D695" s="7" t="s">
        <v>726</v>
      </c>
      <c r="E695" s="7">
        <v>5</v>
      </c>
    </row>
    <row r="696" spans="1:5" x14ac:dyDescent="0.45">
      <c r="A696" s="6">
        <v>44908</v>
      </c>
      <c r="B696" s="7" t="str">
        <f t="shared" si="20"/>
        <v>December</v>
      </c>
      <c r="C696" s="7">
        <v>2022</v>
      </c>
      <c r="D696" s="7" t="s">
        <v>726</v>
      </c>
      <c r="E696" s="7">
        <v>3</v>
      </c>
    </row>
    <row r="697" spans="1:5" x14ac:dyDescent="0.45">
      <c r="A697" s="6">
        <v>44910</v>
      </c>
      <c r="B697" s="7" t="str">
        <f t="shared" si="20"/>
        <v>December</v>
      </c>
      <c r="C697" s="7">
        <v>2022</v>
      </c>
      <c r="D697" s="7" t="s">
        <v>728</v>
      </c>
      <c r="E697" s="7">
        <v>2</v>
      </c>
    </row>
    <row r="698" spans="1:5" x14ac:dyDescent="0.45">
      <c r="A698" s="6">
        <v>44911</v>
      </c>
      <c r="B698" s="7" t="str">
        <f t="shared" si="20"/>
        <v>December</v>
      </c>
      <c r="C698" s="7">
        <v>2022</v>
      </c>
      <c r="D698" s="7" t="s">
        <v>726</v>
      </c>
      <c r="E698" s="7">
        <v>1</v>
      </c>
    </row>
    <row r="699" spans="1:5" x14ac:dyDescent="0.45">
      <c r="A699" s="6">
        <v>44913</v>
      </c>
      <c r="B699" s="7" t="str">
        <f t="shared" si="20"/>
        <v>December</v>
      </c>
      <c r="C699" s="7">
        <v>2022</v>
      </c>
      <c r="D699" s="7" t="s">
        <v>729</v>
      </c>
      <c r="E699" s="7">
        <v>1</v>
      </c>
    </row>
    <row r="700" spans="1:5" x14ac:dyDescent="0.45">
      <c r="A700" s="6">
        <v>44914</v>
      </c>
      <c r="B700" s="7" t="str">
        <f t="shared" si="20"/>
        <v>December</v>
      </c>
      <c r="C700" s="7">
        <v>2022</v>
      </c>
      <c r="D700" s="7" t="s">
        <v>727</v>
      </c>
      <c r="E700" s="7">
        <v>4</v>
      </c>
    </row>
    <row r="701" spans="1:5" x14ac:dyDescent="0.45">
      <c r="A701" s="6">
        <v>44915</v>
      </c>
      <c r="B701" s="7" t="str">
        <f t="shared" si="20"/>
        <v>December</v>
      </c>
      <c r="C701" s="7">
        <v>2022</v>
      </c>
      <c r="D701" s="7" t="s">
        <v>727</v>
      </c>
      <c r="E701" s="7">
        <v>1</v>
      </c>
    </row>
    <row r="702" spans="1:5" x14ac:dyDescent="0.45">
      <c r="A702" s="6">
        <v>44915</v>
      </c>
      <c r="B702" s="7" t="str">
        <f t="shared" si="20"/>
        <v>December</v>
      </c>
      <c r="C702" s="7">
        <v>2022</v>
      </c>
      <c r="D702" s="7" t="s">
        <v>726</v>
      </c>
      <c r="E702" s="7">
        <v>2</v>
      </c>
    </row>
    <row r="703" spans="1:5" x14ac:dyDescent="0.45">
      <c r="A703" s="6">
        <v>44916</v>
      </c>
      <c r="B703" s="7" t="str">
        <f t="shared" si="20"/>
        <v>December</v>
      </c>
      <c r="C703" s="7">
        <v>2022</v>
      </c>
      <c r="D703" s="7" t="s">
        <v>726</v>
      </c>
      <c r="E703" s="7">
        <v>5</v>
      </c>
    </row>
    <row r="704" spans="1:5" x14ac:dyDescent="0.45">
      <c r="A704" s="6">
        <v>44919</v>
      </c>
      <c r="B704" s="7" t="str">
        <f t="shared" si="20"/>
        <v>December</v>
      </c>
      <c r="C704" s="7">
        <v>2022</v>
      </c>
      <c r="D704" s="7" t="s">
        <v>729</v>
      </c>
      <c r="E704" s="7">
        <v>2</v>
      </c>
    </row>
    <row r="705" spans="1:5" x14ac:dyDescent="0.45">
      <c r="A705" s="6">
        <v>44920</v>
      </c>
      <c r="B705" s="7" t="str">
        <f t="shared" si="20"/>
        <v>December</v>
      </c>
      <c r="C705" s="7">
        <v>2022</v>
      </c>
      <c r="D705" s="7" t="s">
        <v>727</v>
      </c>
      <c r="E705" s="7">
        <v>1</v>
      </c>
    </row>
    <row r="706" spans="1:5" x14ac:dyDescent="0.45">
      <c r="A706" s="6">
        <v>44920</v>
      </c>
      <c r="B706" s="7" t="str">
        <f t="shared" si="20"/>
        <v>December</v>
      </c>
      <c r="C706" s="7">
        <v>2022</v>
      </c>
      <c r="D706" s="7" t="s">
        <v>728</v>
      </c>
      <c r="E706" s="7">
        <v>2</v>
      </c>
    </row>
    <row r="707" spans="1:5" x14ac:dyDescent="0.45">
      <c r="A707" s="6">
        <v>44926</v>
      </c>
      <c r="B707" s="7" t="str">
        <f t="shared" ref="B707:B770" si="21">TEXT(A707,"MMMM")</f>
        <v>December</v>
      </c>
      <c r="C707" s="7">
        <v>2022</v>
      </c>
      <c r="D707" s="7" t="s">
        <v>726</v>
      </c>
      <c r="E707" s="7">
        <v>5</v>
      </c>
    </row>
    <row r="708" spans="1:5" x14ac:dyDescent="0.45">
      <c r="A708" s="6">
        <v>44927</v>
      </c>
      <c r="B708" s="7" t="str">
        <f t="shared" si="21"/>
        <v>January</v>
      </c>
      <c r="C708" s="7">
        <v>2023</v>
      </c>
      <c r="D708" s="7" t="s">
        <v>726</v>
      </c>
      <c r="E708" s="7">
        <v>1</v>
      </c>
    </row>
    <row r="709" spans="1:5" x14ac:dyDescent="0.45">
      <c r="A709" s="6">
        <v>44929</v>
      </c>
      <c r="B709" s="7" t="str">
        <f t="shared" si="21"/>
        <v>January</v>
      </c>
      <c r="C709" s="7">
        <v>2023</v>
      </c>
      <c r="D709" s="7" t="s">
        <v>726</v>
      </c>
      <c r="E709" s="7">
        <v>3</v>
      </c>
    </row>
    <row r="710" spans="1:5" x14ac:dyDescent="0.45">
      <c r="A710" s="6">
        <v>44930</v>
      </c>
      <c r="B710" s="7" t="str">
        <f t="shared" si="21"/>
        <v>January</v>
      </c>
      <c r="C710" s="7">
        <v>2023</v>
      </c>
      <c r="D710" s="7" t="s">
        <v>726</v>
      </c>
      <c r="E710" s="7">
        <v>2</v>
      </c>
    </row>
    <row r="711" spans="1:5" x14ac:dyDescent="0.45">
      <c r="A711" s="6">
        <v>44931</v>
      </c>
      <c r="B711" s="7" t="str">
        <f t="shared" si="21"/>
        <v>January</v>
      </c>
      <c r="C711" s="7">
        <v>2023</v>
      </c>
      <c r="D711" s="7" t="s">
        <v>727</v>
      </c>
      <c r="E711" s="7">
        <v>4</v>
      </c>
    </row>
    <row r="712" spans="1:5" x14ac:dyDescent="0.45">
      <c r="A712" s="6">
        <v>44931</v>
      </c>
      <c r="B712" s="7" t="str">
        <f t="shared" si="21"/>
        <v>January</v>
      </c>
      <c r="C712" s="7">
        <v>2023</v>
      </c>
      <c r="D712" s="7" t="s">
        <v>726</v>
      </c>
      <c r="E712" s="7">
        <v>1</v>
      </c>
    </row>
    <row r="713" spans="1:5" x14ac:dyDescent="0.45">
      <c r="A713" s="6">
        <v>44932</v>
      </c>
      <c r="B713" s="7" t="str">
        <f t="shared" si="21"/>
        <v>January</v>
      </c>
      <c r="C713" s="7">
        <v>2023</v>
      </c>
      <c r="D713" s="7" t="s">
        <v>727</v>
      </c>
      <c r="E713" s="7">
        <v>5</v>
      </c>
    </row>
    <row r="714" spans="1:5" x14ac:dyDescent="0.45">
      <c r="A714" s="6">
        <v>44933</v>
      </c>
      <c r="B714" s="7" t="str">
        <f t="shared" si="21"/>
        <v>January</v>
      </c>
      <c r="C714" s="7">
        <v>2023</v>
      </c>
      <c r="D714" s="7" t="s">
        <v>729</v>
      </c>
      <c r="E714" s="7">
        <v>4</v>
      </c>
    </row>
    <row r="715" spans="1:5" x14ac:dyDescent="0.45">
      <c r="A715" s="6">
        <v>44934</v>
      </c>
      <c r="B715" s="7" t="str">
        <f t="shared" si="21"/>
        <v>January</v>
      </c>
      <c r="C715" s="7">
        <v>2023</v>
      </c>
      <c r="D715" s="7" t="s">
        <v>726</v>
      </c>
      <c r="E715" s="7">
        <v>4</v>
      </c>
    </row>
    <row r="716" spans="1:5" x14ac:dyDescent="0.45">
      <c r="A716" s="6">
        <v>44934</v>
      </c>
      <c r="B716" s="7" t="str">
        <f t="shared" si="21"/>
        <v>January</v>
      </c>
      <c r="C716" s="7">
        <v>2023</v>
      </c>
      <c r="D716" s="7" t="s">
        <v>726</v>
      </c>
      <c r="E716" s="7">
        <v>3</v>
      </c>
    </row>
    <row r="717" spans="1:5" x14ac:dyDescent="0.45">
      <c r="A717" s="6">
        <v>44936</v>
      </c>
      <c r="B717" s="7" t="str">
        <f t="shared" si="21"/>
        <v>January</v>
      </c>
      <c r="C717" s="7">
        <v>2023</v>
      </c>
      <c r="D717" s="7" t="s">
        <v>726</v>
      </c>
      <c r="E717" s="7">
        <v>1</v>
      </c>
    </row>
    <row r="718" spans="1:5" x14ac:dyDescent="0.45">
      <c r="A718" s="6">
        <v>44937</v>
      </c>
      <c r="B718" s="7" t="str">
        <f t="shared" si="21"/>
        <v>January</v>
      </c>
      <c r="C718" s="7">
        <v>2023</v>
      </c>
      <c r="D718" s="7" t="s">
        <v>726</v>
      </c>
      <c r="E718" s="7">
        <v>5</v>
      </c>
    </row>
    <row r="719" spans="1:5" x14ac:dyDescent="0.45">
      <c r="A719" s="6">
        <v>44939</v>
      </c>
      <c r="B719" s="7" t="str">
        <f t="shared" si="21"/>
        <v>January</v>
      </c>
      <c r="C719" s="7">
        <v>2023</v>
      </c>
      <c r="D719" s="7" t="s">
        <v>726</v>
      </c>
      <c r="E719" s="7">
        <v>4</v>
      </c>
    </row>
    <row r="720" spans="1:5" x14ac:dyDescent="0.45">
      <c r="A720" s="6">
        <v>44939</v>
      </c>
      <c r="B720" s="7" t="str">
        <f t="shared" si="21"/>
        <v>January</v>
      </c>
      <c r="C720" s="7">
        <v>2023</v>
      </c>
      <c r="D720" s="7" t="s">
        <v>726</v>
      </c>
      <c r="E720" s="7">
        <v>3</v>
      </c>
    </row>
    <row r="721" spans="1:5" x14ac:dyDescent="0.45">
      <c r="A721" s="6">
        <v>44940</v>
      </c>
      <c r="B721" s="7" t="str">
        <f t="shared" si="21"/>
        <v>January</v>
      </c>
      <c r="C721" s="7">
        <v>2023</v>
      </c>
      <c r="D721" s="7" t="s">
        <v>726</v>
      </c>
      <c r="E721" s="7">
        <v>3</v>
      </c>
    </row>
    <row r="722" spans="1:5" x14ac:dyDescent="0.45">
      <c r="A722" s="6">
        <v>44941</v>
      </c>
      <c r="B722" s="7" t="str">
        <f t="shared" si="21"/>
        <v>January</v>
      </c>
      <c r="C722" s="7">
        <v>2023</v>
      </c>
      <c r="D722" s="7" t="s">
        <v>726</v>
      </c>
      <c r="E722" s="7">
        <v>5</v>
      </c>
    </row>
    <row r="723" spans="1:5" x14ac:dyDescent="0.45">
      <c r="A723" s="6">
        <v>44944</v>
      </c>
      <c r="B723" s="7" t="str">
        <f t="shared" si="21"/>
        <v>January</v>
      </c>
      <c r="C723" s="7">
        <v>2023</v>
      </c>
      <c r="D723" s="7" t="s">
        <v>727</v>
      </c>
      <c r="E723" s="7">
        <v>5</v>
      </c>
    </row>
    <row r="724" spans="1:5" x14ac:dyDescent="0.45">
      <c r="A724" s="6">
        <v>44947</v>
      </c>
      <c r="B724" s="7" t="str">
        <f t="shared" si="21"/>
        <v>January</v>
      </c>
      <c r="C724" s="7">
        <v>2023</v>
      </c>
      <c r="D724" s="7" t="s">
        <v>726</v>
      </c>
      <c r="E724" s="7">
        <v>2</v>
      </c>
    </row>
    <row r="725" spans="1:5" x14ac:dyDescent="0.45">
      <c r="A725" s="6">
        <v>44948</v>
      </c>
      <c r="B725" s="7" t="str">
        <f t="shared" si="21"/>
        <v>January</v>
      </c>
      <c r="C725" s="7">
        <v>2023</v>
      </c>
      <c r="D725" s="7" t="s">
        <v>729</v>
      </c>
      <c r="E725" s="7">
        <v>4</v>
      </c>
    </row>
    <row r="726" spans="1:5" x14ac:dyDescent="0.45">
      <c r="A726" s="6">
        <v>44951</v>
      </c>
      <c r="B726" s="7" t="str">
        <f t="shared" si="21"/>
        <v>January</v>
      </c>
      <c r="C726" s="7">
        <v>2023</v>
      </c>
      <c r="D726" s="7" t="s">
        <v>727</v>
      </c>
      <c r="E726" s="7">
        <v>1</v>
      </c>
    </row>
    <row r="727" spans="1:5" x14ac:dyDescent="0.45">
      <c r="A727" s="6">
        <v>44954</v>
      </c>
      <c r="B727" s="7" t="str">
        <f t="shared" si="21"/>
        <v>January</v>
      </c>
      <c r="C727" s="7">
        <v>2023</v>
      </c>
      <c r="D727" s="7" t="s">
        <v>728</v>
      </c>
      <c r="E727" s="7">
        <v>1</v>
      </c>
    </row>
    <row r="728" spans="1:5" x14ac:dyDescent="0.45">
      <c r="A728" s="6">
        <v>44954</v>
      </c>
      <c r="B728" s="7" t="str">
        <f t="shared" si="21"/>
        <v>January</v>
      </c>
      <c r="C728" s="7">
        <v>2023</v>
      </c>
      <c r="D728" s="7" t="s">
        <v>726</v>
      </c>
      <c r="E728" s="7">
        <v>2</v>
      </c>
    </row>
    <row r="729" spans="1:5" x14ac:dyDescent="0.45">
      <c r="A729" s="6">
        <v>44959</v>
      </c>
      <c r="B729" s="7" t="str">
        <f t="shared" si="21"/>
        <v>February</v>
      </c>
      <c r="C729" s="7">
        <v>2023</v>
      </c>
      <c r="D729" s="7" t="s">
        <v>727</v>
      </c>
      <c r="E729" s="7">
        <v>4</v>
      </c>
    </row>
    <row r="730" spans="1:5" x14ac:dyDescent="0.45">
      <c r="A730" s="6">
        <v>44963</v>
      </c>
      <c r="B730" s="7" t="str">
        <f t="shared" si="21"/>
        <v>February</v>
      </c>
      <c r="C730" s="7">
        <v>2023</v>
      </c>
      <c r="D730" s="7" t="s">
        <v>726</v>
      </c>
      <c r="E730" s="7">
        <v>1</v>
      </c>
    </row>
    <row r="731" spans="1:5" x14ac:dyDescent="0.45">
      <c r="A731" s="6">
        <v>44963</v>
      </c>
      <c r="B731" s="7" t="str">
        <f t="shared" si="21"/>
        <v>February</v>
      </c>
      <c r="C731" s="7">
        <v>2023</v>
      </c>
      <c r="D731" s="7" t="s">
        <v>726</v>
      </c>
      <c r="E731" s="7">
        <v>2</v>
      </c>
    </row>
    <row r="732" spans="1:5" x14ac:dyDescent="0.45">
      <c r="A732" s="6">
        <v>44964</v>
      </c>
      <c r="B732" s="7" t="str">
        <f t="shared" si="21"/>
        <v>February</v>
      </c>
      <c r="C732" s="7">
        <v>2023</v>
      </c>
      <c r="D732" s="7" t="s">
        <v>726</v>
      </c>
      <c r="E732" s="7">
        <v>5</v>
      </c>
    </row>
    <row r="733" spans="1:5" x14ac:dyDescent="0.45">
      <c r="A733" s="6">
        <v>44968</v>
      </c>
      <c r="B733" s="7" t="str">
        <f t="shared" si="21"/>
        <v>February</v>
      </c>
      <c r="C733" s="7">
        <v>2023</v>
      </c>
      <c r="D733" s="7" t="s">
        <v>728</v>
      </c>
      <c r="E733" s="7">
        <v>3</v>
      </c>
    </row>
    <row r="734" spans="1:5" x14ac:dyDescent="0.45">
      <c r="A734" s="6">
        <v>44972</v>
      </c>
      <c r="B734" s="7" t="str">
        <f t="shared" si="21"/>
        <v>February</v>
      </c>
      <c r="C734" s="7">
        <v>2023</v>
      </c>
      <c r="D734" s="7" t="s">
        <v>728</v>
      </c>
      <c r="E734" s="7">
        <v>1</v>
      </c>
    </row>
    <row r="735" spans="1:5" x14ac:dyDescent="0.45">
      <c r="A735" s="6">
        <v>44973</v>
      </c>
      <c r="B735" s="7" t="str">
        <f t="shared" si="21"/>
        <v>February</v>
      </c>
      <c r="C735" s="7">
        <v>2023</v>
      </c>
      <c r="D735" s="7" t="s">
        <v>726</v>
      </c>
      <c r="E735" s="7">
        <v>1</v>
      </c>
    </row>
    <row r="736" spans="1:5" x14ac:dyDescent="0.45">
      <c r="A736" s="6">
        <v>44977</v>
      </c>
      <c r="B736" s="7" t="str">
        <f t="shared" si="21"/>
        <v>February</v>
      </c>
      <c r="C736" s="7">
        <v>2023</v>
      </c>
      <c r="D736" s="7" t="s">
        <v>728</v>
      </c>
      <c r="E736" s="7">
        <v>4</v>
      </c>
    </row>
    <row r="737" spans="1:5" x14ac:dyDescent="0.45">
      <c r="A737" s="6">
        <v>44978</v>
      </c>
      <c r="B737" s="7" t="str">
        <f t="shared" si="21"/>
        <v>February</v>
      </c>
      <c r="C737" s="7">
        <v>2023</v>
      </c>
      <c r="D737" s="7" t="s">
        <v>726</v>
      </c>
      <c r="E737" s="7">
        <v>1</v>
      </c>
    </row>
    <row r="738" spans="1:5" x14ac:dyDescent="0.45">
      <c r="A738" s="6">
        <v>44979</v>
      </c>
      <c r="B738" s="7" t="str">
        <f t="shared" si="21"/>
        <v>February</v>
      </c>
      <c r="C738" s="7">
        <v>2023</v>
      </c>
      <c r="D738" s="7" t="s">
        <v>726</v>
      </c>
      <c r="E738" s="7">
        <v>3</v>
      </c>
    </row>
    <row r="739" spans="1:5" x14ac:dyDescent="0.45">
      <c r="A739" s="6">
        <v>44979</v>
      </c>
      <c r="B739" s="7" t="str">
        <f t="shared" si="21"/>
        <v>February</v>
      </c>
      <c r="C739" s="7">
        <v>2023</v>
      </c>
      <c r="D739" s="7" t="s">
        <v>726</v>
      </c>
      <c r="E739" s="7">
        <v>4</v>
      </c>
    </row>
    <row r="740" spans="1:5" x14ac:dyDescent="0.45">
      <c r="A740" s="6">
        <v>44981</v>
      </c>
      <c r="B740" s="7" t="str">
        <f t="shared" si="21"/>
        <v>February</v>
      </c>
      <c r="C740" s="7">
        <v>2023</v>
      </c>
      <c r="D740" s="7" t="s">
        <v>726</v>
      </c>
      <c r="E740" s="7">
        <v>4</v>
      </c>
    </row>
    <row r="741" spans="1:5" x14ac:dyDescent="0.45">
      <c r="A741" s="6">
        <v>44989</v>
      </c>
      <c r="B741" s="7" t="str">
        <f t="shared" si="21"/>
        <v>March</v>
      </c>
      <c r="C741" s="7">
        <v>2023</v>
      </c>
      <c r="D741" s="7" t="s">
        <v>727</v>
      </c>
      <c r="E741" s="7">
        <v>1</v>
      </c>
    </row>
    <row r="742" spans="1:5" x14ac:dyDescent="0.45">
      <c r="A742" s="6">
        <v>44990</v>
      </c>
      <c r="B742" s="7" t="str">
        <f t="shared" si="21"/>
        <v>March</v>
      </c>
      <c r="C742" s="7">
        <v>2023</v>
      </c>
      <c r="D742" s="7" t="s">
        <v>729</v>
      </c>
      <c r="E742" s="7">
        <v>5</v>
      </c>
    </row>
    <row r="743" spans="1:5" x14ac:dyDescent="0.45">
      <c r="A743" s="6">
        <v>44993</v>
      </c>
      <c r="B743" s="7" t="str">
        <f t="shared" si="21"/>
        <v>March</v>
      </c>
      <c r="C743" s="7">
        <v>2023</v>
      </c>
      <c r="D743" s="7" t="s">
        <v>726</v>
      </c>
      <c r="E743" s="7">
        <v>2</v>
      </c>
    </row>
    <row r="744" spans="1:5" x14ac:dyDescent="0.45">
      <c r="A744" s="6">
        <v>44995</v>
      </c>
      <c r="B744" s="7" t="str">
        <f t="shared" si="21"/>
        <v>March</v>
      </c>
      <c r="C744" s="7">
        <v>2023</v>
      </c>
      <c r="D744" s="7" t="s">
        <v>726</v>
      </c>
      <c r="E744" s="7">
        <v>3</v>
      </c>
    </row>
    <row r="745" spans="1:5" x14ac:dyDescent="0.45">
      <c r="A745" s="6">
        <v>44995</v>
      </c>
      <c r="B745" s="7" t="str">
        <f t="shared" si="21"/>
        <v>March</v>
      </c>
      <c r="C745" s="7">
        <v>2023</v>
      </c>
      <c r="D745" s="7" t="s">
        <v>726</v>
      </c>
      <c r="E745" s="7">
        <v>4</v>
      </c>
    </row>
    <row r="746" spans="1:5" x14ac:dyDescent="0.45">
      <c r="A746" s="6">
        <v>44995</v>
      </c>
      <c r="B746" s="7" t="str">
        <f t="shared" si="21"/>
        <v>March</v>
      </c>
      <c r="C746" s="7">
        <v>2023</v>
      </c>
      <c r="D746" s="7" t="s">
        <v>726</v>
      </c>
      <c r="E746" s="7">
        <v>1</v>
      </c>
    </row>
    <row r="747" spans="1:5" x14ac:dyDescent="0.45">
      <c r="A747" s="6">
        <v>44998</v>
      </c>
      <c r="B747" s="7" t="str">
        <f t="shared" si="21"/>
        <v>March</v>
      </c>
      <c r="C747" s="7">
        <v>2023</v>
      </c>
      <c r="D747" s="7" t="s">
        <v>727</v>
      </c>
      <c r="E747" s="7">
        <v>1</v>
      </c>
    </row>
    <row r="748" spans="1:5" x14ac:dyDescent="0.45">
      <c r="A748" s="6">
        <v>44998</v>
      </c>
      <c r="B748" s="7" t="str">
        <f t="shared" si="21"/>
        <v>March</v>
      </c>
      <c r="C748" s="7">
        <v>2023</v>
      </c>
      <c r="D748" s="7" t="s">
        <v>726</v>
      </c>
      <c r="E748" s="7">
        <v>3</v>
      </c>
    </row>
    <row r="749" spans="1:5" x14ac:dyDescent="0.45">
      <c r="A749" s="6">
        <v>44998</v>
      </c>
      <c r="B749" s="7" t="str">
        <f t="shared" si="21"/>
        <v>March</v>
      </c>
      <c r="C749" s="7">
        <v>2023</v>
      </c>
      <c r="D749" s="7" t="s">
        <v>726</v>
      </c>
      <c r="E749" s="7">
        <v>4</v>
      </c>
    </row>
    <row r="750" spans="1:5" x14ac:dyDescent="0.45">
      <c r="A750" s="6">
        <v>45001</v>
      </c>
      <c r="B750" s="7" t="str">
        <f t="shared" si="21"/>
        <v>March</v>
      </c>
      <c r="C750" s="7">
        <v>2023</v>
      </c>
      <c r="D750" s="7" t="s">
        <v>728</v>
      </c>
      <c r="E750" s="7">
        <v>3</v>
      </c>
    </row>
    <row r="751" spans="1:5" x14ac:dyDescent="0.45">
      <c r="A751" s="6">
        <v>45002</v>
      </c>
      <c r="B751" s="7" t="str">
        <f t="shared" si="21"/>
        <v>March</v>
      </c>
      <c r="C751" s="7">
        <v>2023</v>
      </c>
      <c r="D751" s="7" t="s">
        <v>726</v>
      </c>
      <c r="E751" s="7">
        <v>3</v>
      </c>
    </row>
    <row r="752" spans="1:5" x14ac:dyDescent="0.45">
      <c r="A752" s="6">
        <v>45004</v>
      </c>
      <c r="B752" s="7" t="str">
        <f t="shared" si="21"/>
        <v>March</v>
      </c>
      <c r="C752" s="7">
        <v>2023</v>
      </c>
      <c r="D752" s="7" t="s">
        <v>726</v>
      </c>
      <c r="E752" s="7">
        <v>5</v>
      </c>
    </row>
    <row r="753" spans="1:5" x14ac:dyDescent="0.45">
      <c r="A753" s="6">
        <v>45006</v>
      </c>
      <c r="B753" s="7" t="str">
        <f t="shared" si="21"/>
        <v>March</v>
      </c>
      <c r="C753" s="7">
        <v>2023</v>
      </c>
      <c r="D753" s="7" t="s">
        <v>726</v>
      </c>
      <c r="E753" s="7">
        <v>5</v>
      </c>
    </row>
    <row r="754" spans="1:5" x14ac:dyDescent="0.45">
      <c r="A754" s="6">
        <v>45008</v>
      </c>
      <c r="B754" s="7" t="str">
        <f t="shared" si="21"/>
        <v>March</v>
      </c>
      <c r="C754" s="7">
        <v>2023</v>
      </c>
      <c r="D754" s="7" t="s">
        <v>726</v>
      </c>
      <c r="E754" s="7">
        <v>5</v>
      </c>
    </row>
    <row r="755" spans="1:5" x14ac:dyDescent="0.45">
      <c r="A755" s="6">
        <v>45010</v>
      </c>
      <c r="B755" s="7" t="str">
        <f t="shared" si="21"/>
        <v>March</v>
      </c>
      <c r="C755" s="7">
        <v>2023</v>
      </c>
      <c r="D755" s="7" t="s">
        <v>726</v>
      </c>
      <c r="E755" s="7">
        <v>3</v>
      </c>
    </row>
    <row r="756" spans="1:5" x14ac:dyDescent="0.45">
      <c r="A756" s="6">
        <v>45011</v>
      </c>
      <c r="B756" s="7" t="str">
        <f t="shared" si="21"/>
        <v>March</v>
      </c>
      <c r="C756" s="7">
        <v>2023</v>
      </c>
      <c r="D756" s="7" t="s">
        <v>726</v>
      </c>
      <c r="E756" s="7">
        <v>3</v>
      </c>
    </row>
    <row r="757" spans="1:5" x14ac:dyDescent="0.45">
      <c r="A757" s="6">
        <v>45012</v>
      </c>
      <c r="B757" s="7" t="str">
        <f t="shared" si="21"/>
        <v>March</v>
      </c>
      <c r="C757" s="7">
        <v>2023</v>
      </c>
      <c r="D757" s="7" t="s">
        <v>726</v>
      </c>
      <c r="E757" s="7">
        <v>5</v>
      </c>
    </row>
    <row r="758" spans="1:5" x14ac:dyDescent="0.45">
      <c r="A758" s="6">
        <v>45014</v>
      </c>
      <c r="B758" s="7" t="str">
        <f t="shared" si="21"/>
        <v>March</v>
      </c>
      <c r="C758" s="7">
        <v>2023</v>
      </c>
      <c r="D758" s="7" t="s">
        <v>728</v>
      </c>
      <c r="E758" s="7">
        <v>5</v>
      </c>
    </row>
    <row r="759" spans="1:5" x14ac:dyDescent="0.45">
      <c r="A759" s="6">
        <v>45017</v>
      </c>
      <c r="B759" s="7" t="str">
        <f t="shared" si="21"/>
        <v>April</v>
      </c>
      <c r="C759" s="7">
        <v>2023</v>
      </c>
      <c r="D759" s="7" t="s">
        <v>729</v>
      </c>
      <c r="E759" s="7">
        <v>2</v>
      </c>
    </row>
    <row r="760" spans="1:5" x14ac:dyDescent="0.45">
      <c r="A760" s="6">
        <v>45017</v>
      </c>
      <c r="B760" s="7" t="str">
        <f t="shared" si="21"/>
        <v>April</v>
      </c>
      <c r="C760" s="7">
        <v>2023</v>
      </c>
      <c r="D760" s="7" t="s">
        <v>726</v>
      </c>
      <c r="E760" s="7">
        <v>5</v>
      </c>
    </row>
    <row r="761" spans="1:5" x14ac:dyDescent="0.45">
      <c r="A761" s="6">
        <v>45018</v>
      </c>
      <c r="B761" s="7" t="str">
        <f t="shared" si="21"/>
        <v>April</v>
      </c>
      <c r="C761" s="7">
        <v>2023</v>
      </c>
      <c r="D761" s="7" t="s">
        <v>726</v>
      </c>
      <c r="E761" s="7">
        <v>1</v>
      </c>
    </row>
    <row r="762" spans="1:5" x14ac:dyDescent="0.45">
      <c r="A762" s="6">
        <v>45019</v>
      </c>
      <c r="B762" s="7" t="str">
        <f t="shared" si="21"/>
        <v>April</v>
      </c>
      <c r="C762" s="7">
        <v>2023</v>
      </c>
      <c r="D762" s="7" t="s">
        <v>726</v>
      </c>
      <c r="E762" s="7">
        <v>1</v>
      </c>
    </row>
    <row r="763" spans="1:5" x14ac:dyDescent="0.45">
      <c r="A763" s="6">
        <v>45021</v>
      </c>
      <c r="B763" s="7" t="str">
        <f t="shared" si="21"/>
        <v>April</v>
      </c>
      <c r="C763" s="7">
        <v>2023</v>
      </c>
      <c r="D763" s="7" t="s">
        <v>728</v>
      </c>
      <c r="E763" s="7">
        <v>2</v>
      </c>
    </row>
    <row r="764" spans="1:5" x14ac:dyDescent="0.45">
      <c r="A764" s="6">
        <v>45021</v>
      </c>
      <c r="B764" s="7" t="str">
        <f t="shared" si="21"/>
        <v>April</v>
      </c>
      <c r="C764" s="7">
        <v>2023</v>
      </c>
      <c r="D764" s="7" t="s">
        <v>729</v>
      </c>
      <c r="E764" s="7">
        <v>1</v>
      </c>
    </row>
    <row r="765" spans="1:5" x14ac:dyDescent="0.45">
      <c r="A765" s="6">
        <v>45021</v>
      </c>
      <c r="B765" s="7" t="str">
        <f t="shared" si="21"/>
        <v>April</v>
      </c>
      <c r="C765" s="7">
        <v>2023</v>
      </c>
      <c r="D765" s="7" t="s">
        <v>726</v>
      </c>
      <c r="E765" s="7">
        <v>4</v>
      </c>
    </row>
    <row r="766" spans="1:5" x14ac:dyDescent="0.45">
      <c r="A766" s="6">
        <v>45022</v>
      </c>
      <c r="B766" s="7" t="str">
        <f t="shared" si="21"/>
        <v>April</v>
      </c>
      <c r="C766" s="7">
        <v>2023</v>
      </c>
      <c r="D766" s="7" t="s">
        <v>727</v>
      </c>
      <c r="E766" s="7">
        <v>1</v>
      </c>
    </row>
    <row r="767" spans="1:5" x14ac:dyDescent="0.45">
      <c r="A767" s="6">
        <v>45024</v>
      </c>
      <c r="B767" s="7" t="str">
        <f t="shared" si="21"/>
        <v>April</v>
      </c>
      <c r="C767" s="7">
        <v>2023</v>
      </c>
      <c r="D767" s="7" t="s">
        <v>726</v>
      </c>
      <c r="E767" s="7">
        <v>5</v>
      </c>
    </row>
    <row r="768" spans="1:5" x14ac:dyDescent="0.45">
      <c r="A768" s="6">
        <v>45024</v>
      </c>
      <c r="B768" s="7" t="str">
        <f t="shared" si="21"/>
        <v>April</v>
      </c>
      <c r="C768" s="7">
        <v>2023</v>
      </c>
      <c r="D768" s="7" t="s">
        <v>727</v>
      </c>
      <c r="E768" s="7">
        <v>5</v>
      </c>
    </row>
    <row r="769" spans="1:5" x14ac:dyDescent="0.45">
      <c r="A769" s="6">
        <v>45025</v>
      </c>
      <c r="B769" s="7" t="str">
        <f t="shared" si="21"/>
        <v>April</v>
      </c>
      <c r="C769" s="7">
        <v>2023</v>
      </c>
      <c r="D769" s="7" t="s">
        <v>729</v>
      </c>
      <c r="E769" s="7">
        <v>4</v>
      </c>
    </row>
    <row r="770" spans="1:5" x14ac:dyDescent="0.45">
      <c r="A770" s="6">
        <v>45030</v>
      </c>
      <c r="B770" s="7" t="str">
        <f t="shared" si="21"/>
        <v>April</v>
      </c>
      <c r="C770" s="7">
        <v>2023</v>
      </c>
      <c r="D770" s="7" t="s">
        <v>729</v>
      </c>
      <c r="E770" s="7">
        <v>2</v>
      </c>
    </row>
    <row r="771" spans="1:5" x14ac:dyDescent="0.45">
      <c r="A771" s="6">
        <v>45034</v>
      </c>
      <c r="B771" s="7" t="str">
        <f t="shared" ref="B771:B834" si="22">TEXT(A771,"MMMM")</f>
        <v>April</v>
      </c>
      <c r="C771" s="7">
        <v>2023</v>
      </c>
      <c r="D771" s="7" t="s">
        <v>726</v>
      </c>
      <c r="E771" s="7">
        <v>4</v>
      </c>
    </row>
    <row r="772" spans="1:5" x14ac:dyDescent="0.45">
      <c r="A772" s="6">
        <v>45036</v>
      </c>
      <c r="B772" s="7" t="str">
        <f t="shared" si="22"/>
        <v>April</v>
      </c>
      <c r="C772" s="7">
        <v>2023</v>
      </c>
      <c r="D772" s="7" t="s">
        <v>727</v>
      </c>
      <c r="E772" s="7">
        <v>4</v>
      </c>
    </row>
    <row r="773" spans="1:5" x14ac:dyDescent="0.45">
      <c r="A773" s="6">
        <v>45037</v>
      </c>
      <c r="B773" s="7" t="str">
        <f t="shared" si="22"/>
        <v>April</v>
      </c>
      <c r="C773" s="7">
        <v>2023</v>
      </c>
      <c r="D773" s="7" t="s">
        <v>727</v>
      </c>
      <c r="E773" s="7">
        <v>3</v>
      </c>
    </row>
    <row r="774" spans="1:5" x14ac:dyDescent="0.45">
      <c r="A774" s="6">
        <v>45039</v>
      </c>
      <c r="B774" s="7" t="str">
        <f t="shared" si="22"/>
        <v>April</v>
      </c>
      <c r="C774" s="7">
        <v>2023</v>
      </c>
      <c r="D774" s="7" t="s">
        <v>726</v>
      </c>
      <c r="E774" s="7">
        <v>5</v>
      </c>
    </row>
    <row r="775" spans="1:5" x14ac:dyDescent="0.45">
      <c r="A775" s="6">
        <v>45039</v>
      </c>
      <c r="B775" s="7" t="str">
        <f t="shared" si="22"/>
        <v>April</v>
      </c>
      <c r="C775" s="7">
        <v>2023</v>
      </c>
      <c r="D775" s="7" t="s">
        <v>728</v>
      </c>
      <c r="E775" s="7">
        <v>1</v>
      </c>
    </row>
    <row r="776" spans="1:5" x14ac:dyDescent="0.45">
      <c r="A776" s="6">
        <v>45040</v>
      </c>
      <c r="B776" s="7" t="str">
        <f t="shared" si="22"/>
        <v>April</v>
      </c>
      <c r="C776" s="7">
        <v>2023</v>
      </c>
      <c r="D776" s="7" t="s">
        <v>726</v>
      </c>
      <c r="E776" s="7">
        <v>4</v>
      </c>
    </row>
    <row r="777" spans="1:5" x14ac:dyDescent="0.45">
      <c r="A777" s="6">
        <v>45040</v>
      </c>
      <c r="B777" s="7" t="str">
        <f t="shared" si="22"/>
        <v>April</v>
      </c>
      <c r="C777" s="7">
        <v>2023</v>
      </c>
      <c r="D777" s="7" t="s">
        <v>728</v>
      </c>
      <c r="E777" s="7">
        <v>4</v>
      </c>
    </row>
    <row r="778" spans="1:5" x14ac:dyDescent="0.45">
      <c r="A778" s="6">
        <v>45042</v>
      </c>
      <c r="B778" s="7" t="str">
        <f t="shared" si="22"/>
        <v>April</v>
      </c>
      <c r="C778" s="7">
        <v>2023</v>
      </c>
      <c r="D778" s="7" t="s">
        <v>726</v>
      </c>
      <c r="E778" s="7">
        <v>3</v>
      </c>
    </row>
    <row r="779" spans="1:5" x14ac:dyDescent="0.45">
      <c r="A779" s="6">
        <v>45044</v>
      </c>
      <c r="B779" s="7" t="str">
        <f t="shared" si="22"/>
        <v>April</v>
      </c>
      <c r="C779" s="7">
        <v>2023</v>
      </c>
      <c r="D779" s="7" t="s">
        <v>727</v>
      </c>
      <c r="E779" s="7">
        <v>1</v>
      </c>
    </row>
    <row r="780" spans="1:5" x14ac:dyDescent="0.45">
      <c r="A780" s="6">
        <v>45044</v>
      </c>
      <c r="B780" s="7" t="str">
        <f t="shared" si="22"/>
        <v>April</v>
      </c>
      <c r="C780" s="7">
        <v>2023</v>
      </c>
      <c r="D780" s="7" t="s">
        <v>729</v>
      </c>
      <c r="E780" s="7">
        <v>5</v>
      </c>
    </row>
    <row r="781" spans="1:5" x14ac:dyDescent="0.45">
      <c r="A781" s="6">
        <v>45045</v>
      </c>
      <c r="B781" s="7" t="str">
        <f t="shared" si="22"/>
        <v>April</v>
      </c>
      <c r="C781" s="7">
        <v>2023</v>
      </c>
      <c r="D781" s="7" t="s">
        <v>727</v>
      </c>
      <c r="E781" s="7">
        <v>9</v>
      </c>
    </row>
    <row r="782" spans="1:5" x14ac:dyDescent="0.45">
      <c r="A782" s="6">
        <v>45047</v>
      </c>
      <c r="B782" s="7" t="str">
        <f t="shared" si="22"/>
        <v>May</v>
      </c>
      <c r="C782" s="7">
        <v>2023</v>
      </c>
      <c r="D782" s="7" t="s">
        <v>726</v>
      </c>
      <c r="E782" s="7">
        <v>4</v>
      </c>
    </row>
    <row r="783" spans="1:5" x14ac:dyDescent="0.45">
      <c r="A783" s="6">
        <v>45048</v>
      </c>
      <c r="B783" s="7" t="str">
        <f t="shared" si="22"/>
        <v>May</v>
      </c>
      <c r="C783" s="7">
        <v>2023</v>
      </c>
      <c r="D783" s="7" t="s">
        <v>726</v>
      </c>
      <c r="E783" s="7">
        <v>2</v>
      </c>
    </row>
    <row r="784" spans="1:5" x14ac:dyDescent="0.45">
      <c r="A784" s="6">
        <v>45052</v>
      </c>
      <c r="B784" s="7" t="str">
        <f t="shared" si="22"/>
        <v>May</v>
      </c>
      <c r="C784" s="7">
        <v>2023</v>
      </c>
      <c r="D784" s="7" t="s">
        <v>727</v>
      </c>
      <c r="E784" s="7">
        <v>5</v>
      </c>
    </row>
    <row r="785" spans="1:5" x14ac:dyDescent="0.45">
      <c r="A785" s="6">
        <v>45052</v>
      </c>
      <c r="B785" s="7" t="str">
        <f t="shared" si="22"/>
        <v>May</v>
      </c>
      <c r="C785" s="7">
        <v>2023</v>
      </c>
      <c r="D785" s="7" t="s">
        <v>726</v>
      </c>
      <c r="E785" s="7">
        <v>8</v>
      </c>
    </row>
    <row r="786" spans="1:5" x14ac:dyDescent="0.45">
      <c r="A786" s="6">
        <v>45054</v>
      </c>
      <c r="B786" s="7" t="str">
        <f t="shared" si="22"/>
        <v>May</v>
      </c>
      <c r="C786" s="7">
        <v>2023</v>
      </c>
      <c r="D786" s="7" t="s">
        <v>727</v>
      </c>
      <c r="E786" s="7">
        <v>2</v>
      </c>
    </row>
    <row r="787" spans="1:5" x14ac:dyDescent="0.45">
      <c r="A787" s="6">
        <v>45055</v>
      </c>
      <c r="B787" s="7" t="str">
        <f t="shared" si="22"/>
        <v>May</v>
      </c>
      <c r="C787" s="7">
        <v>2023</v>
      </c>
      <c r="D787" s="7" t="s">
        <v>727</v>
      </c>
      <c r="E787" s="7">
        <v>4</v>
      </c>
    </row>
    <row r="788" spans="1:5" x14ac:dyDescent="0.45">
      <c r="A788" s="6">
        <v>45057</v>
      </c>
      <c r="B788" s="7" t="str">
        <f t="shared" si="22"/>
        <v>May</v>
      </c>
      <c r="C788" s="7">
        <v>2023</v>
      </c>
      <c r="D788" s="7" t="s">
        <v>726</v>
      </c>
      <c r="E788" s="7">
        <v>4</v>
      </c>
    </row>
    <row r="789" spans="1:5" x14ac:dyDescent="0.45">
      <c r="A789" s="6">
        <v>45059</v>
      </c>
      <c r="B789" s="7" t="str">
        <f t="shared" si="22"/>
        <v>May</v>
      </c>
      <c r="C789" s="7">
        <v>2023</v>
      </c>
      <c r="D789" s="7" t="s">
        <v>727</v>
      </c>
      <c r="E789" s="7">
        <v>4</v>
      </c>
    </row>
    <row r="790" spans="1:5" x14ac:dyDescent="0.45">
      <c r="A790" s="6">
        <v>45062</v>
      </c>
      <c r="B790" s="7" t="str">
        <f t="shared" si="22"/>
        <v>May</v>
      </c>
      <c r="C790" s="7">
        <v>2023</v>
      </c>
      <c r="D790" s="7" t="s">
        <v>726</v>
      </c>
      <c r="E790" s="7">
        <v>3</v>
      </c>
    </row>
    <row r="791" spans="1:5" x14ac:dyDescent="0.45">
      <c r="A791" s="6">
        <v>45065</v>
      </c>
      <c r="B791" s="7" t="str">
        <f t="shared" si="22"/>
        <v>May</v>
      </c>
      <c r="C791" s="7">
        <v>2023</v>
      </c>
      <c r="D791" s="7" t="s">
        <v>726</v>
      </c>
      <c r="E791" s="7">
        <v>3</v>
      </c>
    </row>
    <row r="792" spans="1:5" x14ac:dyDescent="0.45">
      <c r="A792" s="6">
        <v>45066</v>
      </c>
      <c r="B792" s="7" t="str">
        <f t="shared" si="22"/>
        <v>May</v>
      </c>
      <c r="C792" s="7">
        <v>2023</v>
      </c>
      <c r="D792" s="7" t="s">
        <v>726</v>
      </c>
      <c r="E792" s="7">
        <v>5</v>
      </c>
    </row>
    <row r="793" spans="1:5" x14ac:dyDescent="0.45">
      <c r="A793" s="6">
        <v>45067</v>
      </c>
      <c r="B793" s="7" t="str">
        <f t="shared" si="22"/>
        <v>May</v>
      </c>
      <c r="C793" s="7">
        <v>2023</v>
      </c>
      <c r="D793" s="7" t="s">
        <v>726</v>
      </c>
      <c r="E793" s="7">
        <v>3</v>
      </c>
    </row>
    <row r="794" spans="1:5" x14ac:dyDescent="0.45">
      <c r="A794" s="6">
        <v>45067</v>
      </c>
      <c r="B794" s="7" t="str">
        <f t="shared" si="22"/>
        <v>May</v>
      </c>
      <c r="C794" s="7">
        <v>2023</v>
      </c>
      <c r="D794" s="7" t="s">
        <v>726</v>
      </c>
      <c r="E794" s="7">
        <v>3</v>
      </c>
    </row>
    <row r="795" spans="1:5" x14ac:dyDescent="0.45">
      <c r="A795" s="6">
        <v>45070</v>
      </c>
      <c r="B795" s="7" t="str">
        <f t="shared" si="22"/>
        <v>May</v>
      </c>
      <c r="C795" s="7">
        <v>2023</v>
      </c>
      <c r="D795" s="7" t="s">
        <v>727</v>
      </c>
      <c r="E795" s="7">
        <v>4</v>
      </c>
    </row>
    <row r="796" spans="1:5" x14ac:dyDescent="0.45">
      <c r="A796" s="6">
        <v>45072</v>
      </c>
      <c r="B796" s="7" t="str">
        <f t="shared" si="22"/>
        <v>May</v>
      </c>
      <c r="C796" s="7">
        <v>2023</v>
      </c>
      <c r="D796" s="7" t="s">
        <v>727</v>
      </c>
      <c r="E796" s="7">
        <v>5</v>
      </c>
    </row>
    <row r="797" spans="1:5" x14ac:dyDescent="0.45">
      <c r="A797" s="6">
        <v>45075</v>
      </c>
      <c r="B797" s="7" t="str">
        <f t="shared" si="22"/>
        <v>May</v>
      </c>
      <c r="C797" s="7">
        <v>2023</v>
      </c>
      <c r="D797" s="7" t="s">
        <v>727</v>
      </c>
      <c r="E797" s="7">
        <v>3</v>
      </c>
    </row>
    <row r="798" spans="1:5" x14ac:dyDescent="0.45">
      <c r="A798" s="6">
        <v>45075</v>
      </c>
      <c r="B798" s="7" t="str">
        <f t="shared" si="22"/>
        <v>May</v>
      </c>
      <c r="C798" s="7">
        <v>2023</v>
      </c>
      <c r="D798" s="7" t="s">
        <v>729</v>
      </c>
      <c r="E798" s="7">
        <v>2</v>
      </c>
    </row>
    <row r="799" spans="1:5" x14ac:dyDescent="0.45">
      <c r="A799" s="6">
        <v>45078</v>
      </c>
      <c r="B799" s="7" t="str">
        <f t="shared" si="22"/>
        <v>June</v>
      </c>
      <c r="C799" s="7">
        <v>2023</v>
      </c>
      <c r="D799" s="7" t="s">
        <v>729</v>
      </c>
      <c r="E799" s="7">
        <v>3</v>
      </c>
    </row>
    <row r="800" spans="1:5" x14ac:dyDescent="0.45">
      <c r="A800" s="6">
        <v>45079</v>
      </c>
      <c r="B800" s="7" t="str">
        <f t="shared" si="22"/>
        <v>June</v>
      </c>
      <c r="C800" s="7">
        <v>2023</v>
      </c>
      <c r="D800" s="7" t="s">
        <v>727</v>
      </c>
      <c r="E800" s="7">
        <v>5</v>
      </c>
    </row>
    <row r="801" spans="1:5" x14ac:dyDescent="0.45">
      <c r="A801" s="6">
        <v>45079</v>
      </c>
      <c r="B801" s="7" t="str">
        <f t="shared" si="22"/>
        <v>June</v>
      </c>
      <c r="C801" s="7">
        <v>2023</v>
      </c>
      <c r="D801" s="7" t="s">
        <v>727</v>
      </c>
      <c r="E801" s="7">
        <v>3</v>
      </c>
    </row>
    <row r="802" spans="1:5" x14ac:dyDescent="0.45">
      <c r="A802" s="6">
        <v>45080</v>
      </c>
      <c r="B802" s="7" t="str">
        <f t="shared" si="22"/>
        <v>June</v>
      </c>
      <c r="C802" s="7">
        <v>2023</v>
      </c>
      <c r="D802" s="7" t="s">
        <v>726</v>
      </c>
      <c r="E802" s="7">
        <v>3</v>
      </c>
    </row>
    <row r="803" spans="1:5" x14ac:dyDescent="0.45">
      <c r="A803" s="6">
        <v>45082</v>
      </c>
      <c r="B803" s="7" t="str">
        <f t="shared" si="22"/>
        <v>June</v>
      </c>
      <c r="C803" s="7">
        <v>2023</v>
      </c>
      <c r="D803" s="7" t="s">
        <v>726</v>
      </c>
      <c r="E803" s="7">
        <v>2</v>
      </c>
    </row>
    <row r="804" spans="1:5" x14ac:dyDescent="0.45">
      <c r="A804" s="6">
        <v>45085</v>
      </c>
      <c r="B804" s="7" t="str">
        <f t="shared" si="22"/>
        <v>June</v>
      </c>
      <c r="C804" s="7">
        <v>2023</v>
      </c>
      <c r="D804" s="7" t="s">
        <v>726</v>
      </c>
      <c r="E804" s="7">
        <v>2</v>
      </c>
    </row>
    <row r="805" spans="1:5" x14ac:dyDescent="0.45">
      <c r="A805" s="6">
        <v>45086</v>
      </c>
      <c r="B805" s="7" t="str">
        <f t="shared" si="22"/>
        <v>June</v>
      </c>
      <c r="C805" s="7">
        <v>2023</v>
      </c>
      <c r="D805" s="7" t="s">
        <v>727</v>
      </c>
      <c r="E805" s="7">
        <v>2</v>
      </c>
    </row>
    <row r="806" spans="1:5" x14ac:dyDescent="0.45">
      <c r="A806" s="6">
        <v>45087</v>
      </c>
      <c r="B806" s="7" t="str">
        <f t="shared" si="22"/>
        <v>June</v>
      </c>
      <c r="C806" s="7">
        <v>2023</v>
      </c>
      <c r="D806" s="7" t="s">
        <v>727</v>
      </c>
      <c r="E806" s="7">
        <v>3</v>
      </c>
    </row>
    <row r="807" spans="1:5" x14ac:dyDescent="0.45">
      <c r="A807" s="6">
        <v>45089</v>
      </c>
      <c r="B807" s="7" t="str">
        <f t="shared" si="22"/>
        <v>June</v>
      </c>
      <c r="C807" s="7">
        <v>2023</v>
      </c>
      <c r="D807" s="7" t="s">
        <v>729</v>
      </c>
      <c r="E807" s="7">
        <v>4</v>
      </c>
    </row>
    <row r="808" spans="1:5" x14ac:dyDescent="0.45">
      <c r="A808" s="6">
        <v>45090</v>
      </c>
      <c r="B808" s="7" t="str">
        <f t="shared" si="22"/>
        <v>June</v>
      </c>
      <c r="C808" s="7">
        <v>2023</v>
      </c>
      <c r="D808" s="7" t="s">
        <v>726</v>
      </c>
      <c r="E808" s="7">
        <v>5</v>
      </c>
    </row>
    <row r="809" spans="1:5" x14ac:dyDescent="0.45">
      <c r="A809" s="6">
        <v>45092</v>
      </c>
      <c r="B809" s="7" t="str">
        <f t="shared" si="22"/>
        <v>June</v>
      </c>
      <c r="C809" s="7">
        <v>2023</v>
      </c>
      <c r="D809" s="7" t="s">
        <v>727</v>
      </c>
      <c r="E809" s="7">
        <v>2</v>
      </c>
    </row>
    <row r="810" spans="1:5" x14ac:dyDescent="0.45">
      <c r="A810" s="6">
        <v>45092</v>
      </c>
      <c r="B810" s="7" t="str">
        <f t="shared" si="22"/>
        <v>June</v>
      </c>
      <c r="C810" s="7">
        <v>2023</v>
      </c>
      <c r="D810" s="7" t="s">
        <v>729</v>
      </c>
      <c r="E810" s="7">
        <v>4</v>
      </c>
    </row>
    <row r="811" spans="1:5" x14ac:dyDescent="0.45">
      <c r="A811" s="6">
        <v>45093</v>
      </c>
      <c r="B811" s="7" t="str">
        <f t="shared" si="22"/>
        <v>June</v>
      </c>
      <c r="C811" s="7">
        <v>2023</v>
      </c>
      <c r="D811" s="7" t="s">
        <v>726</v>
      </c>
      <c r="E811" s="7">
        <v>4</v>
      </c>
    </row>
    <row r="812" spans="1:5" x14ac:dyDescent="0.45">
      <c r="A812" s="6">
        <v>45095</v>
      </c>
      <c r="B812" s="7" t="str">
        <f t="shared" si="22"/>
        <v>June</v>
      </c>
      <c r="C812" s="7">
        <v>2023</v>
      </c>
      <c r="D812" s="7" t="s">
        <v>729</v>
      </c>
      <c r="E812" s="7">
        <v>3</v>
      </c>
    </row>
    <row r="813" spans="1:5" x14ac:dyDescent="0.45">
      <c r="A813" s="6">
        <v>45098</v>
      </c>
      <c r="B813" s="7" t="str">
        <f t="shared" si="22"/>
        <v>June</v>
      </c>
      <c r="C813" s="7">
        <v>2023</v>
      </c>
      <c r="D813" s="7" t="s">
        <v>727</v>
      </c>
      <c r="E813" s="7">
        <v>3</v>
      </c>
    </row>
    <row r="814" spans="1:5" x14ac:dyDescent="0.45">
      <c r="A814" s="6">
        <v>45102</v>
      </c>
      <c r="B814" s="7" t="str">
        <f t="shared" si="22"/>
        <v>June</v>
      </c>
      <c r="C814" s="7">
        <v>2023</v>
      </c>
      <c r="D814" s="7" t="s">
        <v>726</v>
      </c>
      <c r="E814" s="7">
        <v>5</v>
      </c>
    </row>
    <row r="815" spans="1:5" x14ac:dyDescent="0.45">
      <c r="A815" s="6">
        <v>45103</v>
      </c>
      <c r="B815" s="7" t="str">
        <f t="shared" si="22"/>
        <v>June</v>
      </c>
      <c r="C815" s="7">
        <v>2023</v>
      </c>
      <c r="D815" s="7" t="s">
        <v>727</v>
      </c>
      <c r="E815" s="7">
        <v>1</v>
      </c>
    </row>
    <row r="816" spans="1:5" x14ac:dyDescent="0.45">
      <c r="A816" s="6">
        <v>45103</v>
      </c>
      <c r="B816" s="7" t="str">
        <f t="shared" si="22"/>
        <v>June</v>
      </c>
      <c r="C816" s="7">
        <v>2023</v>
      </c>
      <c r="D816" s="7" t="s">
        <v>726</v>
      </c>
      <c r="E816" s="7">
        <v>5</v>
      </c>
    </row>
    <row r="817" spans="1:5" x14ac:dyDescent="0.45">
      <c r="A817" s="6">
        <v>45104</v>
      </c>
      <c r="B817" s="7" t="str">
        <f t="shared" si="22"/>
        <v>June</v>
      </c>
      <c r="C817" s="7">
        <v>2023</v>
      </c>
      <c r="D817" s="7" t="s">
        <v>727</v>
      </c>
      <c r="E817" s="7">
        <v>2</v>
      </c>
    </row>
    <row r="818" spans="1:5" x14ac:dyDescent="0.45">
      <c r="A818" s="6">
        <v>45104</v>
      </c>
      <c r="B818" s="7" t="str">
        <f t="shared" si="22"/>
        <v>June</v>
      </c>
      <c r="C818" s="7">
        <v>2023</v>
      </c>
      <c r="D818" s="7" t="s">
        <v>726</v>
      </c>
      <c r="E818" s="7">
        <v>5</v>
      </c>
    </row>
    <row r="819" spans="1:5" x14ac:dyDescent="0.45">
      <c r="A819" s="6">
        <v>45108</v>
      </c>
      <c r="B819" s="7" t="str">
        <f t="shared" si="22"/>
        <v>July</v>
      </c>
      <c r="C819" s="7">
        <v>2023</v>
      </c>
      <c r="D819" s="7" t="s">
        <v>726</v>
      </c>
      <c r="E819" s="7">
        <v>2</v>
      </c>
    </row>
    <row r="820" spans="1:5" x14ac:dyDescent="0.45">
      <c r="A820" s="6">
        <v>45110</v>
      </c>
      <c r="B820" s="7" t="str">
        <f t="shared" si="22"/>
        <v>July</v>
      </c>
      <c r="C820" s="7">
        <v>2023</v>
      </c>
      <c r="D820" s="7" t="s">
        <v>728</v>
      </c>
      <c r="E820" s="7">
        <v>2</v>
      </c>
    </row>
    <row r="821" spans="1:5" x14ac:dyDescent="0.45">
      <c r="A821" s="6">
        <v>45114</v>
      </c>
      <c r="B821" s="7" t="str">
        <f t="shared" si="22"/>
        <v>July</v>
      </c>
      <c r="C821" s="7">
        <v>2023</v>
      </c>
      <c r="D821" s="7" t="s">
        <v>726</v>
      </c>
      <c r="E821" s="7">
        <v>5</v>
      </c>
    </row>
    <row r="822" spans="1:5" x14ac:dyDescent="0.45">
      <c r="A822" s="6">
        <v>45115</v>
      </c>
      <c r="B822" s="7" t="str">
        <f t="shared" si="22"/>
        <v>July</v>
      </c>
      <c r="C822" s="7">
        <v>2023</v>
      </c>
      <c r="D822" s="7" t="s">
        <v>728</v>
      </c>
      <c r="E822" s="7">
        <v>5</v>
      </c>
    </row>
    <row r="823" spans="1:5" x14ac:dyDescent="0.45">
      <c r="A823" s="6">
        <v>45116</v>
      </c>
      <c r="B823" s="7" t="str">
        <f t="shared" si="22"/>
        <v>July</v>
      </c>
      <c r="C823" s="7">
        <v>2023</v>
      </c>
      <c r="D823" s="7" t="s">
        <v>729</v>
      </c>
      <c r="E823" s="7">
        <v>1</v>
      </c>
    </row>
    <row r="824" spans="1:5" x14ac:dyDescent="0.45">
      <c r="A824" s="6">
        <v>45116</v>
      </c>
      <c r="B824" s="7" t="str">
        <f t="shared" si="22"/>
        <v>July</v>
      </c>
      <c r="C824" s="7">
        <v>2023</v>
      </c>
      <c r="D824" s="7" t="s">
        <v>726</v>
      </c>
      <c r="E824" s="7">
        <v>1</v>
      </c>
    </row>
    <row r="825" spans="1:5" x14ac:dyDescent="0.45">
      <c r="A825" s="6">
        <v>45117</v>
      </c>
      <c r="B825" s="7" t="str">
        <f t="shared" si="22"/>
        <v>July</v>
      </c>
      <c r="C825" s="7">
        <v>2023</v>
      </c>
      <c r="D825" s="7" t="s">
        <v>726</v>
      </c>
      <c r="E825" s="7">
        <v>4</v>
      </c>
    </row>
    <row r="826" spans="1:5" x14ac:dyDescent="0.45">
      <c r="A826" s="6">
        <v>45118</v>
      </c>
      <c r="B826" s="7" t="str">
        <f t="shared" si="22"/>
        <v>July</v>
      </c>
      <c r="C826" s="7">
        <v>2023</v>
      </c>
      <c r="D826" s="7" t="s">
        <v>726</v>
      </c>
      <c r="E826" s="7">
        <v>5</v>
      </c>
    </row>
    <row r="827" spans="1:5" x14ac:dyDescent="0.45">
      <c r="A827" s="6">
        <v>45119</v>
      </c>
      <c r="B827" s="7" t="str">
        <f t="shared" si="22"/>
        <v>July</v>
      </c>
      <c r="C827" s="7">
        <v>2023</v>
      </c>
      <c r="D827" s="7" t="s">
        <v>727</v>
      </c>
      <c r="E827" s="7">
        <v>3</v>
      </c>
    </row>
    <row r="828" spans="1:5" x14ac:dyDescent="0.45">
      <c r="A828" s="6">
        <v>45120</v>
      </c>
      <c r="B828" s="7" t="str">
        <f t="shared" si="22"/>
        <v>July</v>
      </c>
      <c r="C828" s="7">
        <v>2023</v>
      </c>
      <c r="D828" s="7" t="s">
        <v>728</v>
      </c>
      <c r="E828" s="7">
        <v>1</v>
      </c>
    </row>
    <row r="829" spans="1:5" x14ac:dyDescent="0.45">
      <c r="A829" s="6">
        <v>45121</v>
      </c>
      <c r="B829" s="7" t="str">
        <f t="shared" si="22"/>
        <v>July</v>
      </c>
      <c r="C829" s="7">
        <v>2023</v>
      </c>
      <c r="D829" s="7" t="s">
        <v>726</v>
      </c>
      <c r="E829" s="7">
        <v>2</v>
      </c>
    </row>
    <row r="830" spans="1:5" x14ac:dyDescent="0.45">
      <c r="A830" s="6">
        <v>45122</v>
      </c>
      <c r="B830" s="7" t="str">
        <f t="shared" si="22"/>
        <v>July</v>
      </c>
      <c r="C830" s="7">
        <v>2023</v>
      </c>
      <c r="D830" s="7" t="s">
        <v>729</v>
      </c>
      <c r="E830" s="7">
        <v>5</v>
      </c>
    </row>
    <row r="831" spans="1:5" x14ac:dyDescent="0.45">
      <c r="A831" s="6">
        <v>45124</v>
      </c>
      <c r="B831" s="7" t="str">
        <f t="shared" si="22"/>
        <v>July</v>
      </c>
      <c r="C831" s="7">
        <v>2023</v>
      </c>
      <c r="D831" s="7" t="s">
        <v>729</v>
      </c>
      <c r="E831" s="7">
        <v>1</v>
      </c>
    </row>
    <row r="832" spans="1:5" x14ac:dyDescent="0.45">
      <c r="A832" s="6">
        <v>45125</v>
      </c>
      <c r="B832" s="7" t="str">
        <f t="shared" si="22"/>
        <v>July</v>
      </c>
      <c r="C832" s="7">
        <v>2023</v>
      </c>
      <c r="D832" s="7" t="s">
        <v>727</v>
      </c>
      <c r="E832" s="7">
        <v>2</v>
      </c>
    </row>
    <row r="833" spans="1:5" x14ac:dyDescent="0.45">
      <c r="A833" s="6">
        <v>45126</v>
      </c>
      <c r="B833" s="7" t="str">
        <f t="shared" si="22"/>
        <v>July</v>
      </c>
      <c r="C833" s="7">
        <v>2023</v>
      </c>
      <c r="D833" s="7" t="s">
        <v>726</v>
      </c>
      <c r="E833" s="7">
        <v>2</v>
      </c>
    </row>
    <row r="834" spans="1:5" x14ac:dyDescent="0.45">
      <c r="A834" s="6">
        <v>45126</v>
      </c>
      <c r="B834" s="7" t="str">
        <f t="shared" si="22"/>
        <v>July</v>
      </c>
      <c r="C834" s="7">
        <v>2023</v>
      </c>
      <c r="D834" s="7" t="s">
        <v>727</v>
      </c>
      <c r="E834" s="7">
        <v>2</v>
      </c>
    </row>
    <row r="835" spans="1:5" x14ac:dyDescent="0.45">
      <c r="A835" s="6">
        <v>45126</v>
      </c>
      <c r="B835" s="7" t="str">
        <f t="shared" ref="B835:B898" si="23">TEXT(A835,"MMMM")</f>
        <v>July</v>
      </c>
      <c r="C835" s="7">
        <v>2023</v>
      </c>
      <c r="D835" s="7" t="s">
        <v>726</v>
      </c>
      <c r="E835" s="7">
        <v>2</v>
      </c>
    </row>
    <row r="836" spans="1:5" x14ac:dyDescent="0.45">
      <c r="A836" s="6">
        <v>45126</v>
      </c>
      <c r="B836" s="7" t="str">
        <f t="shared" si="23"/>
        <v>July</v>
      </c>
      <c r="C836" s="7">
        <v>2023</v>
      </c>
      <c r="D836" s="7" t="s">
        <v>726</v>
      </c>
      <c r="E836" s="7">
        <v>1</v>
      </c>
    </row>
    <row r="837" spans="1:5" x14ac:dyDescent="0.45">
      <c r="A837" s="6">
        <v>45128</v>
      </c>
      <c r="B837" s="7" t="str">
        <f t="shared" si="23"/>
        <v>July</v>
      </c>
      <c r="C837" s="7">
        <v>2023</v>
      </c>
      <c r="D837" s="7" t="s">
        <v>729</v>
      </c>
      <c r="E837" s="7">
        <v>5</v>
      </c>
    </row>
    <row r="838" spans="1:5" x14ac:dyDescent="0.45">
      <c r="A838" s="6">
        <v>45130</v>
      </c>
      <c r="B838" s="7" t="str">
        <f t="shared" si="23"/>
        <v>July</v>
      </c>
      <c r="C838" s="7">
        <v>2023</v>
      </c>
      <c r="D838" s="7" t="s">
        <v>729</v>
      </c>
      <c r="E838" s="7">
        <v>3</v>
      </c>
    </row>
    <row r="839" spans="1:5" x14ac:dyDescent="0.45">
      <c r="A839" s="6">
        <v>45133</v>
      </c>
      <c r="B839" s="7" t="str">
        <f t="shared" si="23"/>
        <v>July</v>
      </c>
      <c r="C839" s="7">
        <v>2023</v>
      </c>
      <c r="D839" s="7" t="s">
        <v>729</v>
      </c>
      <c r="E839" s="7">
        <v>3</v>
      </c>
    </row>
    <row r="840" spans="1:5" x14ac:dyDescent="0.45">
      <c r="A840" s="6">
        <v>45136</v>
      </c>
      <c r="B840" s="7" t="str">
        <f t="shared" si="23"/>
        <v>July</v>
      </c>
      <c r="C840" s="7">
        <v>2023</v>
      </c>
      <c r="D840" s="7" t="s">
        <v>726</v>
      </c>
      <c r="E840" s="7">
        <v>2</v>
      </c>
    </row>
    <row r="841" spans="1:5" x14ac:dyDescent="0.45">
      <c r="A841" s="6">
        <v>45137</v>
      </c>
      <c r="B841" s="7" t="str">
        <f t="shared" si="23"/>
        <v>July</v>
      </c>
      <c r="C841" s="7">
        <v>2023</v>
      </c>
      <c r="D841" s="7" t="s">
        <v>728</v>
      </c>
      <c r="E841" s="7">
        <v>3</v>
      </c>
    </row>
    <row r="842" spans="1:5" x14ac:dyDescent="0.45">
      <c r="A842" s="6">
        <v>45139</v>
      </c>
      <c r="B842" s="7" t="str">
        <f t="shared" si="23"/>
        <v>August</v>
      </c>
      <c r="C842" s="7">
        <v>2023</v>
      </c>
      <c r="D842" s="7" t="s">
        <v>728</v>
      </c>
      <c r="E842" s="7">
        <v>2</v>
      </c>
    </row>
    <row r="843" spans="1:5" x14ac:dyDescent="0.45">
      <c r="A843" s="6">
        <v>45141</v>
      </c>
      <c r="B843" s="7" t="str">
        <f t="shared" si="23"/>
        <v>August</v>
      </c>
      <c r="C843" s="7">
        <v>2023</v>
      </c>
      <c r="D843" s="7" t="s">
        <v>727</v>
      </c>
      <c r="E843" s="7">
        <v>3</v>
      </c>
    </row>
    <row r="844" spans="1:5" x14ac:dyDescent="0.45">
      <c r="A844" s="6">
        <v>45144</v>
      </c>
      <c r="B844" s="7" t="str">
        <f t="shared" si="23"/>
        <v>August</v>
      </c>
      <c r="C844" s="7">
        <v>2023</v>
      </c>
      <c r="D844" s="7" t="s">
        <v>727</v>
      </c>
      <c r="E844" s="7">
        <v>4</v>
      </c>
    </row>
    <row r="845" spans="1:5" x14ac:dyDescent="0.45">
      <c r="A845" s="6">
        <v>45144</v>
      </c>
      <c r="B845" s="7" t="str">
        <f t="shared" si="23"/>
        <v>August</v>
      </c>
      <c r="C845" s="7">
        <v>2023</v>
      </c>
      <c r="D845" s="7" t="s">
        <v>726</v>
      </c>
      <c r="E845" s="7">
        <v>3</v>
      </c>
    </row>
    <row r="846" spans="1:5" x14ac:dyDescent="0.45">
      <c r="A846" s="6">
        <v>45145</v>
      </c>
      <c r="B846" s="7" t="str">
        <f t="shared" si="23"/>
        <v>August</v>
      </c>
      <c r="C846" s="7">
        <v>2023</v>
      </c>
      <c r="D846" s="7" t="s">
        <v>726</v>
      </c>
      <c r="E846" s="7">
        <v>5</v>
      </c>
    </row>
    <row r="847" spans="1:5" x14ac:dyDescent="0.45">
      <c r="A847" s="6">
        <v>45147</v>
      </c>
      <c r="B847" s="7" t="str">
        <f t="shared" si="23"/>
        <v>August</v>
      </c>
      <c r="C847" s="7">
        <v>2023</v>
      </c>
      <c r="D847" s="7" t="s">
        <v>726</v>
      </c>
      <c r="E847" s="7">
        <v>2</v>
      </c>
    </row>
    <row r="848" spans="1:5" x14ac:dyDescent="0.45">
      <c r="A848" s="6">
        <v>45149</v>
      </c>
      <c r="B848" s="7" t="str">
        <f t="shared" si="23"/>
        <v>August</v>
      </c>
      <c r="C848" s="7">
        <v>2023</v>
      </c>
      <c r="D848" s="7" t="s">
        <v>726</v>
      </c>
      <c r="E848" s="7">
        <v>2</v>
      </c>
    </row>
    <row r="849" spans="1:5" x14ac:dyDescent="0.45">
      <c r="A849" s="6">
        <v>45149</v>
      </c>
      <c r="B849" s="7" t="str">
        <f t="shared" si="23"/>
        <v>August</v>
      </c>
      <c r="C849" s="7">
        <v>2023</v>
      </c>
      <c r="D849" s="7" t="s">
        <v>726</v>
      </c>
      <c r="E849" s="7">
        <v>4</v>
      </c>
    </row>
    <row r="850" spans="1:5" x14ac:dyDescent="0.45">
      <c r="A850" s="6">
        <v>45150</v>
      </c>
      <c r="B850" s="7" t="str">
        <f t="shared" si="23"/>
        <v>August</v>
      </c>
      <c r="C850" s="7">
        <v>2023</v>
      </c>
      <c r="D850" s="7" t="s">
        <v>727</v>
      </c>
      <c r="E850" s="7">
        <v>1</v>
      </c>
    </row>
    <row r="851" spans="1:5" x14ac:dyDescent="0.45">
      <c r="A851" s="6">
        <v>45150</v>
      </c>
      <c r="B851" s="7" t="str">
        <f t="shared" si="23"/>
        <v>August</v>
      </c>
      <c r="C851" s="7">
        <v>2023</v>
      </c>
      <c r="D851" s="7" t="s">
        <v>726</v>
      </c>
      <c r="E851" s="7">
        <v>3</v>
      </c>
    </row>
    <row r="852" spans="1:5" x14ac:dyDescent="0.45">
      <c r="A852" s="6">
        <v>45151</v>
      </c>
      <c r="B852" s="7" t="str">
        <f t="shared" si="23"/>
        <v>August</v>
      </c>
      <c r="C852" s="7">
        <v>2023</v>
      </c>
      <c r="D852" s="7" t="s">
        <v>728</v>
      </c>
      <c r="E852" s="7">
        <v>1</v>
      </c>
    </row>
    <row r="853" spans="1:5" x14ac:dyDescent="0.45">
      <c r="A853" s="6">
        <v>45152</v>
      </c>
      <c r="B853" s="7" t="str">
        <f t="shared" si="23"/>
        <v>August</v>
      </c>
      <c r="C853" s="7">
        <v>2023</v>
      </c>
      <c r="D853" s="7" t="s">
        <v>726</v>
      </c>
      <c r="E853" s="7">
        <v>3</v>
      </c>
    </row>
    <row r="854" spans="1:5" x14ac:dyDescent="0.45">
      <c r="A854" s="6">
        <v>45157</v>
      </c>
      <c r="B854" s="7" t="str">
        <f t="shared" si="23"/>
        <v>August</v>
      </c>
      <c r="C854" s="7">
        <v>2023</v>
      </c>
      <c r="D854" s="7" t="s">
        <v>727</v>
      </c>
      <c r="E854" s="7">
        <v>1</v>
      </c>
    </row>
    <row r="855" spans="1:5" x14ac:dyDescent="0.45">
      <c r="A855" s="6">
        <v>45157</v>
      </c>
      <c r="B855" s="7" t="str">
        <f t="shared" si="23"/>
        <v>August</v>
      </c>
      <c r="C855" s="7">
        <v>2023</v>
      </c>
      <c r="D855" s="7" t="s">
        <v>726</v>
      </c>
      <c r="E855" s="7">
        <v>5</v>
      </c>
    </row>
    <row r="856" spans="1:5" x14ac:dyDescent="0.45">
      <c r="A856" s="6">
        <v>45159</v>
      </c>
      <c r="B856" s="7" t="str">
        <f t="shared" si="23"/>
        <v>August</v>
      </c>
      <c r="C856" s="7">
        <v>2023</v>
      </c>
      <c r="D856" s="7" t="s">
        <v>726</v>
      </c>
      <c r="E856" s="7">
        <v>3</v>
      </c>
    </row>
    <row r="857" spans="1:5" x14ac:dyDescent="0.45">
      <c r="A857" s="6">
        <v>45163</v>
      </c>
      <c r="B857" s="7" t="str">
        <f t="shared" si="23"/>
        <v>August</v>
      </c>
      <c r="C857" s="7">
        <v>2023</v>
      </c>
      <c r="D857" s="7" t="s">
        <v>727</v>
      </c>
      <c r="E857" s="7">
        <v>5</v>
      </c>
    </row>
    <row r="858" spans="1:5" x14ac:dyDescent="0.45">
      <c r="A858" s="6">
        <v>45165</v>
      </c>
      <c r="B858" s="7" t="str">
        <f t="shared" si="23"/>
        <v>August</v>
      </c>
      <c r="C858" s="7">
        <v>2023</v>
      </c>
      <c r="D858" s="7" t="s">
        <v>726</v>
      </c>
      <c r="E858" s="7">
        <v>4</v>
      </c>
    </row>
    <row r="859" spans="1:5" x14ac:dyDescent="0.45">
      <c r="A859" s="6">
        <v>45165</v>
      </c>
      <c r="B859" s="7" t="str">
        <f t="shared" si="23"/>
        <v>August</v>
      </c>
      <c r="C859" s="7">
        <v>2023</v>
      </c>
      <c r="D859" s="7" t="s">
        <v>726</v>
      </c>
      <c r="E859" s="7">
        <v>4</v>
      </c>
    </row>
    <row r="860" spans="1:5" x14ac:dyDescent="0.45">
      <c r="A860" s="6">
        <v>45166</v>
      </c>
      <c r="B860" s="7" t="str">
        <f t="shared" si="23"/>
        <v>August</v>
      </c>
      <c r="C860" s="7">
        <v>2023</v>
      </c>
      <c r="D860" s="7" t="s">
        <v>729</v>
      </c>
      <c r="E860" s="7">
        <v>3</v>
      </c>
    </row>
    <row r="861" spans="1:5" x14ac:dyDescent="0.45">
      <c r="A861" s="6">
        <v>45167</v>
      </c>
      <c r="B861" s="7" t="str">
        <f t="shared" si="23"/>
        <v>August</v>
      </c>
      <c r="C861" s="7">
        <v>2023</v>
      </c>
      <c r="D861" s="7" t="s">
        <v>726</v>
      </c>
      <c r="E861" s="7">
        <v>2</v>
      </c>
    </row>
    <row r="862" spans="1:5" x14ac:dyDescent="0.45">
      <c r="A862" s="6">
        <v>45168</v>
      </c>
      <c r="B862" s="7" t="str">
        <f t="shared" si="23"/>
        <v>August</v>
      </c>
      <c r="C862" s="7">
        <v>2023</v>
      </c>
      <c r="D862" s="7" t="s">
        <v>728</v>
      </c>
      <c r="E862" s="7">
        <v>5</v>
      </c>
    </row>
    <row r="863" spans="1:5" x14ac:dyDescent="0.45">
      <c r="A863" s="6">
        <v>45168</v>
      </c>
      <c r="B863" s="7" t="str">
        <f t="shared" si="23"/>
        <v>August</v>
      </c>
      <c r="C863" s="7">
        <v>2023</v>
      </c>
      <c r="D863" s="7" t="s">
        <v>726</v>
      </c>
      <c r="E863" s="7">
        <v>4</v>
      </c>
    </row>
    <row r="864" spans="1:5" x14ac:dyDescent="0.45">
      <c r="A864" s="6">
        <v>45169</v>
      </c>
      <c r="B864" s="7" t="str">
        <f t="shared" si="23"/>
        <v>August</v>
      </c>
      <c r="C864" s="7">
        <v>2023</v>
      </c>
      <c r="D864" s="7" t="s">
        <v>728</v>
      </c>
      <c r="E864" s="7">
        <v>1</v>
      </c>
    </row>
    <row r="865" spans="1:5" x14ac:dyDescent="0.45">
      <c r="A865" s="6">
        <v>45169</v>
      </c>
      <c r="B865" s="7" t="str">
        <f t="shared" si="23"/>
        <v>August</v>
      </c>
      <c r="C865" s="7">
        <v>2023</v>
      </c>
      <c r="D865" s="7" t="s">
        <v>726</v>
      </c>
      <c r="E865" s="7">
        <v>5</v>
      </c>
    </row>
    <row r="866" spans="1:5" x14ac:dyDescent="0.45">
      <c r="A866" s="6">
        <v>45170</v>
      </c>
      <c r="B866" s="7" t="str">
        <f t="shared" si="23"/>
        <v>September</v>
      </c>
      <c r="C866" s="7">
        <v>2023</v>
      </c>
      <c r="D866" s="7" t="s">
        <v>729</v>
      </c>
      <c r="E866" s="7">
        <v>1</v>
      </c>
    </row>
    <row r="867" spans="1:5" x14ac:dyDescent="0.45">
      <c r="A867" s="6">
        <v>45171</v>
      </c>
      <c r="B867" s="7" t="str">
        <f t="shared" si="23"/>
        <v>September</v>
      </c>
      <c r="C867" s="7">
        <v>2023</v>
      </c>
      <c r="D867" s="7" t="s">
        <v>726</v>
      </c>
      <c r="E867" s="7">
        <v>3</v>
      </c>
    </row>
    <row r="868" spans="1:5" x14ac:dyDescent="0.45">
      <c r="A868" s="6">
        <v>45173</v>
      </c>
      <c r="B868" s="7" t="str">
        <f t="shared" si="23"/>
        <v>September</v>
      </c>
      <c r="C868" s="7">
        <v>2023</v>
      </c>
      <c r="D868" s="7" t="s">
        <v>726</v>
      </c>
      <c r="E868" s="7">
        <v>2</v>
      </c>
    </row>
    <row r="869" spans="1:5" x14ac:dyDescent="0.45">
      <c r="A869" s="6">
        <v>45174</v>
      </c>
      <c r="B869" s="7" t="str">
        <f t="shared" si="23"/>
        <v>September</v>
      </c>
      <c r="C869" s="7">
        <v>2023</v>
      </c>
      <c r="D869" s="7" t="s">
        <v>726</v>
      </c>
      <c r="E869" s="7">
        <v>2</v>
      </c>
    </row>
    <row r="870" spans="1:5" x14ac:dyDescent="0.45">
      <c r="A870" s="6">
        <v>45175</v>
      </c>
      <c r="B870" s="7" t="str">
        <f t="shared" si="23"/>
        <v>September</v>
      </c>
      <c r="C870" s="7">
        <v>2023</v>
      </c>
      <c r="D870" s="7" t="s">
        <v>726</v>
      </c>
      <c r="E870" s="7">
        <v>4</v>
      </c>
    </row>
    <row r="871" spans="1:5" x14ac:dyDescent="0.45">
      <c r="A871" s="6">
        <v>45175</v>
      </c>
      <c r="B871" s="7" t="str">
        <f t="shared" si="23"/>
        <v>September</v>
      </c>
      <c r="C871" s="7">
        <v>2023</v>
      </c>
      <c r="D871" s="7" t="s">
        <v>726</v>
      </c>
      <c r="E871" s="7">
        <v>4</v>
      </c>
    </row>
    <row r="872" spans="1:5" x14ac:dyDescent="0.45">
      <c r="A872" s="6">
        <v>45178</v>
      </c>
      <c r="B872" s="7" t="str">
        <f t="shared" si="23"/>
        <v>September</v>
      </c>
      <c r="C872" s="7">
        <v>2023</v>
      </c>
      <c r="D872" s="7" t="s">
        <v>729</v>
      </c>
      <c r="E872" s="7">
        <v>5</v>
      </c>
    </row>
    <row r="873" spans="1:5" x14ac:dyDescent="0.45">
      <c r="A873" s="6">
        <v>45179</v>
      </c>
      <c r="B873" s="7" t="str">
        <f t="shared" si="23"/>
        <v>September</v>
      </c>
      <c r="C873" s="7">
        <v>2023</v>
      </c>
      <c r="D873" s="7" t="s">
        <v>726</v>
      </c>
      <c r="E873" s="7">
        <v>1</v>
      </c>
    </row>
    <row r="874" spans="1:5" x14ac:dyDescent="0.45">
      <c r="A874" s="6">
        <v>45181</v>
      </c>
      <c r="B874" s="7" t="str">
        <f t="shared" si="23"/>
        <v>September</v>
      </c>
      <c r="C874" s="7">
        <v>2023</v>
      </c>
      <c r="D874" s="7" t="s">
        <v>728</v>
      </c>
      <c r="E874" s="7">
        <v>4</v>
      </c>
    </row>
    <row r="875" spans="1:5" x14ac:dyDescent="0.45">
      <c r="A875" s="6">
        <v>45181</v>
      </c>
      <c r="B875" s="7" t="str">
        <f t="shared" si="23"/>
        <v>September</v>
      </c>
      <c r="C875" s="7">
        <v>2023</v>
      </c>
      <c r="D875" s="7" t="s">
        <v>729</v>
      </c>
      <c r="E875" s="7">
        <v>2</v>
      </c>
    </row>
    <row r="876" spans="1:5" x14ac:dyDescent="0.45">
      <c r="A876" s="6">
        <v>45181</v>
      </c>
      <c r="B876" s="7" t="str">
        <f t="shared" si="23"/>
        <v>September</v>
      </c>
      <c r="C876" s="7">
        <v>2023</v>
      </c>
      <c r="D876" s="7" t="s">
        <v>726</v>
      </c>
      <c r="E876" s="7">
        <v>5</v>
      </c>
    </row>
    <row r="877" spans="1:5" x14ac:dyDescent="0.45">
      <c r="A877" s="6">
        <v>45182</v>
      </c>
      <c r="B877" s="7" t="str">
        <f t="shared" si="23"/>
        <v>September</v>
      </c>
      <c r="C877" s="7">
        <v>2023</v>
      </c>
      <c r="D877" s="7" t="s">
        <v>726</v>
      </c>
      <c r="E877" s="7">
        <v>3</v>
      </c>
    </row>
    <row r="878" spans="1:5" x14ac:dyDescent="0.45">
      <c r="A878" s="6">
        <v>45182</v>
      </c>
      <c r="B878" s="7" t="str">
        <f t="shared" si="23"/>
        <v>September</v>
      </c>
      <c r="C878" s="7">
        <v>2023</v>
      </c>
      <c r="D878" s="7" t="s">
        <v>726</v>
      </c>
      <c r="E878" s="7">
        <v>1</v>
      </c>
    </row>
    <row r="879" spans="1:5" x14ac:dyDescent="0.45">
      <c r="A879" s="6">
        <v>45183</v>
      </c>
      <c r="B879" s="7" t="str">
        <f t="shared" si="23"/>
        <v>September</v>
      </c>
      <c r="C879" s="7">
        <v>2023</v>
      </c>
      <c r="D879" s="7" t="s">
        <v>726</v>
      </c>
      <c r="E879" s="7">
        <v>1</v>
      </c>
    </row>
    <row r="880" spans="1:5" x14ac:dyDescent="0.45">
      <c r="A880" s="6">
        <v>45183</v>
      </c>
      <c r="B880" s="7" t="str">
        <f t="shared" si="23"/>
        <v>September</v>
      </c>
      <c r="C880" s="7">
        <v>2023</v>
      </c>
      <c r="D880" s="7" t="s">
        <v>728</v>
      </c>
      <c r="E880" s="7">
        <v>4</v>
      </c>
    </row>
    <row r="881" spans="1:5" x14ac:dyDescent="0.45">
      <c r="A881" s="6">
        <v>45185</v>
      </c>
      <c r="B881" s="7" t="str">
        <f t="shared" si="23"/>
        <v>September</v>
      </c>
      <c r="C881" s="7">
        <v>2023</v>
      </c>
      <c r="D881" s="7" t="s">
        <v>726</v>
      </c>
      <c r="E881" s="7">
        <v>4</v>
      </c>
    </row>
    <row r="882" spans="1:5" x14ac:dyDescent="0.45">
      <c r="A882" s="6">
        <v>45186</v>
      </c>
      <c r="B882" s="7" t="str">
        <f t="shared" si="23"/>
        <v>September</v>
      </c>
      <c r="C882" s="7">
        <v>2023</v>
      </c>
      <c r="D882" s="7" t="s">
        <v>728</v>
      </c>
      <c r="E882" s="7">
        <v>5</v>
      </c>
    </row>
    <row r="883" spans="1:5" x14ac:dyDescent="0.45">
      <c r="A883" s="6">
        <v>45187</v>
      </c>
      <c r="B883" s="7" t="str">
        <f t="shared" si="23"/>
        <v>September</v>
      </c>
      <c r="C883" s="7">
        <v>2023</v>
      </c>
      <c r="D883" s="7" t="s">
        <v>727</v>
      </c>
      <c r="E883" s="7">
        <v>1</v>
      </c>
    </row>
    <row r="884" spans="1:5" x14ac:dyDescent="0.45">
      <c r="A884" s="6">
        <v>45191</v>
      </c>
      <c r="B884" s="7" t="str">
        <f t="shared" si="23"/>
        <v>September</v>
      </c>
      <c r="C884" s="7">
        <v>2023</v>
      </c>
      <c r="D884" s="7" t="s">
        <v>727</v>
      </c>
      <c r="E884" s="7">
        <v>3</v>
      </c>
    </row>
    <row r="885" spans="1:5" x14ac:dyDescent="0.45">
      <c r="A885" s="6">
        <v>45192</v>
      </c>
      <c r="B885" s="7" t="str">
        <f t="shared" si="23"/>
        <v>September</v>
      </c>
      <c r="C885" s="7">
        <v>2023</v>
      </c>
      <c r="D885" s="7" t="s">
        <v>726</v>
      </c>
      <c r="E885" s="7">
        <v>5</v>
      </c>
    </row>
    <row r="886" spans="1:5" x14ac:dyDescent="0.45">
      <c r="A886" s="6">
        <v>45199</v>
      </c>
      <c r="B886" s="7" t="str">
        <f t="shared" si="23"/>
        <v>September</v>
      </c>
      <c r="C886" s="7">
        <v>2023</v>
      </c>
      <c r="D886" s="7" t="s">
        <v>726</v>
      </c>
      <c r="E886" s="7">
        <v>2</v>
      </c>
    </row>
    <row r="887" spans="1:5" x14ac:dyDescent="0.45">
      <c r="A887" s="6">
        <v>45200</v>
      </c>
      <c r="B887" s="7" t="str">
        <f t="shared" si="23"/>
        <v>October</v>
      </c>
      <c r="C887" s="7">
        <v>2023</v>
      </c>
      <c r="D887" s="7" t="s">
        <v>729</v>
      </c>
      <c r="E887" s="7">
        <v>1</v>
      </c>
    </row>
    <row r="888" spans="1:5" x14ac:dyDescent="0.45">
      <c r="A888" s="6">
        <v>45200</v>
      </c>
      <c r="B888" s="7" t="str">
        <f t="shared" si="23"/>
        <v>October</v>
      </c>
      <c r="C888" s="7">
        <v>2023</v>
      </c>
      <c r="D888" s="7" t="s">
        <v>726</v>
      </c>
      <c r="E888" s="7">
        <v>5</v>
      </c>
    </row>
    <row r="889" spans="1:5" x14ac:dyDescent="0.45">
      <c r="A889" s="6">
        <v>45201</v>
      </c>
      <c r="B889" s="7" t="str">
        <f t="shared" si="23"/>
        <v>October</v>
      </c>
      <c r="C889" s="7">
        <v>2023</v>
      </c>
      <c r="D889" s="7" t="s">
        <v>726</v>
      </c>
      <c r="E889" s="7">
        <v>3</v>
      </c>
    </row>
    <row r="890" spans="1:5" x14ac:dyDescent="0.45">
      <c r="A890" s="6">
        <v>45201</v>
      </c>
      <c r="B890" s="7" t="str">
        <f t="shared" si="23"/>
        <v>October</v>
      </c>
      <c r="C890" s="7">
        <v>2023</v>
      </c>
      <c r="D890" s="7" t="s">
        <v>728</v>
      </c>
      <c r="E890" s="7">
        <v>1</v>
      </c>
    </row>
    <row r="891" spans="1:5" x14ac:dyDescent="0.45">
      <c r="A891" s="6">
        <v>45203</v>
      </c>
      <c r="B891" s="7" t="str">
        <f t="shared" si="23"/>
        <v>October</v>
      </c>
      <c r="C891" s="7">
        <v>2023</v>
      </c>
      <c r="D891" s="7" t="s">
        <v>728</v>
      </c>
      <c r="E891" s="7">
        <v>1</v>
      </c>
    </row>
    <row r="892" spans="1:5" x14ac:dyDescent="0.45">
      <c r="A892" s="6">
        <v>45207</v>
      </c>
      <c r="B892" s="7" t="str">
        <f t="shared" si="23"/>
        <v>October</v>
      </c>
      <c r="C892" s="7">
        <v>2023</v>
      </c>
      <c r="D892" s="7" t="s">
        <v>726</v>
      </c>
      <c r="E892" s="7">
        <v>1</v>
      </c>
    </row>
    <row r="893" spans="1:5" x14ac:dyDescent="0.45">
      <c r="A893" s="6">
        <v>45209</v>
      </c>
      <c r="B893" s="7" t="str">
        <f t="shared" si="23"/>
        <v>October</v>
      </c>
      <c r="C893" s="7">
        <v>2023</v>
      </c>
      <c r="D893" s="7" t="s">
        <v>727</v>
      </c>
      <c r="E893" s="7">
        <v>3</v>
      </c>
    </row>
    <row r="894" spans="1:5" x14ac:dyDescent="0.45">
      <c r="A894" s="6">
        <v>45210</v>
      </c>
      <c r="B894" s="7" t="str">
        <f t="shared" si="23"/>
        <v>October</v>
      </c>
      <c r="C894" s="7">
        <v>2023</v>
      </c>
      <c r="D894" s="7" t="s">
        <v>728</v>
      </c>
      <c r="E894" s="7">
        <v>4</v>
      </c>
    </row>
    <row r="895" spans="1:5" x14ac:dyDescent="0.45">
      <c r="A895" s="6">
        <v>45211</v>
      </c>
      <c r="B895" s="7" t="str">
        <f t="shared" si="23"/>
        <v>October</v>
      </c>
      <c r="C895" s="7">
        <v>2023</v>
      </c>
      <c r="D895" s="7" t="s">
        <v>727</v>
      </c>
      <c r="E895" s="7">
        <v>2</v>
      </c>
    </row>
    <row r="896" spans="1:5" x14ac:dyDescent="0.45">
      <c r="A896" s="6">
        <v>45211</v>
      </c>
      <c r="B896" s="7" t="str">
        <f t="shared" si="23"/>
        <v>October</v>
      </c>
      <c r="C896" s="7">
        <v>2023</v>
      </c>
      <c r="D896" s="7" t="s">
        <v>726</v>
      </c>
      <c r="E896" s="7">
        <v>2</v>
      </c>
    </row>
    <row r="897" spans="1:5" x14ac:dyDescent="0.45">
      <c r="A897" s="6">
        <v>45212</v>
      </c>
      <c r="B897" s="7" t="str">
        <f t="shared" si="23"/>
        <v>October</v>
      </c>
      <c r="C897" s="7">
        <v>2023</v>
      </c>
      <c r="D897" s="7" t="s">
        <v>729</v>
      </c>
      <c r="E897" s="7">
        <v>4</v>
      </c>
    </row>
    <row r="898" spans="1:5" x14ac:dyDescent="0.45">
      <c r="A898" s="6">
        <v>45213</v>
      </c>
      <c r="B898" s="7" t="str">
        <f t="shared" si="23"/>
        <v>October</v>
      </c>
      <c r="C898" s="7">
        <v>2023</v>
      </c>
      <c r="D898" s="7" t="s">
        <v>728</v>
      </c>
      <c r="E898" s="7">
        <v>4</v>
      </c>
    </row>
    <row r="899" spans="1:5" x14ac:dyDescent="0.45">
      <c r="A899" s="6">
        <v>45214</v>
      </c>
      <c r="B899" s="7" t="str">
        <f t="shared" ref="B899:B959" si="24">TEXT(A899,"MMMM")</f>
        <v>October</v>
      </c>
      <c r="C899" s="7">
        <v>2023</v>
      </c>
      <c r="D899" s="7" t="s">
        <v>727</v>
      </c>
      <c r="E899" s="7">
        <v>1</v>
      </c>
    </row>
    <row r="900" spans="1:5" x14ac:dyDescent="0.45">
      <c r="A900" s="6">
        <v>45214</v>
      </c>
      <c r="B900" s="7" t="str">
        <f t="shared" si="24"/>
        <v>October</v>
      </c>
      <c r="C900" s="7">
        <v>2023</v>
      </c>
      <c r="D900" s="7" t="s">
        <v>726</v>
      </c>
      <c r="E900" s="7">
        <v>3</v>
      </c>
    </row>
    <row r="901" spans="1:5" x14ac:dyDescent="0.45">
      <c r="A901" s="6">
        <v>45215</v>
      </c>
      <c r="B901" s="7" t="str">
        <f t="shared" si="24"/>
        <v>October</v>
      </c>
      <c r="C901" s="7">
        <v>2023</v>
      </c>
      <c r="D901" s="7" t="s">
        <v>726</v>
      </c>
      <c r="E901" s="7">
        <v>3</v>
      </c>
    </row>
    <row r="902" spans="1:5" x14ac:dyDescent="0.45">
      <c r="A902" s="6">
        <v>45217</v>
      </c>
      <c r="B902" s="7" t="str">
        <f t="shared" si="24"/>
        <v>October</v>
      </c>
      <c r="C902" s="7">
        <v>2023</v>
      </c>
      <c r="D902" s="7" t="s">
        <v>729</v>
      </c>
      <c r="E902" s="7">
        <v>3</v>
      </c>
    </row>
    <row r="903" spans="1:5" x14ac:dyDescent="0.45">
      <c r="A903" s="6">
        <v>45217</v>
      </c>
      <c r="B903" s="7" t="str">
        <f t="shared" si="24"/>
        <v>October</v>
      </c>
      <c r="C903" s="7">
        <v>2023</v>
      </c>
      <c r="D903" s="7" t="s">
        <v>726</v>
      </c>
      <c r="E903" s="7">
        <v>4</v>
      </c>
    </row>
    <row r="904" spans="1:5" x14ac:dyDescent="0.45">
      <c r="A904" s="6">
        <v>45219</v>
      </c>
      <c r="B904" s="7" t="str">
        <f t="shared" si="24"/>
        <v>October</v>
      </c>
      <c r="C904" s="7">
        <v>2023</v>
      </c>
      <c r="D904" s="7" t="s">
        <v>729</v>
      </c>
      <c r="E904" s="7">
        <v>1</v>
      </c>
    </row>
    <row r="905" spans="1:5" x14ac:dyDescent="0.45">
      <c r="A905" s="6">
        <v>45219</v>
      </c>
      <c r="B905" s="7" t="str">
        <f t="shared" si="24"/>
        <v>October</v>
      </c>
      <c r="C905" s="7">
        <v>2023</v>
      </c>
      <c r="D905" s="7" t="s">
        <v>726</v>
      </c>
      <c r="E905" s="7">
        <v>2</v>
      </c>
    </row>
    <row r="906" spans="1:5" x14ac:dyDescent="0.45">
      <c r="A906" s="6">
        <v>45220</v>
      </c>
      <c r="B906" s="7" t="str">
        <f t="shared" si="24"/>
        <v>October</v>
      </c>
      <c r="C906" s="7">
        <v>2023</v>
      </c>
      <c r="D906" s="7" t="s">
        <v>727</v>
      </c>
      <c r="E906" s="7">
        <v>1</v>
      </c>
    </row>
    <row r="907" spans="1:5" x14ac:dyDescent="0.45">
      <c r="A907" s="6">
        <v>45221</v>
      </c>
      <c r="B907" s="7" t="str">
        <f t="shared" si="24"/>
        <v>October</v>
      </c>
      <c r="C907" s="7">
        <v>2023</v>
      </c>
      <c r="D907" s="7" t="s">
        <v>727</v>
      </c>
      <c r="E907" s="7">
        <v>3</v>
      </c>
    </row>
    <row r="908" spans="1:5" x14ac:dyDescent="0.45">
      <c r="A908" s="6">
        <v>45223</v>
      </c>
      <c r="B908" s="7" t="str">
        <f t="shared" si="24"/>
        <v>October</v>
      </c>
      <c r="C908" s="7">
        <v>2023</v>
      </c>
      <c r="D908" s="7" t="s">
        <v>729</v>
      </c>
      <c r="E908" s="7">
        <v>1</v>
      </c>
    </row>
    <row r="909" spans="1:5" x14ac:dyDescent="0.45">
      <c r="A909" s="6">
        <v>45224</v>
      </c>
      <c r="B909" s="7" t="str">
        <f t="shared" si="24"/>
        <v>October</v>
      </c>
      <c r="C909" s="7">
        <v>2023</v>
      </c>
      <c r="D909" s="7" t="s">
        <v>728</v>
      </c>
      <c r="E909" s="7">
        <v>2</v>
      </c>
    </row>
    <row r="910" spans="1:5" x14ac:dyDescent="0.45">
      <c r="A910" s="6">
        <v>45224</v>
      </c>
      <c r="B910" s="7" t="str">
        <f t="shared" si="24"/>
        <v>October</v>
      </c>
      <c r="C910" s="7">
        <v>2023</v>
      </c>
      <c r="D910" s="7" t="s">
        <v>729</v>
      </c>
      <c r="E910" s="7">
        <v>3</v>
      </c>
    </row>
    <row r="911" spans="1:5" x14ac:dyDescent="0.45">
      <c r="A911" s="6">
        <v>45224</v>
      </c>
      <c r="B911" s="7" t="str">
        <f t="shared" si="24"/>
        <v>October</v>
      </c>
      <c r="C911" s="7">
        <v>2023</v>
      </c>
      <c r="D911" s="7" t="s">
        <v>726</v>
      </c>
      <c r="E911" s="7">
        <v>5</v>
      </c>
    </row>
    <row r="912" spans="1:5" x14ac:dyDescent="0.45">
      <c r="A912" s="6">
        <v>45228</v>
      </c>
      <c r="B912" s="7" t="str">
        <f t="shared" si="24"/>
        <v>October</v>
      </c>
      <c r="C912" s="7">
        <v>2023</v>
      </c>
      <c r="D912" s="7" t="s">
        <v>729</v>
      </c>
      <c r="E912" s="7">
        <v>10</v>
      </c>
    </row>
    <row r="913" spans="1:5" x14ac:dyDescent="0.45">
      <c r="A913" s="6">
        <v>45228</v>
      </c>
      <c r="B913" s="7" t="str">
        <f t="shared" si="24"/>
        <v>October</v>
      </c>
      <c r="C913" s="7">
        <v>2023</v>
      </c>
      <c r="D913" s="7" t="s">
        <v>726</v>
      </c>
      <c r="E913" s="7">
        <v>5</v>
      </c>
    </row>
    <row r="914" spans="1:5" x14ac:dyDescent="0.45">
      <c r="A914" s="6">
        <v>45230</v>
      </c>
      <c r="B914" s="7" t="str">
        <f t="shared" si="24"/>
        <v>October</v>
      </c>
      <c r="C914" s="7">
        <v>2023</v>
      </c>
      <c r="D914" s="7" t="s">
        <v>727</v>
      </c>
      <c r="E914" s="7">
        <v>4</v>
      </c>
    </row>
    <row r="915" spans="1:5" x14ac:dyDescent="0.45">
      <c r="A915" s="6">
        <v>45230</v>
      </c>
      <c r="B915" s="7" t="str">
        <f t="shared" si="24"/>
        <v>October</v>
      </c>
      <c r="C915" s="7">
        <v>2023</v>
      </c>
      <c r="D915" s="7" t="s">
        <v>726</v>
      </c>
      <c r="E915" s="7">
        <v>4</v>
      </c>
    </row>
    <row r="916" spans="1:5" x14ac:dyDescent="0.45">
      <c r="A916" s="6">
        <v>45231</v>
      </c>
      <c r="B916" s="7" t="str">
        <f t="shared" si="24"/>
        <v>November</v>
      </c>
      <c r="C916" s="7">
        <v>2023</v>
      </c>
      <c r="D916" s="7" t="s">
        <v>726</v>
      </c>
      <c r="E916" s="7">
        <v>8</v>
      </c>
    </row>
    <row r="917" spans="1:5" x14ac:dyDescent="0.45">
      <c r="A917" s="6">
        <v>45232</v>
      </c>
      <c r="B917" s="7" t="str">
        <f t="shared" si="24"/>
        <v>November</v>
      </c>
      <c r="C917" s="7">
        <v>2023</v>
      </c>
      <c r="D917" s="7" t="s">
        <v>726</v>
      </c>
      <c r="E917" s="7">
        <v>5</v>
      </c>
    </row>
    <row r="918" spans="1:5" x14ac:dyDescent="0.45">
      <c r="A918" s="6">
        <v>45233</v>
      </c>
      <c r="B918" s="7" t="str">
        <f t="shared" si="24"/>
        <v>November</v>
      </c>
      <c r="C918" s="7">
        <v>2023</v>
      </c>
      <c r="D918" s="7" t="s">
        <v>726</v>
      </c>
      <c r="E918" s="7">
        <v>1</v>
      </c>
    </row>
    <row r="919" spans="1:5" x14ac:dyDescent="0.45">
      <c r="A919" s="6">
        <v>45234</v>
      </c>
      <c r="B919" s="7" t="str">
        <f t="shared" si="24"/>
        <v>November</v>
      </c>
      <c r="C919" s="7">
        <v>2023</v>
      </c>
      <c r="D919" s="7" t="s">
        <v>726</v>
      </c>
      <c r="E919" s="7">
        <v>3</v>
      </c>
    </row>
    <row r="920" spans="1:5" x14ac:dyDescent="0.45">
      <c r="A920" s="6">
        <v>45234</v>
      </c>
      <c r="B920" s="7" t="str">
        <f t="shared" si="24"/>
        <v>November</v>
      </c>
      <c r="C920" s="7">
        <v>2023</v>
      </c>
      <c r="D920" s="7" t="s">
        <v>726</v>
      </c>
      <c r="E920" s="7">
        <v>5</v>
      </c>
    </row>
    <row r="921" spans="1:5" x14ac:dyDescent="0.45">
      <c r="A921" s="6">
        <v>45236</v>
      </c>
      <c r="B921" s="7" t="str">
        <f t="shared" si="24"/>
        <v>November</v>
      </c>
      <c r="C921" s="7">
        <v>2023</v>
      </c>
      <c r="D921" s="7" t="s">
        <v>726</v>
      </c>
      <c r="E921" s="7">
        <v>5</v>
      </c>
    </row>
    <row r="922" spans="1:5" x14ac:dyDescent="0.45">
      <c r="A922" s="6">
        <v>45238</v>
      </c>
      <c r="B922" s="7" t="str">
        <f t="shared" si="24"/>
        <v>November</v>
      </c>
      <c r="C922" s="7">
        <v>2023</v>
      </c>
      <c r="D922" s="7" t="s">
        <v>728</v>
      </c>
      <c r="E922" s="7">
        <v>3</v>
      </c>
    </row>
    <row r="923" spans="1:5" x14ac:dyDescent="0.45">
      <c r="A923" s="6">
        <v>45238</v>
      </c>
      <c r="B923" s="7" t="str">
        <f t="shared" si="24"/>
        <v>November</v>
      </c>
      <c r="C923" s="7">
        <v>2023</v>
      </c>
      <c r="D923" s="7" t="s">
        <v>726</v>
      </c>
      <c r="E923" s="7">
        <v>5</v>
      </c>
    </row>
    <row r="924" spans="1:5" x14ac:dyDescent="0.45">
      <c r="A924" s="6">
        <v>45239</v>
      </c>
      <c r="B924" s="7" t="str">
        <f t="shared" si="24"/>
        <v>November</v>
      </c>
      <c r="C924" s="7">
        <v>2023</v>
      </c>
      <c r="D924" s="7" t="s">
        <v>726</v>
      </c>
      <c r="E924" s="7">
        <v>2</v>
      </c>
    </row>
    <row r="925" spans="1:5" x14ac:dyDescent="0.45">
      <c r="A925" s="6">
        <v>45240</v>
      </c>
      <c r="B925" s="7" t="str">
        <f t="shared" si="24"/>
        <v>November</v>
      </c>
      <c r="C925" s="7">
        <v>2023</v>
      </c>
      <c r="D925" s="7" t="s">
        <v>728</v>
      </c>
      <c r="E925" s="7">
        <v>2</v>
      </c>
    </row>
    <row r="926" spans="1:5" x14ac:dyDescent="0.45">
      <c r="A926" s="6">
        <v>45241</v>
      </c>
      <c r="B926" s="7" t="str">
        <f t="shared" si="24"/>
        <v>November</v>
      </c>
      <c r="C926" s="7">
        <v>2023</v>
      </c>
      <c r="D926" s="7" t="s">
        <v>726</v>
      </c>
      <c r="E926" s="7">
        <v>2</v>
      </c>
    </row>
    <row r="927" spans="1:5" x14ac:dyDescent="0.45">
      <c r="A927" s="6">
        <v>45245</v>
      </c>
      <c r="B927" s="7" t="str">
        <f t="shared" si="24"/>
        <v>November</v>
      </c>
      <c r="C927" s="7">
        <v>2023</v>
      </c>
      <c r="D927" s="7" t="s">
        <v>726</v>
      </c>
      <c r="E927" s="7">
        <v>3</v>
      </c>
    </row>
    <row r="928" spans="1:5" x14ac:dyDescent="0.45">
      <c r="A928" s="6">
        <v>45248</v>
      </c>
      <c r="B928" s="7" t="str">
        <f t="shared" si="24"/>
        <v>November</v>
      </c>
      <c r="C928" s="7">
        <v>2023</v>
      </c>
      <c r="D928" s="7" t="s">
        <v>727</v>
      </c>
      <c r="E928" s="7">
        <v>1</v>
      </c>
    </row>
    <row r="929" spans="1:5" x14ac:dyDescent="0.45">
      <c r="A929" s="6">
        <v>45249</v>
      </c>
      <c r="B929" s="7" t="str">
        <f t="shared" si="24"/>
        <v>November</v>
      </c>
      <c r="C929" s="7">
        <v>2023</v>
      </c>
      <c r="D929" s="7" t="s">
        <v>726</v>
      </c>
      <c r="E929" s="7">
        <v>4</v>
      </c>
    </row>
    <row r="930" spans="1:5" x14ac:dyDescent="0.45">
      <c r="A930" s="6">
        <v>45249</v>
      </c>
      <c r="B930" s="7" t="str">
        <f t="shared" si="24"/>
        <v>November</v>
      </c>
      <c r="C930" s="7">
        <v>2023</v>
      </c>
      <c r="D930" s="7" t="s">
        <v>726</v>
      </c>
      <c r="E930" s="7">
        <v>5</v>
      </c>
    </row>
    <row r="931" spans="1:5" x14ac:dyDescent="0.45">
      <c r="A931" s="6">
        <v>45254</v>
      </c>
      <c r="B931" s="7" t="str">
        <f t="shared" si="24"/>
        <v>November</v>
      </c>
      <c r="C931" s="7">
        <v>2023</v>
      </c>
      <c r="D931" s="7" t="s">
        <v>726</v>
      </c>
      <c r="E931" s="7">
        <v>2</v>
      </c>
    </row>
    <row r="932" spans="1:5" x14ac:dyDescent="0.45">
      <c r="A932" s="6">
        <v>45255</v>
      </c>
      <c r="B932" s="7" t="str">
        <f t="shared" si="24"/>
        <v>November</v>
      </c>
      <c r="C932" s="7">
        <v>2023</v>
      </c>
      <c r="D932" s="7" t="s">
        <v>727</v>
      </c>
      <c r="E932" s="7">
        <v>1</v>
      </c>
    </row>
    <row r="933" spans="1:5" x14ac:dyDescent="0.45">
      <c r="A933" s="6">
        <v>45257</v>
      </c>
      <c r="B933" s="7" t="str">
        <f t="shared" si="24"/>
        <v>November</v>
      </c>
      <c r="C933" s="7">
        <v>2023</v>
      </c>
      <c r="D933" s="7" t="s">
        <v>727</v>
      </c>
      <c r="E933" s="7">
        <v>3</v>
      </c>
    </row>
    <row r="934" spans="1:5" x14ac:dyDescent="0.45">
      <c r="A934" s="6">
        <v>45257</v>
      </c>
      <c r="B934" s="7" t="str">
        <f t="shared" si="24"/>
        <v>November</v>
      </c>
      <c r="C934" s="7">
        <v>2023</v>
      </c>
      <c r="D934" s="7" t="s">
        <v>726</v>
      </c>
      <c r="E934" s="7">
        <v>5</v>
      </c>
    </row>
    <row r="935" spans="1:5" x14ac:dyDescent="0.45">
      <c r="A935" s="6">
        <v>45257</v>
      </c>
      <c r="B935" s="7" t="str">
        <f t="shared" si="24"/>
        <v>November</v>
      </c>
      <c r="C935" s="7">
        <v>2023</v>
      </c>
      <c r="D935" s="7" t="s">
        <v>726</v>
      </c>
      <c r="E935" s="7">
        <v>3</v>
      </c>
    </row>
    <row r="936" spans="1:5" x14ac:dyDescent="0.45">
      <c r="A936" s="6">
        <v>45261</v>
      </c>
      <c r="B936" s="7" t="str">
        <f t="shared" si="24"/>
        <v>December</v>
      </c>
      <c r="C936" s="7">
        <v>2023</v>
      </c>
      <c r="D936" s="7" t="s">
        <v>729</v>
      </c>
      <c r="E936" s="7">
        <v>3</v>
      </c>
    </row>
    <row r="937" spans="1:5" x14ac:dyDescent="0.45">
      <c r="A937" s="6">
        <v>45263</v>
      </c>
      <c r="B937" s="7" t="str">
        <f t="shared" si="24"/>
        <v>December</v>
      </c>
      <c r="C937" s="7">
        <v>2023</v>
      </c>
      <c r="D937" s="7" t="s">
        <v>729</v>
      </c>
      <c r="E937" s="7">
        <v>2</v>
      </c>
    </row>
    <row r="938" spans="1:5" x14ac:dyDescent="0.45">
      <c r="A938" s="6">
        <v>45263</v>
      </c>
      <c r="B938" s="7" t="str">
        <f t="shared" si="24"/>
        <v>December</v>
      </c>
      <c r="C938" s="7">
        <v>2023</v>
      </c>
      <c r="D938" s="7" t="s">
        <v>726</v>
      </c>
      <c r="E938" s="7">
        <v>5</v>
      </c>
    </row>
    <row r="939" spans="1:5" x14ac:dyDescent="0.45">
      <c r="A939" s="6">
        <v>45264</v>
      </c>
      <c r="B939" s="7" t="str">
        <f t="shared" si="24"/>
        <v>December</v>
      </c>
      <c r="C939" s="7">
        <v>2023</v>
      </c>
      <c r="D939" s="7" t="s">
        <v>727</v>
      </c>
      <c r="E939" s="7">
        <v>1</v>
      </c>
    </row>
    <row r="940" spans="1:5" x14ac:dyDescent="0.45">
      <c r="A940" s="6">
        <v>45264</v>
      </c>
      <c r="B940" s="7" t="str">
        <f t="shared" si="24"/>
        <v>December</v>
      </c>
      <c r="C940" s="7">
        <v>2023</v>
      </c>
      <c r="D940" s="7" t="s">
        <v>726</v>
      </c>
      <c r="E940" s="7">
        <v>4</v>
      </c>
    </row>
    <row r="941" spans="1:5" x14ac:dyDescent="0.45">
      <c r="A941" s="6">
        <v>45266</v>
      </c>
      <c r="B941" s="7" t="str">
        <f t="shared" si="24"/>
        <v>December</v>
      </c>
      <c r="C941" s="7">
        <v>2023</v>
      </c>
      <c r="D941" s="7" t="s">
        <v>726</v>
      </c>
      <c r="E941" s="7">
        <v>4</v>
      </c>
    </row>
    <row r="942" spans="1:5" x14ac:dyDescent="0.45">
      <c r="A942" s="6">
        <v>45268</v>
      </c>
      <c r="B942" s="7" t="str">
        <f t="shared" si="24"/>
        <v>December</v>
      </c>
      <c r="C942" s="7">
        <v>2023</v>
      </c>
      <c r="D942" s="7" t="s">
        <v>727</v>
      </c>
      <c r="E942" s="7">
        <v>4</v>
      </c>
    </row>
    <row r="943" spans="1:5" x14ac:dyDescent="0.45">
      <c r="A943" s="6">
        <v>45268</v>
      </c>
      <c r="B943" s="7" t="str">
        <f t="shared" si="24"/>
        <v>December</v>
      </c>
      <c r="C943" s="7">
        <v>2023</v>
      </c>
      <c r="D943" s="7" t="s">
        <v>726</v>
      </c>
      <c r="E943" s="7">
        <v>4</v>
      </c>
    </row>
    <row r="944" spans="1:5" x14ac:dyDescent="0.45">
      <c r="A944" s="6">
        <v>45269</v>
      </c>
      <c r="B944" s="7" t="str">
        <f t="shared" si="24"/>
        <v>December</v>
      </c>
      <c r="C944" s="7">
        <v>2023</v>
      </c>
      <c r="D944" s="7" t="s">
        <v>728</v>
      </c>
      <c r="E944" s="7">
        <v>2</v>
      </c>
    </row>
    <row r="945" spans="1:5" x14ac:dyDescent="0.45">
      <c r="A945" s="6">
        <v>45269</v>
      </c>
      <c r="B945" s="7" t="str">
        <f t="shared" si="24"/>
        <v>December</v>
      </c>
      <c r="C945" s="7">
        <v>2023</v>
      </c>
      <c r="D945" s="7" t="s">
        <v>729</v>
      </c>
      <c r="E945" s="7">
        <v>4</v>
      </c>
    </row>
    <row r="946" spans="1:5" x14ac:dyDescent="0.45">
      <c r="A946" s="6">
        <v>45270</v>
      </c>
      <c r="B946" s="7" t="str">
        <f t="shared" si="24"/>
        <v>December</v>
      </c>
      <c r="C946" s="7">
        <v>2023</v>
      </c>
      <c r="D946" s="7" t="s">
        <v>726</v>
      </c>
      <c r="E946" s="7">
        <v>1</v>
      </c>
    </row>
    <row r="947" spans="1:5" x14ac:dyDescent="0.45">
      <c r="A947" s="6">
        <v>45275</v>
      </c>
      <c r="B947" s="7" t="str">
        <f t="shared" si="24"/>
        <v>December</v>
      </c>
      <c r="C947" s="7">
        <v>2023</v>
      </c>
      <c r="D947" s="7" t="s">
        <v>728</v>
      </c>
      <c r="E947" s="7">
        <v>4</v>
      </c>
    </row>
    <row r="948" spans="1:5" x14ac:dyDescent="0.45">
      <c r="A948" s="6">
        <v>45277</v>
      </c>
      <c r="B948" s="7" t="str">
        <f t="shared" si="24"/>
        <v>December</v>
      </c>
      <c r="C948" s="7">
        <v>2023</v>
      </c>
      <c r="D948" s="7" t="s">
        <v>727</v>
      </c>
      <c r="E948" s="7">
        <v>2</v>
      </c>
    </row>
    <row r="949" spans="1:5" x14ac:dyDescent="0.45">
      <c r="A949" s="6">
        <v>45278</v>
      </c>
      <c r="B949" s="7" t="str">
        <f t="shared" si="24"/>
        <v>December</v>
      </c>
      <c r="C949" s="7">
        <v>2023</v>
      </c>
      <c r="D949" s="7" t="s">
        <v>727</v>
      </c>
      <c r="E949" s="7">
        <v>4</v>
      </c>
    </row>
    <row r="950" spans="1:5" x14ac:dyDescent="0.45">
      <c r="A950" s="6">
        <v>45279</v>
      </c>
      <c r="B950" s="7" t="str">
        <f t="shared" si="24"/>
        <v>December</v>
      </c>
      <c r="C950" s="7">
        <v>2023</v>
      </c>
      <c r="D950" s="7" t="s">
        <v>728</v>
      </c>
      <c r="E950" s="7">
        <v>2</v>
      </c>
    </row>
    <row r="951" spans="1:5" x14ac:dyDescent="0.45">
      <c r="A951" s="6">
        <v>45279</v>
      </c>
      <c r="B951" s="7" t="str">
        <f t="shared" si="24"/>
        <v>December</v>
      </c>
      <c r="C951" s="7">
        <v>2023</v>
      </c>
      <c r="D951" s="7" t="s">
        <v>726</v>
      </c>
      <c r="E951" s="7">
        <v>4</v>
      </c>
    </row>
    <row r="952" spans="1:5" x14ac:dyDescent="0.45">
      <c r="A952" s="6">
        <v>45280</v>
      </c>
      <c r="B952" s="7" t="str">
        <f t="shared" si="24"/>
        <v>December</v>
      </c>
      <c r="C952" s="7">
        <v>2023</v>
      </c>
      <c r="D952" s="7" t="s">
        <v>727</v>
      </c>
      <c r="E952" s="7">
        <v>3</v>
      </c>
    </row>
    <row r="953" spans="1:5" x14ac:dyDescent="0.45">
      <c r="A953" s="6">
        <v>45280</v>
      </c>
      <c r="B953" s="7" t="str">
        <f t="shared" si="24"/>
        <v>December</v>
      </c>
      <c r="C953" s="7">
        <v>2023</v>
      </c>
      <c r="D953" s="7" t="s">
        <v>726</v>
      </c>
      <c r="E953" s="7">
        <v>1</v>
      </c>
    </row>
    <row r="954" spans="1:5" x14ac:dyDescent="0.45">
      <c r="A954" s="6">
        <v>45282</v>
      </c>
      <c r="B954" s="7" t="str">
        <f t="shared" si="24"/>
        <v>December</v>
      </c>
      <c r="C954" s="7">
        <v>2023</v>
      </c>
      <c r="D954" s="7" t="s">
        <v>726</v>
      </c>
      <c r="E954" s="7">
        <v>4</v>
      </c>
    </row>
    <row r="955" spans="1:5" x14ac:dyDescent="0.45">
      <c r="A955" s="6">
        <v>45285</v>
      </c>
      <c r="B955" s="7" t="str">
        <f t="shared" si="24"/>
        <v>December</v>
      </c>
      <c r="C955" s="7">
        <v>2023</v>
      </c>
      <c r="D955" s="7" t="s">
        <v>726</v>
      </c>
      <c r="E955" s="7">
        <v>5</v>
      </c>
    </row>
    <row r="956" spans="1:5" x14ac:dyDescent="0.45">
      <c r="A956" s="6">
        <v>45287</v>
      </c>
      <c r="B956" s="7" t="str">
        <f t="shared" si="24"/>
        <v>December</v>
      </c>
      <c r="C956" s="7">
        <v>2023</v>
      </c>
      <c r="D956" s="7" t="s">
        <v>727</v>
      </c>
      <c r="E956" s="7">
        <v>5</v>
      </c>
    </row>
    <row r="957" spans="1:5" x14ac:dyDescent="0.45">
      <c r="A957" s="6">
        <v>45287</v>
      </c>
      <c r="B957" s="7" t="str">
        <f t="shared" si="24"/>
        <v>December</v>
      </c>
      <c r="C957" s="7">
        <v>2023</v>
      </c>
      <c r="D957" s="7" t="s">
        <v>727</v>
      </c>
      <c r="E957" s="7">
        <v>3</v>
      </c>
    </row>
    <row r="958" spans="1:5" x14ac:dyDescent="0.45">
      <c r="A958" s="6">
        <v>45290</v>
      </c>
      <c r="B958" s="7" t="str">
        <f t="shared" si="24"/>
        <v>December</v>
      </c>
      <c r="C958" s="7">
        <v>2023</v>
      </c>
      <c r="D958" s="7" t="s">
        <v>726</v>
      </c>
      <c r="E958" s="7">
        <v>5</v>
      </c>
    </row>
    <row r="959" spans="1:5" x14ac:dyDescent="0.45">
      <c r="A959" s="6">
        <v>45291</v>
      </c>
      <c r="B959" s="7" t="str">
        <f t="shared" si="24"/>
        <v>December</v>
      </c>
      <c r="C959" s="7">
        <v>2023</v>
      </c>
      <c r="D959" s="7" t="s">
        <v>728</v>
      </c>
      <c r="E959" s="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BE17"/>
  <sheetViews>
    <sheetView showRowColHeaders="0" tabSelected="1" workbookViewId="0">
      <selection activeCell="B8" sqref="B8"/>
    </sheetView>
  </sheetViews>
  <sheetFormatPr defaultRowHeight="14.25" x14ac:dyDescent="0.45"/>
  <cols>
    <col min="1" max="1" width="2.3984375" style="14" customWidth="1"/>
    <col min="2" max="2" width="13" style="14" customWidth="1"/>
    <col min="3" max="3" width="3.53125" style="14" customWidth="1"/>
    <col min="4" max="13" width="2.59765625" style="14" customWidth="1"/>
    <col min="14" max="14" width="6.33203125" style="14" customWidth="1"/>
    <col min="15" max="24" width="2.59765625" style="14" customWidth="1"/>
    <col min="25" max="25" width="6.33203125" style="14" customWidth="1"/>
    <col min="26" max="35" width="2.59765625" style="14" customWidth="1"/>
    <col min="36" max="36" width="6.33203125" style="14" customWidth="1"/>
    <col min="37" max="46" width="2.59765625" style="14" customWidth="1"/>
    <col min="47" max="47" width="6.33203125" style="14" customWidth="1"/>
    <col min="48" max="57" width="2.59765625" style="14" customWidth="1"/>
    <col min="58" max="16384" width="9.06640625" style="14"/>
  </cols>
  <sheetData>
    <row r="1" spans="2:57" s="12" customFormat="1" ht="21" x14ac:dyDescent="0.65">
      <c r="B1" s="13" t="s">
        <v>720</v>
      </c>
    </row>
    <row r="6" spans="2:57" ht="24" customHeight="1" thickBot="1" x14ac:dyDescent="0.5"/>
    <row r="7" spans="2:57" ht="16.149999999999999" thickTop="1" thickBot="1" x14ac:dyDescent="0.55000000000000004">
      <c r="B7" s="26" t="s">
        <v>746</v>
      </c>
      <c r="D7" s="15" cm="1">
        <f t="array" ref="D7:M16">_xlfn._xlws.SORT(_xlfn.SEQUENCE(10,10,1,1),,-1)/100</f>
        <v>0.91</v>
      </c>
      <c r="E7" s="15">
        <v>0.92</v>
      </c>
      <c r="F7" s="15">
        <v>0.93</v>
      </c>
      <c r="G7" s="15">
        <v>0.94</v>
      </c>
      <c r="H7" s="15">
        <v>0.95</v>
      </c>
      <c r="I7" s="15">
        <v>0.96</v>
      </c>
      <c r="J7" s="15">
        <v>0.97</v>
      </c>
      <c r="K7" s="15">
        <v>0.98</v>
      </c>
      <c r="L7" s="15">
        <v>0.99</v>
      </c>
      <c r="M7" s="15">
        <v>1</v>
      </c>
      <c r="O7" s="15" cm="1">
        <f t="array" ref="O7:X16">_xlfn._xlws.SORT(_xlfn.SEQUENCE(10,10,1,1),,-1)/100</f>
        <v>0.91</v>
      </c>
      <c r="P7" s="15">
        <v>0.92</v>
      </c>
      <c r="Q7" s="15">
        <v>0.93</v>
      </c>
      <c r="R7" s="15">
        <v>0.94</v>
      </c>
      <c r="S7" s="15">
        <v>0.95</v>
      </c>
      <c r="T7" s="15">
        <v>0.96</v>
      </c>
      <c r="U7" s="15">
        <v>0.97</v>
      </c>
      <c r="V7" s="15">
        <v>0.98</v>
      </c>
      <c r="W7" s="15">
        <v>0.99</v>
      </c>
      <c r="X7" s="15">
        <v>1</v>
      </c>
      <c r="Z7" s="15" cm="1">
        <f t="array" ref="Z7:AI16">_xlfn._xlws.SORT(_xlfn.SEQUENCE(10,10,1,1),,-1)/100</f>
        <v>0.91</v>
      </c>
      <c r="AA7" s="15">
        <v>0.92</v>
      </c>
      <c r="AB7" s="15">
        <v>0.93</v>
      </c>
      <c r="AC7" s="15">
        <v>0.94</v>
      </c>
      <c r="AD7" s="15">
        <v>0.95</v>
      </c>
      <c r="AE7" s="15">
        <v>0.96</v>
      </c>
      <c r="AF7" s="15">
        <v>0.97</v>
      </c>
      <c r="AG7" s="15">
        <v>0.98</v>
      </c>
      <c r="AH7" s="15">
        <v>0.99</v>
      </c>
      <c r="AI7" s="15">
        <v>1</v>
      </c>
      <c r="AK7" s="15" cm="1">
        <f t="array" ref="AK7:AT16">_xlfn._xlws.SORT(_xlfn.SEQUENCE(10,10,1,1),,-1)/100</f>
        <v>0.91</v>
      </c>
      <c r="AL7" s="15">
        <v>0.92</v>
      </c>
      <c r="AM7" s="15">
        <v>0.93</v>
      </c>
      <c r="AN7" s="15">
        <v>0.94</v>
      </c>
      <c r="AO7" s="15">
        <v>0.95</v>
      </c>
      <c r="AP7" s="15">
        <v>0.96</v>
      </c>
      <c r="AQ7" s="15">
        <v>0.97</v>
      </c>
      <c r="AR7" s="15">
        <v>0.98</v>
      </c>
      <c r="AS7" s="15">
        <v>0.99</v>
      </c>
      <c r="AT7" s="15">
        <v>1</v>
      </c>
      <c r="AV7" s="15" cm="1">
        <f t="array" ref="AV7:BE16">_xlfn._xlws.SORT(_xlfn.SEQUENCE(10,10,1,1),,-1)/100</f>
        <v>0.91</v>
      </c>
      <c r="AW7" s="15">
        <v>0.92</v>
      </c>
      <c r="AX7" s="15">
        <v>0.93</v>
      </c>
      <c r="AY7" s="15">
        <v>0.94</v>
      </c>
      <c r="AZ7" s="15">
        <v>0.95</v>
      </c>
      <c r="BA7" s="15">
        <v>0.96</v>
      </c>
      <c r="BB7" s="15">
        <v>0.97</v>
      </c>
      <c r="BC7" s="15">
        <v>0.98</v>
      </c>
      <c r="BD7" s="15">
        <v>0.99</v>
      </c>
      <c r="BE7" s="15">
        <v>1</v>
      </c>
    </row>
    <row r="8" spans="2:57" ht="15" thickTop="1" thickBot="1" x14ac:dyDescent="0.5">
      <c r="B8" s="25" t="s">
        <v>732</v>
      </c>
      <c r="D8" s="15">
        <v>0.81</v>
      </c>
      <c r="E8" s="15">
        <v>0.82</v>
      </c>
      <c r="F8" s="15">
        <v>0.83</v>
      </c>
      <c r="G8" s="15">
        <v>0.84</v>
      </c>
      <c r="H8" s="15">
        <v>0.85</v>
      </c>
      <c r="I8" s="15">
        <v>0.86</v>
      </c>
      <c r="J8" s="15">
        <v>0.87</v>
      </c>
      <c r="K8" s="15">
        <v>0.88</v>
      </c>
      <c r="L8" s="15">
        <v>0.89</v>
      </c>
      <c r="M8" s="15">
        <v>0.9</v>
      </c>
      <c r="O8" s="15">
        <v>0.81</v>
      </c>
      <c r="P8" s="15">
        <v>0.82</v>
      </c>
      <c r="Q8" s="15">
        <v>0.83</v>
      </c>
      <c r="R8" s="15">
        <v>0.84</v>
      </c>
      <c r="S8" s="15">
        <v>0.85</v>
      </c>
      <c r="T8" s="15">
        <v>0.86</v>
      </c>
      <c r="U8" s="15">
        <v>0.87</v>
      </c>
      <c r="V8" s="15">
        <v>0.88</v>
      </c>
      <c r="W8" s="15">
        <v>0.89</v>
      </c>
      <c r="X8" s="15">
        <v>0.9</v>
      </c>
      <c r="Z8" s="15">
        <v>0.81</v>
      </c>
      <c r="AA8" s="15">
        <v>0.82</v>
      </c>
      <c r="AB8" s="15">
        <v>0.83</v>
      </c>
      <c r="AC8" s="15">
        <v>0.84</v>
      </c>
      <c r="AD8" s="15">
        <v>0.85</v>
      </c>
      <c r="AE8" s="15">
        <v>0.86</v>
      </c>
      <c r="AF8" s="15">
        <v>0.87</v>
      </c>
      <c r="AG8" s="15">
        <v>0.88</v>
      </c>
      <c r="AH8" s="15">
        <v>0.89</v>
      </c>
      <c r="AI8" s="15">
        <v>0.9</v>
      </c>
      <c r="AK8" s="15">
        <v>0.81</v>
      </c>
      <c r="AL8" s="15">
        <v>0.82</v>
      </c>
      <c r="AM8" s="15">
        <v>0.83</v>
      </c>
      <c r="AN8" s="15">
        <v>0.84</v>
      </c>
      <c r="AO8" s="15">
        <v>0.85</v>
      </c>
      <c r="AP8" s="15">
        <v>0.86</v>
      </c>
      <c r="AQ8" s="15">
        <v>0.87</v>
      </c>
      <c r="AR8" s="15">
        <v>0.88</v>
      </c>
      <c r="AS8" s="15">
        <v>0.89</v>
      </c>
      <c r="AT8" s="15">
        <v>0.9</v>
      </c>
      <c r="AV8" s="15">
        <v>0.81</v>
      </c>
      <c r="AW8" s="15">
        <v>0.82</v>
      </c>
      <c r="AX8" s="15">
        <v>0.83</v>
      </c>
      <c r="AY8" s="15">
        <v>0.84</v>
      </c>
      <c r="AZ8" s="15">
        <v>0.85</v>
      </c>
      <c r="BA8" s="15">
        <v>0.86</v>
      </c>
      <c r="BB8" s="15">
        <v>0.87</v>
      </c>
      <c r="BC8" s="15">
        <v>0.88</v>
      </c>
      <c r="BD8" s="15">
        <v>0.89</v>
      </c>
      <c r="BE8" s="15">
        <v>0.9</v>
      </c>
    </row>
    <row r="9" spans="2:57" ht="15" thickTop="1" thickBot="1" x14ac:dyDescent="0.5">
      <c r="D9" s="15">
        <v>0.71</v>
      </c>
      <c r="E9" s="15">
        <v>0.72</v>
      </c>
      <c r="F9" s="15">
        <v>0.73</v>
      </c>
      <c r="G9" s="15">
        <v>0.74</v>
      </c>
      <c r="H9" s="15">
        <v>0.75</v>
      </c>
      <c r="I9" s="15">
        <v>0.76</v>
      </c>
      <c r="J9" s="15">
        <v>0.77</v>
      </c>
      <c r="K9" s="15">
        <v>0.78</v>
      </c>
      <c r="L9" s="15">
        <v>0.79</v>
      </c>
      <c r="M9" s="15">
        <v>0.8</v>
      </c>
      <c r="O9" s="15">
        <v>0.71</v>
      </c>
      <c r="P9" s="15">
        <v>0.72</v>
      </c>
      <c r="Q9" s="15">
        <v>0.73</v>
      </c>
      <c r="R9" s="15">
        <v>0.74</v>
      </c>
      <c r="S9" s="15">
        <v>0.75</v>
      </c>
      <c r="T9" s="15">
        <v>0.76</v>
      </c>
      <c r="U9" s="15">
        <v>0.77</v>
      </c>
      <c r="V9" s="15">
        <v>0.78</v>
      </c>
      <c r="W9" s="15">
        <v>0.79</v>
      </c>
      <c r="X9" s="15">
        <v>0.8</v>
      </c>
      <c r="Z9" s="15">
        <v>0.71</v>
      </c>
      <c r="AA9" s="15">
        <v>0.72</v>
      </c>
      <c r="AB9" s="15">
        <v>0.73</v>
      </c>
      <c r="AC9" s="15">
        <v>0.74</v>
      </c>
      <c r="AD9" s="15">
        <v>0.75</v>
      </c>
      <c r="AE9" s="15">
        <v>0.76</v>
      </c>
      <c r="AF9" s="15">
        <v>0.77</v>
      </c>
      <c r="AG9" s="15">
        <v>0.78</v>
      </c>
      <c r="AH9" s="15">
        <v>0.79</v>
      </c>
      <c r="AI9" s="15">
        <v>0.8</v>
      </c>
      <c r="AK9" s="15">
        <v>0.71</v>
      </c>
      <c r="AL9" s="15">
        <v>0.72</v>
      </c>
      <c r="AM9" s="15">
        <v>0.73</v>
      </c>
      <c r="AN9" s="15">
        <v>0.74</v>
      </c>
      <c r="AO9" s="15">
        <v>0.75</v>
      </c>
      <c r="AP9" s="15">
        <v>0.76</v>
      </c>
      <c r="AQ9" s="15">
        <v>0.77</v>
      </c>
      <c r="AR9" s="15">
        <v>0.78</v>
      </c>
      <c r="AS9" s="15">
        <v>0.79</v>
      </c>
      <c r="AT9" s="15">
        <v>0.8</v>
      </c>
      <c r="AV9" s="15">
        <v>0.71</v>
      </c>
      <c r="AW9" s="15">
        <v>0.72</v>
      </c>
      <c r="AX9" s="15">
        <v>0.73</v>
      </c>
      <c r="AY9" s="15">
        <v>0.74</v>
      </c>
      <c r="AZ9" s="15">
        <v>0.75</v>
      </c>
      <c r="BA9" s="15">
        <v>0.76</v>
      </c>
      <c r="BB9" s="15">
        <v>0.77</v>
      </c>
      <c r="BC9" s="15">
        <v>0.78</v>
      </c>
      <c r="BD9" s="15">
        <v>0.79</v>
      </c>
      <c r="BE9" s="15">
        <v>0.8</v>
      </c>
    </row>
    <row r="10" spans="2:57" ht="15" thickTop="1" thickBot="1" x14ac:dyDescent="0.5">
      <c r="D10" s="15">
        <v>0.61</v>
      </c>
      <c r="E10" s="15">
        <v>0.62</v>
      </c>
      <c r="F10" s="15">
        <v>0.63</v>
      </c>
      <c r="G10" s="15">
        <v>0.64</v>
      </c>
      <c r="H10" s="15">
        <v>0.65</v>
      </c>
      <c r="I10" s="15">
        <v>0.66</v>
      </c>
      <c r="J10" s="15">
        <v>0.67</v>
      </c>
      <c r="K10" s="15">
        <v>0.68</v>
      </c>
      <c r="L10" s="15">
        <v>0.69</v>
      </c>
      <c r="M10" s="15">
        <v>0.7</v>
      </c>
      <c r="O10" s="15">
        <v>0.61</v>
      </c>
      <c r="P10" s="15">
        <v>0.62</v>
      </c>
      <c r="Q10" s="15">
        <v>0.63</v>
      </c>
      <c r="R10" s="15">
        <v>0.64</v>
      </c>
      <c r="S10" s="15">
        <v>0.65</v>
      </c>
      <c r="T10" s="15">
        <v>0.66</v>
      </c>
      <c r="U10" s="15">
        <v>0.67</v>
      </c>
      <c r="V10" s="15">
        <v>0.68</v>
      </c>
      <c r="W10" s="15">
        <v>0.69</v>
      </c>
      <c r="X10" s="15">
        <v>0.7</v>
      </c>
      <c r="Z10" s="15">
        <v>0.61</v>
      </c>
      <c r="AA10" s="15">
        <v>0.62</v>
      </c>
      <c r="AB10" s="15">
        <v>0.63</v>
      </c>
      <c r="AC10" s="15">
        <v>0.64</v>
      </c>
      <c r="AD10" s="15">
        <v>0.65</v>
      </c>
      <c r="AE10" s="15">
        <v>0.66</v>
      </c>
      <c r="AF10" s="15">
        <v>0.67</v>
      </c>
      <c r="AG10" s="15">
        <v>0.68</v>
      </c>
      <c r="AH10" s="15">
        <v>0.69</v>
      </c>
      <c r="AI10" s="15">
        <v>0.7</v>
      </c>
      <c r="AK10" s="15">
        <v>0.61</v>
      </c>
      <c r="AL10" s="15">
        <v>0.62</v>
      </c>
      <c r="AM10" s="15">
        <v>0.63</v>
      </c>
      <c r="AN10" s="15">
        <v>0.64</v>
      </c>
      <c r="AO10" s="15">
        <v>0.65</v>
      </c>
      <c r="AP10" s="15">
        <v>0.66</v>
      </c>
      <c r="AQ10" s="15">
        <v>0.67</v>
      </c>
      <c r="AR10" s="15">
        <v>0.68</v>
      </c>
      <c r="AS10" s="15">
        <v>0.69</v>
      </c>
      <c r="AT10" s="15">
        <v>0.7</v>
      </c>
      <c r="AV10" s="15">
        <v>0.61</v>
      </c>
      <c r="AW10" s="15">
        <v>0.62</v>
      </c>
      <c r="AX10" s="15">
        <v>0.63</v>
      </c>
      <c r="AY10" s="15">
        <v>0.64</v>
      </c>
      <c r="AZ10" s="15">
        <v>0.65</v>
      </c>
      <c r="BA10" s="15">
        <v>0.66</v>
      </c>
      <c r="BB10" s="15">
        <v>0.67</v>
      </c>
      <c r="BC10" s="15">
        <v>0.68</v>
      </c>
      <c r="BD10" s="15">
        <v>0.69</v>
      </c>
      <c r="BE10" s="15">
        <v>0.7</v>
      </c>
    </row>
    <row r="11" spans="2:57" ht="15" thickTop="1" thickBot="1" x14ac:dyDescent="0.5">
      <c r="D11" s="15">
        <v>0.51</v>
      </c>
      <c r="E11" s="15">
        <v>0.52</v>
      </c>
      <c r="F11" s="15">
        <v>0.53</v>
      </c>
      <c r="G11" s="15">
        <v>0.54</v>
      </c>
      <c r="H11" s="15">
        <v>0.55000000000000004</v>
      </c>
      <c r="I11" s="15">
        <v>0.56000000000000005</v>
      </c>
      <c r="J11" s="15">
        <v>0.56999999999999995</v>
      </c>
      <c r="K11" s="15">
        <v>0.57999999999999996</v>
      </c>
      <c r="L11" s="15">
        <v>0.59</v>
      </c>
      <c r="M11" s="15">
        <v>0.6</v>
      </c>
      <c r="O11" s="15">
        <v>0.51</v>
      </c>
      <c r="P11" s="15">
        <v>0.52</v>
      </c>
      <c r="Q11" s="15">
        <v>0.53</v>
      </c>
      <c r="R11" s="15">
        <v>0.54</v>
      </c>
      <c r="S11" s="15">
        <v>0.55000000000000004</v>
      </c>
      <c r="T11" s="15">
        <v>0.56000000000000005</v>
      </c>
      <c r="U11" s="15">
        <v>0.56999999999999995</v>
      </c>
      <c r="V11" s="15">
        <v>0.57999999999999996</v>
      </c>
      <c r="W11" s="15">
        <v>0.59</v>
      </c>
      <c r="X11" s="15">
        <v>0.6</v>
      </c>
      <c r="Z11" s="15">
        <v>0.51</v>
      </c>
      <c r="AA11" s="15">
        <v>0.52</v>
      </c>
      <c r="AB11" s="15">
        <v>0.53</v>
      </c>
      <c r="AC11" s="15">
        <v>0.54</v>
      </c>
      <c r="AD11" s="15">
        <v>0.55000000000000004</v>
      </c>
      <c r="AE11" s="15">
        <v>0.56000000000000005</v>
      </c>
      <c r="AF11" s="15">
        <v>0.56999999999999995</v>
      </c>
      <c r="AG11" s="15">
        <v>0.57999999999999996</v>
      </c>
      <c r="AH11" s="15">
        <v>0.59</v>
      </c>
      <c r="AI11" s="15">
        <v>0.6</v>
      </c>
      <c r="AK11" s="15">
        <v>0.51</v>
      </c>
      <c r="AL11" s="15">
        <v>0.52</v>
      </c>
      <c r="AM11" s="15">
        <v>0.53</v>
      </c>
      <c r="AN11" s="15">
        <v>0.54</v>
      </c>
      <c r="AO11" s="15">
        <v>0.55000000000000004</v>
      </c>
      <c r="AP11" s="15">
        <v>0.56000000000000005</v>
      </c>
      <c r="AQ11" s="15">
        <v>0.56999999999999995</v>
      </c>
      <c r="AR11" s="15">
        <v>0.57999999999999996</v>
      </c>
      <c r="AS11" s="15">
        <v>0.59</v>
      </c>
      <c r="AT11" s="15">
        <v>0.6</v>
      </c>
      <c r="AV11" s="15">
        <v>0.51</v>
      </c>
      <c r="AW11" s="15">
        <v>0.52</v>
      </c>
      <c r="AX11" s="15">
        <v>0.53</v>
      </c>
      <c r="AY11" s="15">
        <v>0.54</v>
      </c>
      <c r="AZ11" s="15">
        <v>0.55000000000000004</v>
      </c>
      <c r="BA11" s="15">
        <v>0.56000000000000005</v>
      </c>
      <c r="BB11" s="15">
        <v>0.56999999999999995</v>
      </c>
      <c r="BC11" s="15">
        <v>0.57999999999999996</v>
      </c>
      <c r="BD11" s="15">
        <v>0.59</v>
      </c>
      <c r="BE11" s="15">
        <v>0.6</v>
      </c>
    </row>
    <row r="12" spans="2:57" ht="15" thickTop="1" thickBot="1" x14ac:dyDescent="0.5">
      <c r="D12" s="15">
        <v>0.41</v>
      </c>
      <c r="E12" s="15">
        <v>0.42</v>
      </c>
      <c r="F12" s="15">
        <v>0.43</v>
      </c>
      <c r="G12" s="15">
        <v>0.44</v>
      </c>
      <c r="H12" s="15">
        <v>0.45</v>
      </c>
      <c r="I12" s="15">
        <v>0.46</v>
      </c>
      <c r="J12" s="15">
        <v>0.47</v>
      </c>
      <c r="K12" s="15">
        <v>0.48</v>
      </c>
      <c r="L12" s="15">
        <v>0.49</v>
      </c>
      <c r="M12" s="15">
        <v>0.5</v>
      </c>
      <c r="O12" s="15">
        <v>0.41</v>
      </c>
      <c r="P12" s="15">
        <v>0.42</v>
      </c>
      <c r="Q12" s="15">
        <v>0.43</v>
      </c>
      <c r="R12" s="15">
        <v>0.44</v>
      </c>
      <c r="S12" s="15">
        <v>0.45</v>
      </c>
      <c r="T12" s="15">
        <v>0.46</v>
      </c>
      <c r="U12" s="15">
        <v>0.47</v>
      </c>
      <c r="V12" s="15">
        <v>0.48</v>
      </c>
      <c r="W12" s="15">
        <v>0.49</v>
      </c>
      <c r="X12" s="15">
        <v>0.5</v>
      </c>
      <c r="Z12" s="15">
        <v>0.41</v>
      </c>
      <c r="AA12" s="15">
        <v>0.42</v>
      </c>
      <c r="AB12" s="15">
        <v>0.43</v>
      </c>
      <c r="AC12" s="15">
        <v>0.44</v>
      </c>
      <c r="AD12" s="15">
        <v>0.45</v>
      </c>
      <c r="AE12" s="15">
        <v>0.46</v>
      </c>
      <c r="AF12" s="15">
        <v>0.47</v>
      </c>
      <c r="AG12" s="15">
        <v>0.48</v>
      </c>
      <c r="AH12" s="15">
        <v>0.49</v>
      </c>
      <c r="AI12" s="15">
        <v>0.5</v>
      </c>
      <c r="AK12" s="15">
        <v>0.41</v>
      </c>
      <c r="AL12" s="15">
        <v>0.42</v>
      </c>
      <c r="AM12" s="15">
        <v>0.43</v>
      </c>
      <c r="AN12" s="15">
        <v>0.44</v>
      </c>
      <c r="AO12" s="15">
        <v>0.45</v>
      </c>
      <c r="AP12" s="15">
        <v>0.46</v>
      </c>
      <c r="AQ12" s="15">
        <v>0.47</v>
      </c>
      <c r="AR12" s="15">
        <v>0.48</v>
      </c>
      <c r="AS12" s="15">
        <v>0.49</v>
      </c>
      <c r="AT12" s="15">
        <v>0.5</v>
      </c>
      <c r="AV12" s="15">
        <v>0.41</v>
      </c>
      <c r="AW12" s="15">
        <v>0.42</v>
      </c>
      <c r="AX12" s="15">
        <v>0.43</v>
      </c>
      <c r="AY12" s="15">
        <v>0.44</v>
      </c>
      <c r="AZ12" s="15">
        <v>0.45</v>
      </c>
      <c r="BA12" s="15">
        <v>0.46</v>
      </c>
      <c r="BB12" s="15">
        <v>0.47</v>
      </c>
      <c r="BC12" s="15">
        <v>0.48</v>
      </c>
      <c r="BD12" s="15">
        <v>0.49</v>
      </c>
      <c r="BE12" s="15">
        <v>0.5</v>
      </c>
    </row>
    <row r="13" spans="2:57" ht="15" thickTop="1" thickBot="1" x14ac:dyDescent="0.5">
      <c r="D13" s="15">
        <v>0.31</v>
      </c>
      <c r="E13" s="15">
        <v>0.32</v>
      </c>
      <c r="F13" s="15">
        <v>0.33</v>
      </c>
      <c r="G13" s="15">
        <v>0.34</v>
      </c>
      <c r="H13" s="15">
        <v>0.35</v>
      </c>
      <c r="I13" s="15">
        <v>0.36</v>
      </c>
      <c r="J13" s="15">
        <v>0.37</v>
      </c>
      <c r="K13" s="15">
        <v>0.38</v>
      </c>
      <c r="L13" s="15">
        <v>0.39</v>
      </c>
      <c r="M13" s="15">
        <v>0.4</v>
      </c>
      <c r="O13" s="15">
        <v>0.31</v>
      </c>
      <c r="P13" s="15">
        <v>0.32</v>
      </c>
      <c r="Q13" s="15">
        <v>0.33</v>
      </c>
      <c r="R13" s="15">
        <v>0.34</v>
      </c>
      <c r="S13" s="15">
        <v>0.35</v>
      </c>
      <c r="T13" s="15">
        <v>0.36</v>
      </c>
      <c r="U13" s="15">
        <v>0.37</v>
      </c>
      <c r="V13" s="15">
        <v>0.38</v>
      </c>
      <c r="W13" s="15">
        <v>0.39</v>
      </c>
      <c r="X13" s="15">
        <v>0.4</v>
      </c>
      <c r="Z13" s="15">
        <v>0.31</v>
      </c>
      <c r="AA13" s="15">
        <v>0.32</v>
      </c>
      <c r="AB13" s="15">
        <v>0.33</v>
      </c>
      <c r="AC13" s="15">
        <v>0.34</v>
      </c>
      <c r="AD13" s="15">
        <v>0.35</v>
      </c>
      <c r="AE13" s="15">
        <v>0.36</v>
      </c>
      <c r="AF13" s="15">
        <v>0.37</v>
      </c>
      <c r="AG13" s="15">
        <v>0.38</v>
      </c>
      <c r="AH13" s="15">
        <v>0.39</v>
      </c>
      <c r="AI13" s="15">
        <v>0.4</v>
      </c>
      <c r="AK13" s="15">
        <v>0.31</v>
      </c>
      <c r="AL13" s="15">
        <v>0.32</v>
      </c>
      <c r="AM13" s="15">
        <v>0.33</v>
      </c>
      <c r="AN13" s="15">
        <v>0.34</v>
      </c>
      <c r="AO13" s="15">
        <v>0.35</v>
      </c>
      <c r="AP13" s="15">
        <v>0.36</v>
      </c>
      <c r="AQ13" s="15">
        <v>0.37</v>
      </c>
      <c r="AR13" s="15">
        <v>0.38</v>
      </c>
      <c r="AS13" s="15">
        <v>0.39</v>
      </c>
      <c r="AT13" s="15">
        <v>0.4</v>
      </c>
      <c r="AV13" s="15">
        <v>0.31</v>
      </c>
      <c r="AW13" s="15">
        <v>0.32</v>
      </c>
      <c r="AX13" s="15">
        <v>0.33</v>
      </c>
      <c r="AY13" s="15">
        <v>0.34</v>
      </c>
      <c r="AZ13" s="15">
        <v>0.35</v>
      </c>
      <c r="BA13" s="15">
        <v>0.36</v>
      </c>
      <c r="BB13" s="15">
        <v>0.37</v>
      </c>
      <c r="BC13" s="15">
        <v>0.38</v>
      </c>
      <c r="BD13" s="15">
        <v>0.39</v>
      </c>
      <c r="BE13" s="15">
        <v>0.4</v>
      </c>
    </row>
    <row r="14" spans="2:57" ht="15" thickTop="1" thickBot="1" x14ac:dyDescent="0.5">
      <c r="D14" s="15">
        <v>0.21</v>
      </c>
      <c r="E14" s="15">
        <v>0.22</v>
      </c>
      <c r="F14" s="15">
        <v>0.23</v>
      </c>
      <c r="G14" s="15">
        <v>0.24</v>
      </c>
      <c r="H14" s="15">
        <v>0.25</v>
      </c>
      <c r="I14" s="15">
        <v>0.26</v>
      </c>
      <c r="J14" s="15">
        <v>0.27</v>
      </c>
      <c r="K14" s="15">
        <v>0.28000000000000003</v>
      </c>
      <c r="L14" s="15">
        <v>0.28999999999999998</v>
      </c>
      <c r="M14" s="15">
        <v>0.3</v>
      </c>
      <c r="O14" s="15">
        <v>0.21</v>
      </c>
      <c r="P14" s="15">
        <v>0.22</v>
      </c>
      <c r="Q14" s="15">
        <v>0.23</v>
      </c>
      <c r="R14" s="15">
        <v>0.24</v>
      </c>
      <c r="S14" s="15">
        <v>0.25</v>
      </c>
      <c r="T14" s="15">
        <v>0.26</v>
      </c>
      <c r="U14" s="15">
        <v>0.27</v>
      </c>
      <c r="V14" s="15">
        <v>0.28000000000000003</v>
      </c>
      <c r="W14" s="15">
        <v>0.28999999999999998</v>
      </c>
      <c r="X14" s="15">
        <v>0.3</v>
      </c>
      <c r="Z14" s="15">
        <v>0.21</v>
      </c>
      <c r="AA14" s="15">
        <v>0.22</v>
      </c>
      <c r="AB14" s="15">
        <v>0.23</v>
      </c>
      <c r="AC14" s="15">
        <v>0.24</v>
      </c>
      <c r="AD14" s="15">
        <v>0.25</v>
      </c>
      <c r="AE14" s="15">
        <v>0.26</v>
      </c>
      <c r="AF14" s="15">
        <v>0.27</v>
      </c>
      <c r="AG14" s="15">
        <v>0.28000000000000003</v>
      </c>
      <c r="AH14" s="15">
        <v>0.28999999999999998</v>
      </c>
      <c r="AI14" s="15">
        <v>0.3</v>
      </c>
      <c r="AK14" s="15">
        <v>0.21</v>
      </c>
      <c r="AL14" s="15">
        <v>0.22</v>
      </c>
      <c r="AM14" s="15">
        <v>0.23</v>
      </c>
      <c r="AN14" s="15">
        <v>0.24</v>
      </c>
      <c r="AO14" s="15">
        <v>0.25</v>
      </c>
      <c r="AP14" s="15">
        <v>0.26</v>
      </c>
      <c r="AQ14" s="15">
        <v>0.27</v>
      </c>
      <c r="AR14" s="15">
        <v>0.28000000000000003</v>
      </c>
      <c r="AS14" s="15">
        <v>0.28999999999999998</v>
      </c>
      <c r="AT14" s="15">
        <v>0.3</v>
      </c>
      <c r="AV14" s="15">
        <v>0.21</v>
      </c>
      <c r="AW14" s="15">
        <v>0.22</v>
      </c>
      <c r="AX14" s="15">
        <v>0.23</v>
      </c>
      <c r="AY14" s="15">
        <v>0.24</v>
      </c>
      <c r="AZ14" s="15">
        <v>0.25</v>
      </c>
      <c r="BA14" s="15">
        <v>0.26</v>
      </c>
      <c r="BB14" s="15">
        <v>0.27</v>
      </c>
      <c r="BC14" s="15">
        <v>0.28000000000000003</v>
      </c>
      <c r="BD14" s="15">
        <v>0.28999999999999998</v>
      </c>
      <c r="BE14" s="15">
        <v>0.3</v>
      </c>
    </row>
    <row r="15" spans="2:57" ht="15" thickTop="1" thickBot="1" x14ac:dyDescent="0.5">
      <c r="D15" s="15">
        <v>0.11</v>
      </c>
      <c r="E15" s="15">
        <v>0.12</v>
      </c>
      <c r="F15" s="15">
        <v>0.13</v>
      </c>
      <c r="G15" s="15">
        <v>0.14000000000000001</v>
      </c>
      <c r="H15" s="15">
        <v>0.15</v>
      </c>
      <c r="I15" s="15">
        <v>0.16</v>
      </c>
      <c r="J15" s="15">
        <v>0.17</v>
      </c>
      <c r="K15" s="15">
        <v>0.18</v>
      </c>
      <c r="L15" s="15">
        <v>0.19</v>
      </c>
      <c r="M15" s="15">
        <v>0.2</v>
      </c>
      <c r="O15" s="15">
        <v>0.11</v>
      </c>
      <c r="P15" s="15">
        <v>0.12</v>
      </c>
      <c r="Q15" s="15">
        <v>0.13</v>
      </c>
      <c r="R15" s="15">
        <v>0.14000000000000001</v>
      </c>
      <c r="S15" s="15">
        <v>0.15</v>
      </c>
      <c r="T15" s="15">
        <v>0.16</v>
      </c>
      <c r="U15" s="15">
        <v>0.17</v>
      </c>
      <c r="V15" s="15">
        <v>0.18</v>
      </c>
      <c r="W15" s="15">
        <v>0.19</v>
      </c>
      <c r="X15" s="15">
        <v>0.2</v>
      </c>
      <c r="Z15" s="15">
        <v>0.11</v>
      </c>
      <c r="AA15" s="15">
        <v>0.12</v>
      </c>
      <c r="AB15" s="15">
        <v>0.13</v>
      </c>
      <c r="AC15" s="15">
        <v>0.14000000000000001</v>
      </c>
      <c r="AD15" s="15">
        <v>0.15</v>
      </c>
      <c r="AE15" s="15">
        <v>0.16</v>
      </c>
      <c r="AF15" s="15">
        <v>0.17</v>
      </c>
      <c r="AG15" s="15">
        <v>0.18</v>
      </c>
      <c r="AH15" s="15">
        <v>0.19</v>
      </c>
      <c r="AI15" s="15">
        <v>0.2</v>
      </c>
      <c r="AK15" s="15">
        <v>0.11</v>
      </c>
      <c r="AL15" s="15">
        <v>0.12</v>
      </c>
      <c r="AM15" s="15">
        <v>0.13</v>
      </c>
      <c r="AN15" s="15">
        <v>0.14000000000000001</v>
      </c>
      <c r="AO15" s="15">
        <v>0.15</v>
      </c>
      <c r="AP15" s="15">
        <v>0.16</v>
      </c>
      <c r="AQ15" s="15">
        <v>0.17</v>
      </c>
      <c r="AR15" s="15">
        <v>0.18</v>
      </c>
      <c r="AS15" s="15">
        <v>0.19</v>
      </c>
      <c r="AT15" s="15">
        <v>0.2</v>
      </c>
      <c r="AV15" s="15">
        <v>0.11</v>
      </c>
      <c r="AW15" s="15">
        <v>0.12</v>
      </c>
      <c r="AX15" s="15">
        <v>0.13</v>
      </c>
      <c r="AY15" s="15">
        <v>0.14000000000000001</v>
      </c>
      <c r="AZ15" s="15">
        <v>0.15</v>
      </c>
      <c r="BA15" s="15">
        <v>0.16</v>
      </c>
      <c r="BB15" s="15">
        <v>0.17</v>
      </c>
      <c r="BC15" s="15">
        <v>0.18</v>
      </c>
      <c r="BD15" s="15">
        <v>0.19</v>
      </c>
      <c r="BE15" s="15">
        <v>0.2</v>
      </c>
    </row>
    <row r="16" spans="2:57" ht="15" thickTop="1" thickBot="1" x14ac:dyDescent="0.5">
      <c r="D16" s="15">
        <v>0.01</v>
      </c>
      <c r="E16" s="15">
        <v>0.02</v>
      </c>
      <c r="F16" s="15">
        <v>0.03</v>
      </c>
      <c r="G16" s="15">
        <v>0.04</v>
      </c>
      <c r="H16" s="15">
        <v>0.05</v>
      </c>
      <c r="I16" s="15">
        <v>0.06</v>
      </c>
      <c r="J16" s="15">
        <v>7.0000000000000007E-2</v>
      </c>
      <c r="K16" s="15">
        <v>0.08</v>
      </c>
      <c r="L16" s="15">
        <v>0.09</v>
      </c>
      <c r="M16" s="15">
        <v>0.1</v>
      </c>
      <c r="O16" s="15">
        <v>0.01</v>
      </c>
      <c r="P16" s="15">
        <v>0.02</v>
      </c>
      <c r="Q16" s="15">
        <v>0.03</v>
      </c>
      <c r="R16" s="15">
        <v>0.04</v>
      </c>
      <c r="S16" s="15">
        <v>0.05</v>
      </c>
      <c r="T16" s="15">
        <v>0.06</v>
      </c>
      <c r="U16" s="15">
        <v>7.0000000000000007E-2</v>
      </c>
      <c r="V16" s="15">
        <v>0.08</v>
      </c>
      <c r="W16" s="15">
        <v>0.09</v>
      </c>
      <c r="X16" s="15">
        <v>0.1</v>
      </c>
      <c r="Z16" s="15">
        <v>0.01</v>
      </c>
      <c r="AA16" s="15">
        <v>0.02</v>
      </c>
      <c r="AB16" s="15">
        <v>0.03</v>
      </c>
      <c r="AC16" s="15">
        <v>0.04</v>
      </c>
      <c r="AD16" s="15">
        <v>0.05</v>
      </c>
      <c r="AE16" s="15">
        <v>0.06</v>
      </c>
      <c r="AF16" s="15">
        <v>7.0000000000000007E-2</v>
      </c>
      <c r="AG16" s="15">
        <v>0.08</v>
      </c>
      <c r="AH16" s="15">
        <v>0.09</v>
      </c>
      <c r="AI16" s="15">
        <v>0.1</v>
      </c>
      <c r="AK16" s="15">
        <v>0.01</v>
      </c>
      <c r="AL16" s="15">
        <v>0.02</v>
      </c>
      <c r="AM16" s="15">
        <v>0.03</v>
      </c>
      <c r="AN16" s="15">
        <v>0.04</v>
      </c>
      <c r="AO16" s="15">
        <v>0.05</v>
      </c>
      <c r="AP16" s="15">
        <v>0.06</v>
      </c>
      <c r="AQ16" s="15">
        <v>7.0000000000000007E-2</v>
      </c>
      <c r="AR16" s="15">
        <v>0.08</v>
      </c>
      <c r="AS16" s="15">
        <v>0.09</v>
      </c>
      <c r="AT16" s="15">
        <v>0.1</v>
      </c>
      <c r="AV16" s="15">
        <v>0.01</v>
      </c>
      <c r="AW16" s="15">
        <v>0.02</v>
      </c>
      <c r="AX16" s="15">
        <v>0.03</v>
      </c>
      <c r="AY16" s="15">
        <v>0.04</v>
      </c>
      <c r="AZ16" s="15">
        <v>0.05</v>
      </c>
      <c r="BA16" s="15">
        <v>0.06</v>
      </c>
      <c r="BB16" s="15">
        <v>7.0000000000000007E-2</v>
      </c>
      <c r="BC16" s="15">
        <v>0.08</v>
      </c>
      <c r="BD16" s="15">
        <v>0.09</v>
      </c>
      <c r="BE16" s="15">
        <v>0.1</v>
      </c>
    </row>
    <row r="17" ht="14.65" thickTop="1" x14ac:dyDescent="0.45"/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61A47C41-2927-488B-AFA5-C4BF84C1EF21}">
            <xm:f>D7&lt;=CJ!$O$20</xm:f>
            <x14:dxf>
              <fill>
                <patternFill>
                  <bgColor rgb="FFEF566A"/>
                </patternFill>
              </fill>
            </x14:dxf>
          </x14:cfRule>
          <x14:cfRule type="expression" priority="6" id="{45000EA9-F5F2-4DF3-955F-FC2BE15E2300}">
            <xm:f>D7&lt;=CJ!$P$20</xm:f>
            <x14:dxf>
              <fill>
                <patternFill>
                  <bgColor rgb="FFC06299"/>
                </patternFill>
              </fill>
            </x14:dxf>
          </x14:cfRule>
          <x14:cfRule type="expression" priority="7" id="{3E1AB647-EC27-4FE4-9DB6-33D222BFC6EA}">
            <xm:f>D7&lt;=CJ!$Q$20</xm:f>
            <x14:dxf>
              <fill>
                <patternFill>
                  <bgColor rgb="FF916EC8"/>
                </patternFill>
              </fill>
            </x14:dxf>
          </x14:cfRule>
          <x14:cfRule type="expression" priority="8" id="{9F4CEEDC-443D-449F-AD7C-5BA8B51F1A86}">
            <xm:f>D7&lt;=CJ!$R$20</xm:f>
            <x14:dxf>
              <fill>
                <patternFill>
                  <bgColor rgb="FF627AF7"/>
                </patternFill>
              </fill>
            </x14:dxf>
          </x14:cfRule>
          <xm:sqref>D7:M16</xm:sqref>
        </x14:conditionalFormatting>
        <x14:conditionalFormatting xmlns:xm="http://schemas.microsoft.com/office/excel/2006/main">
          <x14:cfRule type="expression" priority="4" id="{BFCD1284-9843-4AFC-ABF9-A28D5CBFCDEC}">
            <xm:f>O7&lt;=CJ!$O$19</xm:f>
            <x14:dxf>
              <fill>
                <patternFill>
                  <bgColor rgb="FFEF566A"/>
                </patternFill>
              </fill>
            </x14:dxf>
          </x14:cfRule>
          <xm:sqref>O7:X16</xm:sqref>
        </x14:conditionalFormatting>
        <x14:conditionalFormatting xmlns:xm="http://schemas.microsoft.com/office/excel/2006/main">
          <x14:cfRule type="expression" priority="3" id="{CA6768CC-6B5A-4F2F-9004-165853ED0AE1}">
            <xm:f>Z7&lt;=CJ!$P$19</xm:f>
            <x14:dxf>
              <fill>
                <patternFill>
                  <bgColor rgb="FFC06299"/>
                </patternFill>
              </fill>
            </x14:dxf>
          </x14:cfRule>
          <xm:sqref>Z7:AI16</xm:sqref>
        </x14:conditionalFormatting>
        <x14:conditionalFormatting xmlns:xm="http://schemas.microsoft.com/office/excel/2006/main">
          <x14:cfRule type="expression" priority="2" id="{AB0786B8-347F-4FD4-A00C-538B2FB34522}">
            <xm:f>AK7&lt;=CJ!$Q$19</xm:f>
            <x14:dxf>
              <fill>
                <patternFill>
                  <bgColor rgb="FF916EC8"/>
                </patternFill>
              </fill>
            </x14:dxf>
          </x14:cfRule>
          <xm:sqref>AK7:AT16</xm:sqref>
        </x14:conditionalFormatting>
        <x14:conditionalFormatting xmlns:xm="http://schemas.microsoft.com/office/excel/2006/main">
          <x14:cfRule type="expression" priority="1" id="{ADDFDC45-828E-453C-BF2B-55BB9063DC7B}">
            <xm:f>AV7&lt;=CJ!$R$19</xm:f>
            <x14:dxf>
              <fill>
                <patternFill>
                  <bgColor rgb="FF627AF7"/>
                </patternFill>
              </fill>
            </x14:dxf>
          </x14:cfRule>
          <xm:sqref>AV7:BE16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CJ!$G$4:$G$15</xm:f>
          </x14:formula1>
          <xm:sqref>B8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Online_retail_sales</vt:lpstr>
      <vt:lpstr>Sheet1</vt:lpstr>
      <vt:lpstr>CJ</vt:lpstr>
      <vt:lpstr>Waffle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Johnstone</dc:creator>
  <cp:lastModifiedBy>Charlotte Johnstone</cp:lastModifiedBy>
  <dcterms:created xsi:type="dcterms:W3CDTF">2024-06-08T11:37:12Z</dcterms:created>
  <dcterms:modified xsi:type="dcterms:W3CDTF">2024-08-16T18:28:02Z</dcterms:modified>
</cp:coreProperties>
</file>